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mc:AlternateContent xmlns:mc="http://schemas.openxmlformats.org/markup-compatibility/2006">
    <mc:Choice Requires="x15">
      <x15ac:absPath xmlns:x15ac="http://schemas.microsoft.com/office/spreadsheetml/2010/11/ac" url="D:\11111   сохраненное\Документы\HDD-old computer\Люша-2018-май\статьи\статьи 2025\uyat\paper intercultural\Translation Studies\"/>
    </mc:Choice>
  </mc:AlternateContent>
  <xr:revisionPtr revIDLastSave="0" documentId="13_ncr:1_{448837CD-8EC9-498A-81EF-EADF2B2216E9}" xr6:coauthVersionLast="47" xr6:coauthVersionMax="47" xr10:uidLastSave="{00000000-0000-0000-0000-000000000000}"/>
  <bookViews>
    <workbookView xWindow="20" yWindow="0" windowWidth="19180" windowHeight="11280" firstSheet="4" activeTab="8" xr2:uid="{00000000-000D-0000-FFFF-FFFF00000000}"/>
  </bookViews>
  <sheets>
    <sheet name="Corpus" sheetId="1" r:id="rId1"/>
    <sheet name="Summary" sheetId="2" r:id="rId2"/>
    <sheet name="Principal characters" sheetId="3" r:id="rId3"/>
    <sheet name="Shame" sheetId="4" r:id="rId4"/>
    <sheet name="Guilt" sheetId="5" r:id="rId5"/>
    <sheet name="Conscience" sheetId="6" r:id="rId6"/>
    <sheet name="Honor" sheetId="7" r:id="rId7"/>
    <sheet name="Russian renderings" sheetId="8" r:id="rId8"/>
    <sheet name="Kazakh renderings" sheetId="9" r:id="rId9"/>
    <sheet name="Data (parsed)" sheetId="10" r:id="rId10"/>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uri="GoogleSheetsCustomDataVersion2">
      <go:sheetsCustomData xmlns:go="http://customooxmlschemas.google.com/" r:id="rId14" roundtripDataChecksum="0MGYRVNKCX3ETSLL+6t0yXX+qGBLo2SYVLhD0gEwfn0="/>
    </ext>
  </extLst>
</workbook>
</file>

<file path=xl/calcChain.xml><?xml version="1.0" encoding="utf-8"?>
<calcChain xmlns="http://schemas.openxmlformats.org/spreadsheetml/2006/main">
  <c r="D147" i="9" l="1"/>
  <c r="D146" i="9"/>
  <c r="D145" i="9"/>
  <c r="D144" i="9"/>
  <c r="D143" i="9"/>
  <c r="D142" i="9"/>
  <c r="D141" i="9"/>
  <c r="D140" i="9"/>
  <c r="D139" i="9"/>
  <c r="D138" i="9"/>
  <c r="D137" i="9"/>
  <c r="D136" i="9"/>
  <c r="D135" i="9"/>
  <c r="D134" i="9"/>
  <c r="D133" i="9"/>
  <c r="D132" i="9"/>
  <c r="D131" i="9"/>
  <c r="D130" i="9"/>
  <c r="D129" i="9"/>
  <c r="D128" i="9"/>
  <c r="D127" i="9"/>
  <c r="D126" i="9"/>
  <c r="D125" i="9"/>
  <c r="D124" i="9"/>
  <c r="D123" i="9"/>
  <c r="D122" i="9"/>
  <c r="D121" i="9"/>
  <c r="D120" i="9"/>
  <c r="D119" i="9"/>
  <c r="D118" i="9"/>
  <c r="D117" i="9"/>
  <c r="D116" i="9"/>
  <c r="D115" i="9"/>
  <c r="D114" i="9"/>
  <c r="D113" i="9"/>
  <c r="D112" i="9"/>
  <c r="D111" i="9"/>
  <c r="D110" i="9"/>
  <c r="D109" i="9"/>
  <c r="D108" i="9"/>
  <c r="D107" i="9"/>
  <c r="D106" i="9"/>
  <c r="D105" i="9"/>
  <c r="D104" i="9"/>
  <c r="D103" i="9"/>
  <c r="D102" i="9"/>
  <c r="D101" i="9"/>
  <c r="D100" i="9"/>
  <c r="D99" i="9"/>
  <c r="D98" i="9"/>
  <c r="D97" i="9"/>
  <c r="D96" i="9"/>
  <c r="D95" i="9"/>
  <c r="D94" i="9"/>
  <c r="D93" i="9"/>
  <c r="D92" i="9"/>
  <c r="D91" i="9"/>
  <c r="D90" i="9"/>
  <c r="D89" i="9"/>
  <c r="D88" i="9"/>
  <c r="D87" i="9"/>
  <c r="D86" i="9"/>
  <c r="D85" i="9"/>
  <c r="D84" i="9"/>
  <c r="D83" i="9"/>
  <c r="D82" i="9"/>
  <c r="D81" i="9"/>
  <c r="D80" i="9"/>
  <c r="D79" i="9"/>
  <c r="D78" i="9"/>
  <c r="D77" i="9"/>
  <c r="D76" i="9"/>
  <c r="D75" i="9"/>
  <c r="D74" i="9"/>
  <c r="D73" i="9"/>
  <c r="D72" i="9"/>
  <c r="D71" i="9"/>
  <c r="D70" i="9"/>
  <c r="D69" i="9"/>
  <c r="D68" i="9"/>
  <c r="D67" i="9"/>
  <c r="D66" i="9"/>
  <c r="D65" i="9"/>
  <c r="D64" i="9"/>
  <c r="D63" i="9"/>
  <c r="D62" i="9"/>
  <c r="D61" i="9"/>
  <c r="D60" i="9"/>
  <c r="D59" i="9"/>
  <c r="D58" i="9"/>
  <c r="D57" i="9"/>
  <c r="D56" i="9"/>
  <c r="D55" i="9"/>
  <c r="D54" i="9"/>
  <c r="D53" i="9"/>
  <c r="D52" i="9"/>
  <c r="D51" i="9"/>
  <c r="D50" i="9"/>
  <c r="D49" i="9"/>
  <c r="D48" i="9"/>
  <c r="D47" i="9"/>
  <c r="D46" i="9"/>
  <c r="D45" i="9"/>
  <c r="D44" i="9"/>
  <c r="D43" i="9"/>
  <c r="D42" i="9"/>
  <c r="D41" i="9"/>
  <c r="D40" i="9"/>
  <c r="D39" i="9"/>
  <c r="D38" i="9"/>
  <c r="D37" i="9"/>
  <c r="D36" i="9"/>
  <c r="D35" i="9"/>
  <c r="D34" i="9"/>
  <c r="D33" i="9"/>
  <c r="D32" i="9"/>
  <c r="D31" i="9"/>
  <c r="D30" i="9"/>
  <c r="D29" i="9"/>
  <c r="D28" i="9"/>
  <c r="D27" i="9"/>
  <c r="D26" i="9"/>
  <c r="D25" i="9"/>
  <c r="D24" i="9"/>
  <c r="D23" i="9"/>
  <c r="D22" i="9"/>
  <c r="D21" i="9"/>
  <c r="D20" i="9"/>
  <c r="D19" i="9"/>
  <c r="D18" i="9"/>
  <c r="D17" i="9"/>
  <c r="D16" i="9"/>
  <c r="D15" i="9"/>
  <c r="D14" i="9"/>
  <c r="D13" i="9"/>
  <c r="D12" i="9"/>
  <c r="D11" i="9"/>
  <c r="D10" i="9"/>
  <c r="D9" i="9"/>
  <c r="D8" i="9"/>
  <c r="D7" i="9"/>
  <c r="D6" i="9"/>
  <c r="D5" i="9"/>
  <c r="D4" i="9"/>
  <c r="D140" i="8"/>
  <c r="D139" i="8"/>
  <c r="D138" i="8"/>
  <c r="D137" i="8"/>
  <c r="D136" i="8"/>
  <c r="D135" i="8"/>
  <c r="D134" i="8"/>
  <c r="D133" i="8"/>
  <c r="D132" i="8"/>
  <c r="D131" i="8"/>
  <c r="D130" i="8"/>
  <c r="D129" i="8"/>
  <c r="D128" i="8"/>
  <c r="D127" i="8"/>
  <c r="D126" i="8"/>
  <c r="D125" i="8"/>
  <c r="D124" i="8"/>
  <c r="D123" i="8"/>
  <c r="D122" i="8"/>
  <c r="D121" i="8"/>
  <c r="D120" i="8"/>
  <c r="D119" i="8"/>
  <c r="D118" i="8"/>
  <c r="D117" i="8"/>
  <c r="D116" i="8"/>
  <c r="D115" i="8"/>
  <c r="D114" i="8"/>
  <c r="D113" i="8"/>
  <c r="D112" i="8"/>
  <c r="D111" i="8"/>
  <c r="D110" i="8"/>
  <c r="D109" i="8"/>
  <c r="D108" i="8"/>
  <c r="D107" i="8"/>
  <c r="D106" i="8"/>
  <c r="D105" i="8"/>
  <c r="D104" i="8"/>
  <c r="D103" i="8"/>
  <c r="D102" i="8"/>
  <c r="D101" i="8"/>
  <c r="D100" i="8"/>
  <c r="D99" i="8"/>
  <c r="D98" i="8"/>
  <c r="D97" i="8"/>
  <c r="D96" i="8"/>
  <c r="D95" i="8"/>
  <c r="D94" i="8"/>
  <c r="D93" i="8"/>
  <c r="D92" i="8"/>
  <c r="D91" i="8"/>
  <c r="D90" i="8"/>
  <c r="D89" i="8"/>
  <c r="D88" i="8"/>
  <c r="D87" i="8"/>
  <c r="D86" i="8"/>
  <c r="D85" i="8"/>
  <c r="D84" i="8"/>
  <c r="D83" i="8"/>
  <c r="D82" i="8"/>
  <c r="D81" i="8"/>
  <c r="D80" i="8"/>
  <c r="D79" i="8"/>
  <c r="D78" i="8"/>
  <c r="D77" i="8"/>
  <c r="D76" i="8"/>
  <c r="D75" i="8"/>
  <c r="D74" i="8"/>
  <c r="D73" i="8"/>
  <c r="D72" i="8"/>
  <c r="D71" i="8"/>
  <c r="D70" i="8"/>
  <c r="D69" i="8"/>
  <c r="D68" i="8"/>
  <c r="D67" i="8"/>
  <c r="D66" i="8"/>
  <c r="D65" i="8"/>
  <c r="D64" i="8"/>
  <c r="D63" i="8"/>
  <c r="D62" i="8"/>
  <c r="D61" i="8"/>
  <c r="D60" i="8"/>
  <c r="D59" i="8"/>
  <c r="D58" i="8"/>
  <c r="D57" i="8"/>
  <c r="D56" i="8"/>
  <c r="D55" i="8"/>
  <c r="D54" i="8"/>
  <c r="D53" i="8"/>
  <c r="D52" i="8"/>
  <c r="D51" i="8"/>
  <c r="D50" i="8"/>
  <c r="D49" i="8"/>
  <c r="D48" i="8"/>
  <c r="D47" i="8"/>
  <c r="D46" i="8"/>
  <c r="D45" i="8"/>
  <c r="D44" i="8"/>
  <c r="D43" i="8"/>
  <c r="D42" i="8"/>
  <c r="D41" i="8"/>
  <c r="D40" i="8"/>
  <c r="D39" i="8"/>
  <c r="D38" i="8"/>
  <c r="D37" i="8"/>
  <c r="D36" i="8"/>
  <c r="D35" i="8"/>
  <c r="D34" i="8"/>
  <c r="D33" i="8"/>
  <c r="D32" i="8"/>
  <c r="D31" i="8"/>
  <c r="D30" i="8"/>
  <c r="D29" i="8"/>
  <c r="D28" i="8"/>
  <c r="D27" i="8"/>
  <c r="D26" i="8"/>
  <c r="D25" i="8"/>
  <c r="D24" i="8"/>
  <c r="D23" i="8"/>
  <c r="D22" i="8"/>
  <c r="D21" i="8"/>
  <c r="D20" i="8"/>
  <c r="D19" i="8"/>
  <c r="D18" i="8"/>
  <c r="D17" i="8"/>
  <c r="D16" i="8"/>
  <c r="D15" i="8"/>
  <c r="D14" i="8"/>
  <c r="D13" i="8"/>
  <c r="D12" i="8"/>
  <c r="D11" i="8"/>
  <c r="D10" i="8"/>
  <c r="D9" i="8"/>
  <c r="D8" i="8"/>
  <c r="D7" i="8"/>
  <c r="D6" i="8"/>
  <c r="D5" i="8"/>
  <c r="D4" i="8"/>
  <c r="G22" i="7"/>
  <c r="F22" i="7"/>
  <c r="E22" i="7"/>
  <c r="D22" i="7"/>
  <c r="C22" i="7"/>
  <c r="B22" i="7"/>
  <c r="G21" i="7"/>
  <c r="F21" i="7"/>
  <c r="E21" i="7"/>
  <c r="D21" i="7"/>
  <c r="C21" i="7"/>
  <c r="B21" i="7"/>
  <c r="G20" i="7"/>
  <c r="F20" i="7"/>
  <c r="E20" i="7"/>
  <c r="D20" i="7"/>
  <c r="C20" i="7"/>
  <c r="B20" i="7"/>
  <c r="G19" i="7"/>
  <c r="F19" i="7"/>
  <c r="E19" i="7"/>
  <c r="D19" i="7"/>
  <c r="C19" i="7"/>
  <c r="B19" i="7"/>
  <c r="G18" i="7"/>
  <c r="F18" i="7"/>
  <c r="E18" i="7"/>
  <c r="D18" i="7"/>
  <c r="C18" i="7"/>
  <c r="B18" i="7"/>
  <c r="G17" i="7"/>
  <c r="F17" i="7"/>
  <c r="E17" i="7"/>
  <c r="D17" i="7"/>
  <c r="C17" i="7"/>
  <c r="C23" i="7" s="1"/>
  <c r="B17" i="7"/>
  <c r="G16" i="7"/>
  <c r="G23" i="7" s="1"/>
  <c r="F16" i="7"/>
  <c r="F23" i="7" s="1"/>
  <c r="E16" i="7"/>
  <c r="E23" i="7" s="1"/>
  <c r="D16" i="7"/>
  <c r="D23" i="7" s="1"/>
  <c r="C16" i="7"/>
  <c r="B16" i="7"/>
  <c r="B23" i="7" s="1"/>
  <c r="F11" i="7"/>
  <c r="E11" i="7"/>
  <c r="D11" i="7"/>
  <c r="C11" i="7"/>
  <c r="B11" i="7"/>
  <c r="G11" i="7" s="1"/>
  <c r="F10" i="7"/>
  <c r="E10" i="7"/>
  <c r="D10" i="7"/>
  <c r="C10" i="7"/>
  <c r="B10" i="7"/>
  <c r="G10" i="7" s="1"/>
  <c r="F9" i="7"/>
  <c r="E9" i="7"/>
  <c r="D9" i="7"/>
  <c r="C9" i="7"/>
  <c r="B9" i="7"/>
  <c r="G9" i="7" s="1"/>
  <c r="F8" i="7"/>
  <c r="E8" i="7"/>
  <c r="D8" i="7"/>
  <c r="C8" i="7"/>
  <c r="B8" i="7"/>
  <c r="G8" i="7" s="1"/>
  <c r="F7" i="7"/>
  <c r="E7" i="7"/>
  <c r="D7" i="7"/>
  <c r="C7" i="7"/>
  <c r="B7" i="7"/>
  <c r="G7" i="7" s="1"/>
  <c r="F6" i="7"/>
  <c r="E6" i="7"/>
  <c r="D6" i="7"/>
  <c r="C6" i="7"/>
  <c r="C12" i="7" s="1"/>
  <c r="B6" i="7"/>
  <c r="G6" i="7" s="1"/>
  <c r="F5" i="7"/>
  <c r="F12" i="7" s="1"/>
  <c r="E5" i="7"/>
  <c r="E12" i="7" s="1"/>
  <c r="D5" i="7"/>
  <c r="D12" i="7" s="1"/>
  <c r="C5" i="7"/>
  <c r="B5" i="7"/>
  <c r="B12" i="7" s="1"/>
  <c r="G30" i="6"/>
  <c r="F30" i="6"/>
  <c r="E30" i="6"/>
  <c r="D30" i="6"/>
  <c r="C30" i="6"/>
  <c r="B30" i="6"/>
  <c r="G29" i="6"/>
  <c r="F29" i="6"/>
  <c r="E29" i="6"/>
  <c r="D29" i="6"/>
  <c r="C29" i="6"/>
  <c r="B29" i="6"/>
  <c r="G28" i="6"/>
  <c r="F28" i="6"/>
  <c r="E28" i="6"/>
  <c r="D28" i="6"/>
  <c r="C28" i="6"/>
  <c r="B28" i="6"/>
  <c r="G27" i="6"/>
  <c r="F27" i="6"/>
  <c r="E27" i="6"/>
  <c r="D27" i="6"/>
  <c r="C27" i="6"/>
  <c r="B27" i="6"/>
  <c r="G26" i="6"/>
  <c r="F26" i="6"/>
  <c r="E26" i="6"/>
  <c r="D26" i="6"/>
  <c r="C26" i="6"/>
  <c r="B26" i="6"/>
  <c r="G25" i="6"/>
  <c r="F25" i="6"/>
  <c r="E25" i="6"/>
  <c r="D25" i="6"/>
  <c r="C25" i="6"/>
  <c r="B25" i="6"/>
  <c r="G24" i="6"/>
  <c r="F24" i="6"/>
  <c r="E24" i="6"/>
  <c r="D24" i="6"/>
  <c r="C24" i="6"/>
  <c r="B24" i="6"/>
  <c r="G23" i="6"/>
  <c r="F23" i="6"/>
  <c r="E23" i="6"/>
  <c r="D23" i="6"/>
  <c r="C23" i="6"/>
  <c r="B23" i="6"/>
  <c r="G22" i="6"/>
  <c r="F22" i="6"/>
  <c r="E22" i="6"/>
  <c r="D22" i="6"/>
  <c r="C22" i="6"/>
  <c r="B22" i="6"/>
  <c r="G21" i="6"/>
  <c r="F21" i="6"/>
  <c r="E21" i="6"/>
  <c r="D21" i="6"/>
  <c r="C21" i="6"/>
  <c r="C31" i="6" s="1"/>
  <c r="B21" i="6"/>
  <c r="G20" i="6"/>
  <c r="G31" i="6" s="1"/>
  <c r="F20" i="6"/>
  <c r="F31" i="6" s="1"/>
  <c r="E20" i="6"/>
  <c r="E31" i="6" s="1"/>
  <c r="D20" i="6"/>
  <c r="D31" i="6" s="1"/>
  <c r="C20" i="6"/>
  <c r="B20" i="6"/>
  <c r="B31" i="6" s="1"/>
  <c r="F15" i="6"/>
  <c r="E15" i="6"/>
  <c r="D15" i="6"/>
  <c r="C15" i="6"/>
  <c r="B15" i="6"/>
  <c r="G15" i="6" s="1"/>
  <c r="F14" i="6"/>
  <c r="E14" i="6"/>
  <c r="D14" i="6"/>
  <c r="C14" i="6"/>
  <c r="B14" i="6"/>
  <c r="G14" i="6" s="1"/>
  <c r="F13" i="6"/>
  <c r="E13" i="6"/>
  <c r="D13" i="6"/>
  <c r="C13" i="6"/>
  <c r="B13" i="6"/>
  <c r="G13" i="6" s="1"/>
  <c r="F12" i="6"/>
  <c r="E12" i="6"/>
  <c r="D12" i="6"/>
  <c r="C12" i="6"/>
  <c r="B12" i="6"/>
  <c r="G12" i="6" s="1"/>
  <c r="F11" i="6"/>
  <c r="E11" i="6"/>
  <c r="D11" i="6"/>
  <c r="C11" i="6"/>
  <c r="B11" i="6"/>
  <c r="G11" i="6" s="1"/>
  <c r="F10" i="6"/>
  <c r="E10" i="6"/>
  <c r="D10" i="6"/>
  <c r="C10" i="6"/>
  <c r="B10" i="6"/>
  <c r="G10" i="6" s="1"/>
  <c r="F9" i="6"/>
  <c r="E9" i="6"/>
  <c r="D9" i="6"/>
  <c r="C9" i="6"/>
  <c r="B9" i="6"/>
  <c r="G9" i="6" s="1"/>
  <c r="F8" i="6"/>
  <c r="E8" i="6"/>
  <c r="D8" i="6"/>
  <c r="C8" i="6"/>
  <c r="B8" i="6"/>
  <c r="G8" i="6" s="1"/>
  <c r="F7" i="6"/>
  <c r="E7" i="6"/>
  <c r="D7" i="6"/>
  <c r="C7" i="6"/>
  <c r="B7" i="6"/>
  <c r="G7" i="6" s="1"/>
  <c r="F6" i="6"/>
  <c r="E6" i="6"/>
  <c r="D6" i="6"/>
  <c r="C6" i="6"/>
  <c r="C16" i="6" s="1"/>
  <c r="B6" i="6"/>
  <c r="G6" i="6" s="1"/>
  <c r="F5" i="6"/>
  <c r="F16" i="6" s="1"/>
  <c r="E5" i="6"/>
  <c r="E16" i="6" s="1"/>
  <c r="D5" i="6"/>
  <c r="D16" i="6" s="1"/>
  <c r="C5" i="6"/>
  <c r="B5" i="6"/>
  <c r="B16" i="6" s="1"/>
  <c r="G20" i="5"/>
  <c r="F20" i="5"/>
  <c r="E20" i="5"/>
  <c r="D20" i="5"/>
  <c r="C20" i="5"/>
  <c r="B20" i="5"/>
  <c r="G19" i="5"/>
  <c r="F19" i="5"/>
  <c r="E19" i="5"/>
  <c r="D19" i="5"/>
  <c r="C19" i="5"/>
  <c r="B19" i="5"/>
  <c r="G18" i="5"/>
  <c r="F18" i="5"/>
  <c r="E18" i="5"/>
  <c r="D18" i="5"/>
  <c r="C18" i="5"/>
  <c r="B18" i="5"/>
  <c r="G17" i="5"/>
  <c r="F17" i="5"/>
  <c r="E17" i="5"/>
  <c r="D17" i="5"/>
  <c r="C17" i="5"/>
  <c r="B17" i="5"/>
  <c r="G16" i="5"/>
  <c r="F16" i="5"/>
  <c r="E16" i="5"/>
  <c r="D16" i="5"/>
  <c r="C16" i="5"/>
  <c r="B16" i="5"/>
  <c r="G15" i="5"/>
  <c r="G21" i="5" s="1"/>
  <c r="F15" i="5"/>
  <c r="F21" i="5" s="1"/>
  <c r="E15" i="5"/>
  <c r="E21" i="5" s="1"/>
  <c r="D15" i="5"/>
  <c r="D21" i="5" s="1"/>
  <c r="C15" i="5"/>
  <c r="C21" i="5" s="1"/>
  <c r="B15" i="5"/>
  <c r="B21" i="5" s="1"/>
  <c r="F10" i="5"/>
  <c r="E10" i="5"/>
  <c r="D10" i="5"/>
  <c r="C10" i="5"/>
  <c r="B10" i="5"/>
  <c r="G10" i="5" s="1"/>
  <c r="F9" i="5"/>
  <c r="E9" i="5"/>
  <c r="D9" i="5"/>
  <c r="C9" i="5"/>
  <c r="B9" i="5"/>
  <c r="G9" i="5" s="1"/>
  <c r="F8" i="5"/>
  <c r="E8" i="5"/>
  <c r="D8" i="5"/>
  <c r="C8" i="5"/>
  <c r="B8" i="5"/>
  <c r="G8" i="5" s="1"/>
  <c r="F7" i="5"/>
  <c r="E7" i="5"/>
  <c r="D7" i="5"/>
  <c r="C7" i="5"/>
  <c r="B7" i="5"/>
  <c r="G7" i="5" s="1"/>
  <c r="F6" i="5"/>
  <c r="E6" i="5"/>
  <c r="D6" i="5"/>
  <c r="C6" i="5"/>
  <c r="B6" i="5"/>
  <c r="G6" i="5" s="1"/>
  <c r="F5" i="5"/>
  <c r="F11" i="5" s="1"/>
  <c r="E5" i="5"/>
  <c r="E11" i="5" s="1"/>
  <c r="D5" i="5"/>
  <c r="D11" i="5" s="1"/>
  <c r="C5" i="5"/>
  <c r="C11" i="5" s="1"/>
  <c r="B5" i="5"/>
  <c r="B11" i="5" s="1"/>
  <c r="G30" i="4"/>
  <c r="F30" i="4"/>
  <c r="E30" i="4"/>
  <c r="D30" i="4"/>
  <c r="C30" i="4"/>
  <c r="B30" i="4"/>
  <c r="G29" i="4"/>
  <c r="F29" i="4"/>
  <c r="E29" i="4"/>
  <c r="D29" i="4"/>
  <c r="C29" i="4"/>
  <c r="B29" i="4"/>
  <c r="G28" i="4"/>
  <c r="F28" i="4"/>
  <c r="E28" i="4"/>
  <c r="D28" i="4"/>
  <c r="C28" i="4"/>
  <c r="B28" i="4"/>
  <c r="G27" i="4"/>
  <c r="F27" i="4"/>
  <c r="E27" i="4"/>
  <c r="D27" i="4"/>
  <c r="C27" i="4"/>
  <c r="B27" i="4"/>
  <c r="G26" i="4"/>
  <c r="F26" i="4"/>
  <c r="E26" i="4"/>
  <c r="D26" i="4"/>
  <c r="C26" i="4"/>
  <c r="B26" i="4"/>
  <c r="G25" i="4"/>
  <c r="F25" i="4"/>
  <c r="E25" i="4"/>
  <c r="D25" i="4"/>
  <c r="C25" i="4"/>
  <c r="B25" i="4"/>
  <c r="G24" i="4"/>
  <c r="F24" i="4"/>
  <c r="E24" i="4"/>
  <c r="D24" i="4"/>
  <c r="C24" i="4"/>
  <c r="B24" i="4"/>
  <c r="G23" i="4"/>
  <c r="F23" i="4"/>
  <c r="E23" i="4"/>
  <c r="D23" i="4"/>
  <c r="C23" i="4"/>
  <c r="B23" i="4"/>
  <c r="G22" i="4"/>
  <c r="F22" i="4"/>
  <c r="E22" i="4"/>
  <c r="D22" i="4"/>
  <c r="C22" i="4"/>
  <c r="B22" i="4"/>
  <c r="G21" i="4"/>
  <c r="F21" i="4"/>
  <c r="E21" i="4"/>
  <c r="D21" i="4"/>
  <c r="C21" i="4"/>
  <c r="C31" i="4" s="1"/>
  <c r="B21" i="4"/>
  <c r="G20" i="4"/>
  <c r="G31" i="4" s="1"/>
  <c r="F20" i="4"/>
  <c r="F31" i="4" s="1"/>
  <c r="E20" i="4"/>
  <c r="E31" i="4" s="1"/>
  <c r="D20" i="4"/>
  <c r="D31" i="4" s="1"/>
  <c r="C20" i="4"/>
  <c r="B20" i="4"/>
  <c r="B31" i="4" s="1"/>
  <c r="F15" i="4"/>
  <c r="E15" i="4"/>
  <c r="D15" i="4"/>
  <c r="C15" i="4"/>
  <c r="B15" i="4"/>
  <c r="G15" i="4" s="1"/>
  <c r="F14" i="4"/>
  <c r="E14" i="4"/>
  <c r="D14" i="4"/>
  <c r="C14" i="4"/>
  <c r="B14" i="4"/>
  <c r="G14" i="4" s="1"/>
  <c r="F13" i="4"/>
  <c r="E13" i="4"/>
  <c r="D13" i="4"/>
  <c r="C13" i="4"/>
  <c r="B13" i="4"/>
  <c r="G13" i="4" s="1"/>
  <c r="F12" i="4"/>
  <c r="E12" i="4"/>
  <c r="D12" i="4"/>
  <c r="C12" i="4"/>
  <c r="B12" i="4"/>
  <c r="G12" i="4" s="1"/>
  <c r="F11" i="4"/>
  <c r="E11" i="4"/>
  <c r="D11" i="4"/>
  <c r="C11" i="4"/>
  <c r="B11" i="4"/>
  <c r="G11" i="4" s="1"/>
  <c r="F10" i="4"/>
  <c r="E10" i="4"/>
  <c r="D10" i="4"/>
  <c r="C10" i="4"/>
  <c r="B10" i="4"/>
  <c r="G10" i="4" s="1"/>
  <c r="F9" i="4"/>
  <c r="E9" i="4"/>
  <c r="D9" i="4"/>
  <c r="C9" i="4"/>
  <c r="B9" i="4"/>
  <c r="G9" i="4" s="1"/>
  <c r="F8" i="4"/>
  <c r="E8" i="4"/>
  <c r="D8" i="4"/>
  <c r="C8" i="4"/>
  <c r="B8" i="4"/>
  <c r="G8" i="4" s="1"/>
  <c r="F7" i="4"/>
  <c r="E7" i="4"/>
  <c r="D7" i="4"/>
  <c r="C7" i="4"/>
  <c r="B7" i="4"/>
  <c r="G7" i="4" s="1"/>
  <c r="F6" i="4"/>
  <c r="E6" i="4"/>
  <c r="D6" i="4"/>
  <c r="C6" i="4"/>
  <c r="B6" i="4"/>
  <c r="G6" i="4" s="1"/>
  <c r="F5" i="4"/>
  <c r="F16" i="4" s="1"/>
  <c r="E5" i="4"/>
  <c r="E16" i="4" s="1"/>
  <c r="D5" i="4"/>
  <c r="D16" i="4" s="1"/>
  <c r="C5" i="4"/>
  <c r="C16" i="4" s="1"/>
  <c r="B5" i="4"/>
  <c r="B16" i="4" s="1"/>
  <c r="F17" i="3"/>
  <c r="E17" i="3"/>
  <c r="D17" i="3"/>
  <c r="C17" i="3"/>
  <c r="B17" i="3"/>
  <c r="G17" i="3" s="1"/>
  <c r="F16" i="3"/>
  <c r="E16" i="3"/>
  <c r="D16" i="3"/>
  <c r="C16" i="3"/>
  <c r="B16" i="3"/>
  <c r="G16" i="3" s="1"/>
  <c r="F15" i="3"/>
  <c r="E15" i="3"/>
  <c r="D15" i="3"/>
  <c r="C15" i="3"/>
  <c r="B15" i="3"/>
  <c r="G15" i="3" s="1"/>
  <c r="F14" i="3"/>
  <c r="E14" i="3"/>
  <c r="D14" i="3"/>
  <c r="C14" i="3"/>
  <c r="B14" i="3"/>
  <c r="G14" i="3" s="1"/>
  <c r="E10" i="3"/>
  <c r="D10" i="3"/>
  <c r="C10" i="3"/>
  <c r="B10" i="3"/>
  <c r="F10" i="3" s="1"/>
  <c r="E9" i="3"/>
  <c r="D9" i="3"/>
  <c r="C9" i="3"/>
  <c r="B9" i="3"/>
  <c r="F9" i="3" s="1"/>
  <c r="E8" i="3"/>
  <c r="F8" i="3" s="1"/>
  <c r="D8" i="3"/>
  <c r="C8" i="3"/>
  <c r="B8" i="3"/>
  <c r="E7" i="3"/>
  <c r="D7" i="3"/>
  <c r="C7" i="3"/>
  <c r="B7" i="3"/>
  <c r="F7" i="3" s="1"/>
  <c r="E6" i="3"/>
  <c r="D6" i="3"/>
  <c r="C6" i="3"/>
  <c r="F6" i="3" s="1"/>
  <c r="B6" i="3"/>
  <c r="E46" i="2"/>
  <c r="D46" i="2"/>
  <c r="C46" i="2"/>
  <c r="B46" i="2"/>
  <c r="F46" i="2" s="1"/>
  <c r="E45" i="2"/>
  <c r="D45" i="2"/>
  <c r="C45" i="2"/>
  <c r="B45" i="2"/>
  <c r="F45" i="2" s="1"/>
  <c r="F44" i="2"/>
  <c r="E44" i="2"/>
  <c r="D44" i="2"/>
  <c r="C44" i="2"/>
  <c r="B44" i="2"/>
  <c r="E43" i="2"/>
  <c r="D43" i="2"/>
  <c r="C43" i="2"/>
  <c r="B43" i="2"/>
  <c r="F43" i="2" s="1"/>
  <c r="E42" i="2"/>
  <c r="D42" i="2"/>
  <c r="F42" i="2" s="1"/>
  <c r="C42" i="2"/>
  <c r="B42" i="2"/>
  <c r="E41" i="2"/>
  <c r="D41" i="2"/>
  <c r="C41" i="2"/>
  <c r="B41" i="2"/>
  <c r="F41" i="2" s="1"/>
  <c r="E40" i="2"/>
  <c r="D40" i="2"/>
  <c r="C40" i="2"/>
  <c r="B40" i="2"/>
  <c r="F40" i="2" s="1"/>
  <c r="E39" i="2"/>
  <c r="D39" i="2"/>
  <c r="C39" i="2"/>
  <c r="B39" i="2"/>
  <c r="F39" i="2" s="1"/>
  <c r="E38" i="2"/>
  <c r="D38" i="2"/>
  <c r="C38" i="2"/>
  <c r="B38" i="2"/>
  <c r="F38" i="2" s="1"/>
  <c r="E37" i="2"/>
  <c r="F37" i="2" s="1"/>
  <c r="D37" i="2"/>
  <c r="C37" i="2"/>
  <c r="B37" i="2"/>
  <c r="E36" i="2"/>
  <c r="D36" i="2"/>
  <c r="C36" i="2"/>
  <c r="B36" i="2"/>
  <c r="F36" i="2" s="1"/>
  <c r="E35" i="2"/>
  <c r="D35" i="2"/>
  <c r="C35" i="2"/>
  <c r="F35" i="2" s="1"/>
  <c r="B35" i="2"/>
  <c r="E34" i="2"/>
  <c r="D34" i="2"/>
  <c r="C34" i="2"/>
  <c r="B34" i="2"/>
  <c r="F34" i="2" s="1"/>
  <c r="E33" i="2"/>
  <c r="D33" i="2"/>
  <c r="C33" i="2"/>
  <c r="B33" i="2"/>
  <c r="F33" i="2" s="1"/>
  <c r="F32" i="2"/>
  <c r="E32" i="2"/>
  <c r="D32" i="2"/>
  <c r="C32" i="2"/>
  <c r="B32" i="2"/>
  <c r="E31" i="2"/>
  <c r="D31" i="2"/>
  <c r="C31" i="2"/>
  <c r="B31" i="2"/>
  <c r="F31" i="2" s="1"/>
  <c r="E30" i="2"/>
  <c r="D30" i="2"/>
  <c r="F30" i="2" s="1"/>
  <c r="C30" i="2"/>
  <c r="B30" i="2"/>
  <c r="E29" i="2"/>
  <c r="D29" i="2"/>
  <c r="C29" i="2"/>
  <c r="B29" i="2"/>
  <c r="F29" i="2" s="1"/>
  <c r="E28" i="2"/>
  <c r="D28" i="2"/>
  <c r="C28" i="2"/>
  <c r="B28" i="2"/>
  <c r="F28" i="2" s="1"/>
  <c r="E27" i="2"/>
  <c r="D27" i="2"/>
  <c r="C27" i="2"/>
  <c r="B27" i="2"/>
  <c r="F27" i="2" s="1"/>
  <c r="E26" i="2"/>
  <c r="D26" i="2"/>
  <c r="C26" i="2"/>
  <c r="B26" i="2"/>
  <c r="F26" i="2" s="1"/>
  <c r="E25" i="2"/>
  <c r="F25" i="2" s="1"/>
  <c r="D25" i="2"/>
  <c r="C25" i="2"/>
  <c r="B25" i="2"/>
  <c r="E24" i="2"/>
  <c r="D24" i="2"/>
  <c r="C24" i="2"/>
  <c r="B24" i="2"/>
  <c r="F24" i="2" s="1"/>
  <c r="E23" i="2"/>
  <c r="D23" i="2"/>
  <c r="C23" i="2"/>
  <c r="F23" i="2" s="1"/>
  <c r="B23" i="2"/>
  <c r="E22" i="2"/>
  <c r="D22" i="2"/>
  <c r="C22" i="2"/>
  <c r="B22" i="2"/>
  <c r="F22" i="2" s="1"/>
  <c r="F17" i="2"/>
  <c r="E17" i="2"/>
  <c r="D17" i="2"/>
  <c r="C17" i="2"/>
  <c r="B17" i="2"/>
  <c r="G17" i="2" s="1"/>
  <c r="F16" i="2"/>
  <c r="E16" i="2"/>
  <c r="D16" i="2"/>
  <c r="C16" i="2"/>
  <c r="B16" i="2"/>
  <c r="G16" i="2" s="1"/>
  <c r="F15" i="2"/>
  <c r="E15" i="2"/>
  <c r="D15" i="2"/>
  <c r="C15" i="2"/>
  <c r="B15" i="2"/>
  <c r="G15" i="2" s="1"/>
  <c r="F14" i="2"/>
  <c r="F18" i="2" s="1"/>
  <c r="E14" i="2"/>
  <c r="E18" i="2" s="1"/>
  <c r="D14" i="2"/>
  <c r="D18" i="2" s="1"/>
  <c r="C14" i="2"/>
  <c r="C18" i="2" s="1"/>
  <c r="B14" i="2"/>
  <c r="B18" i="2" s="1"/>
  <c r="B9" i="2"/>
  <c r="B8" i="2"/>
  <c r="B7" i="2"/>
  <c r="B6" i="2"/>
  <c r="B10" i="2" s="1"/>
  <c r="G14" i="2" l="1"/>
  <c r="G18" i="2" s="1"/>
  <c r="G5" i="4"/>
  <c r="G16" i="4" s="1"/>
  <c r="G5" i="5"/>
  <c r="G11" i="5" s="1"/>
  <c r="G5" i="6"/>
  <c r="G16" i="6" s="1"/>
  <c r="G5" i="7"/>
  <c r="G12" i="7" s="1"/>
</calcChain>
</file>

<file path=xl/sharedStrings.xml><?xml version="1.0" encoding="utf-8"?>
<sst xmlns="http://schemas.openxmlformats.org/spreadsheetml/2006/main" count="4586" uniqueCount="1166">
  <si>
    <t>#</t>
  </si>
  <si>
    <t>Domain — Category</t>
  </si>
  <si>
    <t>Part</t>
  </si>
  <si>
    <t>Semantic</t>
  </si>
  <si>
    <t>English</t>
  </si>
  <si>
    <t>Character</t>
  </si>
  <si>
    <t>Mode</t>
  </si>
  <si>
    <t>Russian</t>
  </si>
  <si>
    <t>Kazakh</t>
  </si>
  <si>
    <t>SHAME DOMAIN</t>
  </si>
  <si>
    <t>Shame — Moral shame</t>
  </si>
  <si>
    <t>P1</t>
  </si>
  <si>
    <t>caused moral shame, tears as physical manifestation; Ellen (external moral standard, parental authority)</t>
  </si>
  <si>
    <t>At sixteen, thanks to Mammy and Ellen, she looked sweet, charming and giddy, but she was, in reality, self-willed, vain and obstinate. She had the easily stirred passions of her Irish father and nothing except the thinnest veneer of her mother's unselfish and forbearing nature. Ellen never fully realized that it was only a veneer, for Scarlett always showed her best face to her mother, concealing her escapades, curbing her temper and appearing as sweet-natured as she could in Ellen's presence, for her mother could shame her to tears with a reproachful glance.</t>
  </si>
  <si>
    <t>Scarlett</t>
  </si>
  <si>
    <t>felt</t>
  </si>
  <si>
    <t>TERM: pristydit' (пристыдить) — to put to shame, to shame (someone) [ORD]
PASSAGE: ибо одного укоряющего взгляда матери было достаточно, чтобы пристыдить ее до слез.
TRANS: ibo odnogo ukoryayushchego vzglyada materi bylo dostatochno, chtoby pristydit' ee do slez.
TRANSLATION: for a single reproachful glance from her mother was enough to shame her to tears.</t>
  </si>
  <si>
    <r>
      <rPr>
        <b/>
        <sz val="11"/>
        <color theme="1"/>
        <rFont val="Arial"/>
      </rPr>
      <t>TERM:</t>
    </r>
    <r>
      <rPr>
        <sz val="11"/>
        <color theme="1"/>
        <rFont val="Arial"/>
      </rPr>
      <t xml:space="preserve"> ŪİALTU (ҰЯЛТУ) — to make (someone) feel ashamed; to disconcert; to embarrass (causative) [KED, SZK]
</t>
    </r>
    <r>
      <rPr>
        <b/>
        <sz val="11"/>
        <color theme="1"/>
        <rFont val="Arial"/>
      </rPr>
      <t>PASSAGE:</t>
    </r>
    <r>
      <rPr>
        <sz val="11"/>
        <color theme="1"/>
        <rFont val="Arial"/>
      </rPr>
      <t xml:space="preserve"> Өзін момын етіп көрсетудің жолын білді, анасының сөге қараған жалғыз көзқарасы оны </t>
    </r>
    <r>
      <rPr>
        <b/>
        <sz val="11"/>
        <color theme="1"/>
        <rFont val="Arial"/>
      </rPr>
      <t>ұялтып</t>
    </r>
    <r>
      <rPr>
        <sz val="11"/>
        <color theme="1"/>
        <rFont val="Arial"/>
      </rPr>
      <t xml:space="preserve">, жылатуға жеткілікті болатын
</t>
    </r>
    <r>
      <rPr>
        <b/>
        <sz val="11"/>
        <color theme="1"/>
        <rFont val="Arial"/>
      </rPr>
      <t>TRANS:</t>
    </r>
    <r>
      <rPr>
        <sz val="11"/>
        <color theme="1"/>
        <rFont val="Arial"/>
      </rPr>
      <t xml:space="preserve"> Özın momyn etıp körsetudıñ jolyn bıldı, anasynyñ söge qarağan jalğyz közqarasy ony </t>
    </r>
    <r>
      <rPr>
        <b/>
        <sz val="11"/>
        <color theme="1"/>
        <rFont val="Arial"/>
      </rPr>
      <t>ūialtyp</t>
    </r>
    <r>
      <rPr>
        <sz val="11"/>
        <color theme="1"/>
        <rFont val="Arial"/>
      </rPr>
      <t xml:space="preserve">, jylatuğa jetkılıktı bolatyn
</t>
    </r>
    <r>
      <rPr>
        <b/>
        <sz val="11"/>
        <color theme="1"/>
        <rFont val="Arial"/>
      </rPr>
      <t>TRANSLATION:</t>
    </r>
    <r>
      <rPr>
        <sz val="11"/>
        <color theme="1"/>
        <rFont val="Arial"/>
      </rPr>
      <t xml:space="preserve"> She knew how to put on an air of meekness; her mother's single reproachful glance was enough to </t>
    </r>
    <r>
      <rPr>
        <b/>
        <sz val="11"/>
        <color theme="1"/>
        <rFont val="Arial"/>
      </rPr>
      <t>shame</t>
    </r>
    <r>
      <rPr>
        <sz val="11"/>
        <color theme="1"/>
        <rFont val="Arial"/>
      </rPr>
      <t xml:space="preserve"> her into tears.</t>
    </r>
  </si>
  <si>
    <t>mild moral shame, inner accusation; no physical manifestation; Ellen (internalized moral standard)</t>
  </si>
  <si>
    <t>To Scarlett, the very idea of saying such things to her own mother was almost sacrilegious. And yet—and yet—there was something very pleasant about the Tarleton girls' relations with their mother, and they adored her for all that they criticized and scolded and teased her. Not, Scarlett loyally hastened to tell herself, that she would prefer a mother like Mrs. Tarleton to Ellen, but still it would be fun to romp with a mother. She knew that even that thought was disrespectful to Ellen and felt ashamed of it.</t>
  </si>
  <si>
    <t>TERM: ustydilas' (устыдилась) — felt ashamed (pf., past fem.) [ORD] (lemma: устыдиться)
PASSAGE: Но она устыдилась такой мысли, почувствовав даже в этом какое-то неуважение к Эллин
TRANS: No ona ustydilas' takoy mysli, pochuvstvovav dazhe v etom kakoe-to neuvazhenie k Ellin
TRANSLATION: But she felt ashamed at such a thought, sensing in it a kind of disrespect toward Ellen</t>
  </si>
  <si>
    <r>
      <rPr>
        <b/>
        <sz val="11"/>
        <color theme="1"/>
        <rFont val="Arial"/>
      </rPr>
      <t>TERM:</t>
    </r>
    <r>
      <rPr>
        <sz val="11"/>
        <color theme="1"/>
        <rFont val="Arial"/>
      </rPr>
      <t xml:space="preserve"> ŪİALU (ҰЯЛУ) — to feel ashamed; to feel shy; to be embarrassed [KED, SZK]
</t>
    </r>
    <r>
      <rPr>
        <b/>
        <sz val="11"/>
        <color theme="1"/>
        <rFont val="Arial"/>
      </rPr>
      <t>PASSAGE:</t>
    </r>
    <r>
      <rPr>
        <sz val="11"/>
        <color theme="1"/>
        <rFont val="Arial"/>
      </rPr>
      <t xml:space="preserve"> Әйтсе де мұндай ойдың өзі Эллинге деген құрметсіздік сияқты сезіліп, </t>
    </r>
    <r>
      <rPr>
        <b/>
        <sz val="11"/>
        <color theme="1"/>
        <rFont val="Arial"/>
      </rPr>
      <t>ұялып</t>
    </r>
    <r>
      <rPr>
        <sz val="11"/>
        <color theme="1"/>
        <rFont val="Arial"/>
      </rPr>
      <t xml:space="preserve"> қалды.
</t>
    </r>
    <r>
      <rPr>
        <b/>
        <sz val="11"/>
        <color theme="1"/>
        <rFont val="Arial"/>
      </rPr>
      <t>TRANS:</t>
    </r>
    <r>
      <rPr>
        <sz val="11"/>
        <color theme="1"/>
        <rFont val="Arial"/>
      </rPr>
      <t xml:space="preserve"> Äitse de mūndai oidyñ özı Elinge degen qūrmetsızdık siaqty sezılıp, </t>
    </r>
    <r>
      <rPr>
        <b/>
        <sz val="11"/>
        <color theme="1"/>
        <rFont val="Arial"/>
      </rPr>
      <t>ūialyp</t>
    </r>
    <r>
      <rPr>
        <sz val="11"/>
        <color theme="1"/>
        <rFont val="Arial"/>
      </rPr>
      <t xml:space="preserve"> qaldy.
</t>
    </r>
    <r>
      <rPr>
        <b/>
        <sz val="11"/>
        <color theme="1"/>
        <rFont val="Arial"/>
      </rPr>
      <t>TRANSLATION:</t>
    </r>
    <r>
      <rPr>
        <sz val="11"/>
        <color theme="1"/>
        <rFont val="Arial"/>
      </rPr>
      <t xml:space="preserve"> And yet such a thought itself felt like disrespect toward Ellen, and she felt </t>
    </r>
    <r>
      <rPr>
        <b/>
        <sz val="11"/>
        <color theme="1"/>
        <rFont val="Arial"/>
      </rPr>
      <t>ashamed</t>
    </r>
    <r>
      <rPr>
        <sz val="11"/>
        <color theme="1"/>
        <rFont val="Arial"/>
      </rPr>
      <t>.</t>
    </r>
  </si>
  <si>
    <t>P3</t>
  </si>
  <si>
    <t>shame at openly  violating social-moral duty; mild; no physical manifestation</t>
  </si>
  <si>
    <t>She went hastily up the two short blocks to Peachtree Street, breathing the unfouled air in as deep gulps as her tightly laced corset would permit. She was standing on the corner, uncertain as to what she would do next, ashamed to go home to Aunt Pitty's but determined not to go back to the hospital, when Rhett Butler drove by.</t>
  </si>
  <si>
    <t>TERM: stydno (стыдно) — it is shameful; (one) feels ashamed (impersonal predicate) [ORD]
PASSAGE: ей стыдно было возвратиться к тете Питти,
TRANS: ey stydno bylo vozvratit'sya k tete Pitti,
TRANSLATION: she was ashamed to return to Aunt Pitty,</t>
  </si>
  <si>
    <r>
      <rPr>
        <b/>
        <sz val="11"/>
        <color theme="1"/>
        <rFont val="Arial"/>
      </rPr>
      <t>TERM:</t>
    </r>
    <r>
      <rPr>
        <sz val="11"/>
        <color theme="1"/>
        <rFont val="Arial"/>
      </rPr>
      <t xml:space="preserve"> ŪİALU (ҰЯЛУ) — to feel ashamed; to feel shy; to be embarrassed [KED, SZK]
</t>
    </r>
    <r>
      <rPr>
        <b/>
        <sz val="11"/>
        <color theme="1"/>
        <rFont val="Arial"/>
      </rPr>
      <t>PASSAGE:</t>
    </r>
    <r>
      <rPr>
        <sz val="11"/>
        <color theme="1"/>
        <rFont val="Arial"/>
      </rPr>
      <t xml:space="preserve"> Бұрышқа жеткенде әрі қарай қалай жүрерін білмей тұрып қалды; Ол Питти тәтейге баруға </t>
    </r>
    <r>
      <rPr>
        <b/>
        <sz val="11"/>
        <color theme="1"/>
        <rFont val="Arial"/>
      </rPr>
      <t>ұялды</t>
    </r>
    <r>
      <rPr>
        <sz val="11"/>
        <color theme="1"/>
        <rFont val="Arial"/>
      </rPr>
      <t xml:space="preserve">
</t>
    </r>
    <r>
      <rPr>
        <b/>
        <sz val="11"/>
        <color theme="1"/>
        <rFont val="Arial"/>
      </rPr>
      <t>TRANS:</t>
    </r>
    <r>
      <rPr>
        <sz val="11"/>
        <color theme="1"/>
        <rFont val="Arial"/>
      </rPr>
      <t xml:space="preserve"> Būryşqa jetkende ärı qarai qalai jürerın bılmei tūryp qaldy; Ol Pitti täteige baruğa </t>
    </r>
    <r>
      <rPr>
        <b/>
        <sz val="11"/>
        <color theme="1"/>
        <rFont val="Arial"/>
      </rPr>
      <t>ūialdy</t>
    </r>
    <r>
      <rPr>
        <sz val="11"/>
        <color theme="1"/>
        <rFont val="Arial"/>
      </rPr>
      <t xml:space="preserve">
</t>
    </r>
    <r>
      <rPr>
        <b/>
        <sz val="11"/>
        <color theme="1"/>
        <rFont val="Arial"/>
      </rPr>
      <t>TRANSLATION:</t>
    </r>
    <r>
      <rPr>
        <sz val="11"/>
        <color theme="1"/>
        <rFont val="Arial"/>
      </rPr>
      <t xml:space="preserve"> When she reached the corner she stood still, not knowing what to do next; she was too </t>
    </r>
    <r>
      <rPr>
        <b/>
        <sz val="11"/>
        <color theme="1"/>
        <rFont val="Arial"/>
      </rPr>
      <t>ashamed</t>
    </r>
    <r>
      <rPr>
        <sz val="11"/>
        <color theme="1"/>
        <rFont val="Arial"/>
      </rPr>
      <t xml:space="preserve"> to go to Aunt Pitty.</t>
    </r>
  </si>
  <si>
    <t>mild moral shame about angry outburst towards a servant; inner accusation; no physical manifestation; no specific witness</t>
  </si>
  <si>
    <t>A sullen "Yas'm" drifted up to her and she drew a deep breath, feeling suddenly ashamed of herself.</t>
  </si>
  <si>
    <t>TERM: ustydyas' (устыдясь) — having felt ashamed (gerund) [ORD] (lemma: устыдиться)
PASSAGE: и Скарлетт глубоко вздохнула, устыдясь своей внезапной вспышки
TRANS: i Skarlett gluboko vzdokhnula, ustydyas' svoey vnezapnoy vspyshki
TRANSLATION: and Scarlett took a deep breath, ashamed of her sudden outburst</t>
  </si>
  <si>
    <t>shame about own cowardice, inadvertently exposed by Melanie; no physical manifestation</t>
  </si>
  <si>
    <t>What Melanie said was no more than Scarlett had been thinking but hearing it put into words infuriated her, shamed her as if her secret cowardice was written plainly in her face.</t>
  </si>
  <si>
    <t>TERM: stydno (стыдно) — it is shameful; (one) feels ashamed (impersonal predicate) [ORD]
PASSAGE: ей было стыдно, словно Мелани прочла трусливые мысли на ее лице.
TRANS: ey bylo stydno, slovno Melani prochla truslivye mysli na ee litse.
TRANSLATION: she felt ashamed, as if Melanie had read her cowardly thoughts on her face.</t>
  </si>
  <si>
    <r>
      <rPr>
        <b/>
        <sz val="11"/>
        <color theme="1"/>
        <rFont val="Arial"/>
      </rPr>
      <t>TERM:</t>
    </r>
    <r>
      <rPr>
        <sz val="11"/>
        <color theme="1"/>
        <rFont val="Arial"/>
      </rPr>
      <t xml:space="preserve"> ŪİALU (ҰЯЛУ) — to feel ashamed; to feel shy; to be embarrassed [KED, SZK]
</t>
    </r>
    <r>
      <rPr>
        <b/>
        <sz val="11"/>
        <color theme="1"/>
        <rFont val="Arial"/>
      </rPr>
      <t>PASSAGE:</t>
    </r>
    <r>
      <rPr>
        <sz val="11"/>
        <color theme="1"/>
        <rFont val="Arial"/>
      </rPr>
      <t xml:space="preserve"> Мелани тек Скарлеттің өзі ойлағанын дауыстап айтқан еді, бірақ Скарлетт, Мелани оның қорқынышын бетінен оқып қойғандай, </t>
    </r>
    <r>
      <rPr>
        <b/>
        <sz val="11"/>
        <color theme="1"/>
        <rFont val="Arial"/>
      </rPr>
      <t>ұялғаннан</t>
    </r>
    <r>
      <rPr>
        <sz val="11"/>
        <color theme="1"/>
        <rFont val="Arial"/>
      </rPr>
      <t xml:space="preserve"> ашуланды.
</t>
    </r>
    <r>
      <rPr>
        <b/>
        <sz val="11"/>
        <color theme="1"/>
        <rFont val="Arial"/>
      </rPr>
      <t>TRANS:</t>
    </r>
    <r>
      <rPr>
        <sz val="11"/>
        <color theme="1"/>
        <rFont val="Arial"/>
      </rPr>
      <t xml:space="preserve"> Melani tek Skarlettıñ özı oilağanyn dauystap aitqan edı, bıraq Skarlett, Melani onyñ qorqynyşyn betınen oqyp qoiğandai, </t>
    </r>
    <r>
      <rPr>
        <b/>
        <sz val="11"/>
        <color theme="1"/>
        <rFont val="Arial"/>
      </rPr>
      <t>ūialğannan</t>
    </r>
    <r>
      <rPr>
        <sz val="11"/>
        <color theme="1"/>
        <rFont val="Arial"/>
      </rPr>
      <t xml:space="preserve"> aşulandy.
</t>
    </r>
    <r>
      <rPr>
        <b/>
        <sz val="11"/>
        <color theme="1"/>
        <rFont val="Arial"/>
      </rPr>
      <t>TRANSLATION:</t>
    </r>
    <r>
      <rPr>
        <sz val="11"/>
        <color theme="1"/>
        <rFont val="Arial"/>
      </rPr>
      <t xml:space="preserve"> Melanie had only said aloud what Scarlett herself had been thinking, but Scarlett, as if Melanie had read her fear on her face, became angry from </t>
    </r>
    <r>
      <rPr>
        <b/>
        <sz val="11"/>
        <color theme="1"/>
        <rFont val="Arial"/>
      </rPr>
      <t>shame</t>
    </r>
    <r>
      <rPr>
        <sz val="11"/>
        <color theme="1"/>
        <rFont val="Arial"/>
      </rPr>
      <t>.</t>
    </r>
  </si>
  <si>
    <t>shame about unfair inner judgment; no physical manifestation; no audience</t>
  </si>
  <si>
    <t>By a series of limping jerks, she pulled the body down the hall toward the back porch and, pausing to wipe her forehead with the back of her hand, glanced back toward Melanie, sitting against the wall hugging her thin knees to her bare breasts. How silly of Melanie to be bothering about modesty at a time like this, Scarlett thought irritably. It was just part of her nicey-nice way of acting which had always made Scarlett despise her. Then shame rose in her. After all—after all, Melanie had dragged herself from bed so soon after having a baby and had come to her aid with a weapon too heavy even for her to lift. That had taken courage, the kind of courage Scarlett honestly knew she herself did not possess, the thin-steel, spun-silk courage which had characterized Melanie on the terrible night Atlanta fell and on the long trip home. It was the same intangible, unspectacular courage that all the Wilkeses possessed, a quality which Scarlett did not understand but to which she gave grudging tribute.</t>
  </si>
  <si>
    <t>TERM: stydno (стыдно) — it is shameful; (one) feels ashamed (impersonal predicate) [ORD]
PASSAGE: И тут ей неожиданно стало стыдно.
TRANS: I tut ey neozhidanno stalo stydno.
TRANSLATION: And then suddenly she felt ashamed.</t>
  </si>
  <si>
    <r>
      <rPr>
        <b/>
        <sz val="11"/>
        <color theme="1"/>
        <rFont val="Arial"/>
      </rPr>
      <t>PASSAGE:</t>
    </r>
    <r>
      <rPr>
        <sz val="11"/>
        <color theme="1"/>
        <rFont val="Arial"/>
      </rPr>
      <t xml:space="preserve"> Бірақ ол көп ұзамай </t>
    </r>
    <r>
      <rPr>
        <b/>
        <sz val="11"/>
        <color theme="1"/>
        <rFont val="Arial"/>
      </rPr>
      <t>ұялыс</t>
    </r>
    <r>
      <rPr>
        <sz val="11"/>
        <color theme="1"/>
        <rFont val="Arial"/>
      </rPr>
      <t xml:space="preserve"> тапты.
</t>
    </r>
    <r>
      <rPr>
        <b/>
        <sz val="11"/>
        <color theme="1"/>
        <rFont val="Arial"/>
      </rPr>
      <t>TRANS:</t>
    </r>
    <r>
      <rPr>
        <sz val="11"/>
        <color theme="1"/>
        <rFont val="Arial"/>
      </rPr>
      <t xml:space="preserve">  Bıraq ol köp ūzamai </t>
    </r>
    <r>
      <rPr>
        <b/>
        <sz val="11"/>
        <color theme="1"/>
        <rFont val="Arial"/>
      </rPr>
      <t>ūialys</t>
    </r>
    <r>
      <rPr>
        <sz val="11"/>
        <color theme="1"/>
        <rFont val="Arial"/>
      </rPr>
      <t xml:space="preserve"> tapty.
</t>
    </r>
    <r>
      <rPr>
        <b/>
        <sz val="11"/>
        <color theme="1"/>
        <rFont val="Arial"/>
      </rPr>
      <t>TRANSLATION:</t>
    </r>
    <r>
      <rPr>
        <sz val="11"/>
        <color theme="1"/>
        <rFont val="Arial"/>
      </rPr>
      <t xml:space="preserve"> But before long she felt </t>
    </r>
    <r>
      <rPr>
        <b/>
        <sz val="11"/>
        <color theme="1"/>
        <rFont val="Arial"/>
      </rPr>
      <t>embarrassment</t>
    </r>
    <r>
      <rPr>
        <sz val="11"/>
        <color theme="1"/>
        <rFont val="Arial"/>
      </rPr>
      <t xml:space="preserve"> / a sense of </t>
    </r>
    <r>
      <rPr>
        <b/>
        <sz val="11"/>
        <color theme="1"/>
        <rFont val="Arial"/>
      </rPr>
      <t>shame</t>
    </r>
    <r>
      <rPr>
        <sz val="11"/>
        <color theme="1"/>
        <rFont val="Arial"/>
      </rPr>
      <t>.</t>
    </r>
  </si>
  <si>
    <t>P4</t>
  </si>
  <si>
    <t>shame ascribed to  another — performative speech act (verdict / directive)</t>
  </si>
  <si>
    <t>"She didn't write you? Oh, I guess she was too ashamed to write you. She should be ashamed! Oh, to have such a mean sister!"</t>
  </si>
  <si>
    <t>ascribed</t>
  </si>
  <si>
    <t>TERM: stydno (стыдно) — it is shameful; (one) feels ashamed (impersonal predicate) [ORD]
PASSAGE: Ах, наверное, ей было слишком стыдно.
TRANS: Akh, navernoe, ey bylo slishkom stydno.
TRANSLATION: Ah, she must have been too ashamed.</t>
  </si>
  <si>
    <r>
      <rPr>
        <b/>
        <sz val="11"/>
        <color theme="1"/>
        <rFont val="Arial"/>
      </rPr>
      <t>TERM:</t>
    </r>
    <r>
      <rPr>
        <sz val="11"/>
        <color theme="1"/>
        <rFont val="Arial"/>
      </rPr>
      <t xml:space="preserve"> ŪİAT (ҰЯТ) — shame; disgrace; sense of decency (also: that which is improper) [KED, SZK]
</t>
    </r>
    <r>
      <rPr>
        <b/>
        <sz val="11"/>
        <color theme="1"/>
        <rFont val="Arial"/>
      </rPr>
      <t>PASSAGE:</t>
    </r>
    <r>
      <rPr>
        <sz val="11"/>
        <color theme="1"/>
        <rFont val="Arial"/>
      </rPr>
      <t xml:space="preserve"> Сірә, </t>
    </r>
    <r>
      <rPr>
        <b/>
        <sz val="11"/>
        <color theme="1"/>
        <rFont val="Arial"/>
      </rPr>
      <t>ұяты</t>
    </r>
    <r>
      <rPr>
        <sz val="11"/>
        <color theme="1"/>
        <rFont val="Arial"/>
      </rPr>
      <t xml:space="preserve"> жібермеген шығар.
</t>
    </r>
    <r>
      <rPr>
        <b/>
        <sz val="11"/>
        <color theme="1"/>
        <rFont val="Arial"/>
      </rPr>
      <t>TRANS:</t>
    </r>
    <r>
      <rPr>
        <sz val="11"/>
        <color theme="1"/>
        <rFont val="Arial"/>
      </rPr>
      <t xml:space="preserve"> Sırä, </t>
    </r>
    <r>
      <rPr>
        <b/>
        <sz val="11"/>
        <color theme="1"/>
        <rFont val="Arial"/>
      </rPr>
      <t>ūiaty</t>
    </r>
    <r>
      <rPr>
        <sz val="11"/>
        <color theme="1"/>
        <rFont val="Arial"/>
      </rPr>
      <t xml:space="preserve"> jıbermegen şyğar.
</t>
    </r>
    <r>
      <rPr>
        <b/>
        <sz val="11"/>
        <color theme="1"/>
        <rFont val="Arial"/>
      </rPr>
      <t>TRANSLATION:</t>
    </r>
    <r>
      <rPr>
        <sz val="11"/>
        <color theme="1"/>
        <rFont val="Arial"/>
      </rPr>
      <t xml:space="preserve"> Most likely </t>
    </r>
    <r>
      <rPr>
        <b/>
        <sz val="11"/>
        <color theme="1"/>
        <rFont val="Arial"/>
      </rPr>
      <t>shame</t>
    </r>
    <r>
      <rPr>
        <sz val="11"/>
        <color theme="1"/>
        <rFont val="Arial"/>
      </rPr>
      <t xml:space="preserve"> did not let her [write].</t>
    </r>
  </si>
  <si>
    <t>mild shame about being thought better than she is; no physical manifestation; community / diffuse audience</t>
  </si>
  <si>
    <t>She felt puzzled and a little ashamed, as always when people attributed to her emotions and motives they possessed and thought she shared.</t>
  </si>
  <si>
    <t>TERM: pristyzhennoy (пристыженной) — shamed, abashed (past pass. participle) [ORD] (lemma: пристыженный)
PASSAGE: Скарлетт была озадачена и чувствовала себя немного пристыженной
TRANS: Skarlett byla ozadachena i chuvstvovala sebya nemnogo pristyzhennoy
TRANSLATION: Scarlett was puzzled and felt herself a bit shamed</t>
  </si>
  <si>
    <r>
      <rPr>
        <b/>
        <sz val="11"/>
        <color theme="1"/>
        <rFont val="Arial"/>
      </rPr>
      <t>TERM:</t>
    </r>
    <r>
      <rPr>
        <sz val="11"/>
        <color theme="1"/>
        <rFont val="Arial"/>
      </rPr>
      <t xml:space="preserve"> QOLAİSYZ (ҚОЛАЙСЫЗ) — inappropriate; inconvenient; awkward [KED, SZK]
</t>
    </r>
    <r>
      <rPr>
        <b/>
        <sz val="11"/>
        <color theme="1"/>
        <rFont val="Arial"/>
      </rPr>
      <t>PASSAGE:</t>
    </r>
    <r>
      <rPr>
        <sz val="11"/>
        <color theme="1"/>
        <rFont val="Arial"/>
      </rPr>
      <t xml:space="preserve"> Скарлеттің көңілі алаңдап, өзін </t>
    </r>
    <r>
      <rPr>
        <b/>
        <sz val="11"/>
        <color theme="1"/>
        <rFont val="Arial"/>
      </rPr>
      <t>қолайсыз</t>
    </r>
    <r>
      <rPr>
        <sz val="11"/>
        <color theme="1"/>
        <rFont val="Arial"/>
      </rPr>
      <t xml:space="preserve"> сезініп тұр, әйтеуір, адамдар ылғи да бұған өзінің ойлары мен сезімдерін таңады да жүреді, мұның ортақтаспайтынымен шаруалары жоқ.
</t>
    </r>
    <r>
      <rPr>
        <b/>
        <sz val="11"/>
        <color theme="1"/>
        <rFont val="Arial"/>
      </rPr>
      <t>TRANS:</t>
    </r>
    <r>
      <rPr>
        <sz val="11"/>
        <color theme="1"/>
        <rFont val="Arial"/>
      </rPr>
      <t xml:space="preserve"> Skarlettıñ köñılı alañdap, özın </t>
    </r>
    <r>
      <rPr>
        <b/>
        <sz val="11"/>
        <color theme="1"/>
        <rFont val="Arial"/>
      </rPr>
      <t>qolaisyz</t>
    </r>
    <r>
      <rPr>
        <sz val="11"/>
        <color theme="1"/>
        <rFont val="Arial"/>
      </rPr>
      <t xml:space="preserve"> sezınıp tūr, äiteuır, adamdar ylği da būğan özınıñ oilary men sezımderın tañady da jüredı, mūnyñ ortaqtaspaitynymen şarualary joq.
</t>
    </r>
    <r>
      <rPr>
        <b/>
        <sz val="11"/>
        <color theme="1"/>
        <rFont val="Arial"/>
      </rPr>
      <t>TRANSLATION:</t>
    </r>
    <r>
      <rPr>
        <sz val="11"/>
        <color theme="1"/>
        <rFont val="Arial"/>
      </rPr>
      <t xml:space="preserve"> Scarlett was confused and felt </t>
    </r>
    <r>
      <rPr>
        <b/>
        <sz val="11"/>
        <color theme="1"/>
        <rFont val="Arial"/>
      </rPr>
      <t>awkward</t>
    </r>
    <r>
      <rPr>
        <sz val="11"/>
        <color theme="1"/>
        <rFont val="Arial"/>
      </rPr>
      <t xml:space="preserve"> — people always ascribe to her their own thoughts and feelings, with no regard for whether she shares them.</t>
    </r>
  </si>
  <si>
    <t>Ashley’s self-directed moral shame about causing another to sacrifice</t>
  </si>
  <si>
    <t>"You ashamed? Why should you be ashamed? I'm the one to feel shame and I do. If it hadn't been for my stupidity you wouldn't be in this fix. You'd never have married Frank. I should never have let you leave Tara last winter. Oh, fool that I was! I should have known you—known you were desperate, so desperate that you'd— I should have—I should have—" His face went haggard.</t>
  </si>
  <si>
    <t>TERM: stydno (стыдно) — it is shameful; (one) feels ashamed (impersonal predicate) [ORD]
PASSAGE: Вам было стыдно?
TRANS: Vam bylo stydno?
TRANSLATION: You were ashamed?</t>
  </si>
  <si>
    <r>
      <rPr>
        <b/>
        <sz val="11"/>
        <color theme="1"/>
        <rFont val="Arial"/>
      </rPr>
      <t>TERM:</t>
    </r>
    <r>
      <rPr>
        <sz val="11"/>
        <color theme="1"/>
        <rFont val="Arial"/>
      </rPr>
      <t xml:space="preserve"> ŪİALU (ҰЯЛУ) — to feel ashamed; to feel shy; to be embarrassed [KED, SZK]
</t>
    </r>
    <r>
      <rPr>
        <b/>
        <sz val="11"/>
        <color theme="1"/>
        <rFont val="Arial"/>
      </rPr>
      <t>PASSAGE:</t>
    </r>
    <r>
      <rPr>
        <sz val="11"/>
        <color theme="1"/>
        <rFont val="Arial"/>
      </rPr>
      <t xml:space="preserve"> </t>
    </r>
    <r>
      <rPr>
        <b/>
        <sz val="11"/>
        <color theme="1"/>
        <rFont val="Arial"/>
      </rPr>
      <t>Ұялдым</t>
    </r>
    <r>
      <rPr>
        <sz val="11"/>
        <color theme="1"/>
        <rFont val="Arial"/>
      </rPr>
      <t xml:space="preserve"> дейсіз бе?
</t>
    </r>
    <r>
      <rPr>
        <b/>
        <sz val="11"/>
        <color theme="1"/>
        <rFont val="Arial"/>
      </rPr>
      <t>TRANS:</t>
    </r>
    <r>
      <rPr>
        <sz val="11"/>
        <color theme="1"/>
        <rFont val="Arial"/>
      </rPr>
      <t xml:space="preserve"> </t>
    </r>
    <r>
      <rPr>
        <b/>
        <sz val="11"/>
        <color theme="1"/>
        <rFont val="Arial"/>
      </rPr>
      <t>Ūialdym</t>
    </r>
    <r>
      <rPr>
        <sz val="11"/>
        <color theme="1"/>
        <rFont val="Arial"/>
      </rPr>
      <t xml:space="preserve"> deisız be?
</t>
    </r>
    <r>
      <rPr>
        <b/>
        <sz val="11"/>
        <color theme="1"/>
        <rFont val="Arial"/>
      </rPr>
      <t>TRANSLATION:</t>
    </r>
    <r>
      <rPr>
        <sz val="11"/>
        <color theme="1"/>
        <rFont val="Arial"/>
      </rPr>
      <t xml:space="preserve"> You say you were </t>
    </r>
    <r>
      <rPr>
        <b/>
        <sz val="11"/>
        <color theme="1"/>
        <rFont val="Arial"/>
      </rPr>
      <t>ashamed</t>
    </r>
    <r>
      <rPr>
        <sz val="11"/>
        <color theme="1"/>
        <rFont val="Arial"/>
      </rPr>
      <t>?</t>
    </r>
  </si>
  <si>
    <t>moral shame, Ashley’s self-accusation and pain as stimulus; physical manifestation – facial expression (eyes); Ashley as stimulus and witness</t>
  </si>
  <si>
    <t>The edge in his voice spoke of a raw, unhealed wound that ached within him and his words brought shame to her eyes. He was swift to see it and his face changed to gentleness.</t>
  </si>
  <si>
    <t>TERM: slezy styda (слезы стыда) — tears of shame [ORD] (lemma: слеза)
PASSAGE: Раздражение, звучавшее в его голосе, говорило о незаживающей ране, которая болела, и от его слов слезы стыда выступили у нее на глазах.
TRANS: Razdrazhenie, zvuchavshee v ego golose, govorilo o nezazhivayushchey rane, kotoraya bolela, i ot ego slov slezy styda vystupili u nee na glazakh.
TRANSLATION: The irritation that sounded in his voice spoke of an unhealing wound that hurt, and at his words tears of shame welled up in her eyes.</t>
  </si>
  <si>
    <r>
      <rPr>
        <b/>
        <sz val="11"/>
        <color theme="1"/>
        <rFont val="Arial"/>
      </rPr>
      <t>PASSAGE:</t>
    </r>
    <r>
      <rPr>
        <sz val="11"/>
        <color theme="1"/>
        <rFont val="Arial"/>
      </rPr>
      <t xml:space="preserve"> Эшлидің үнінде бір наланың белгісі бар секілді, жазылмаған жараның қазір де жанына батып тұрғаны байқалғанда, Скарлеттің көзінен жас тамшылары ытқып шығып, кеудесіне тырс-тырс тамды.
</t>
    </r>
    <r>
      <rPr>
        <b/>
        <sz val="11"/>
        <color theme="1"/>
        <rFont val="Arial"/>
      </rPr>
      <t>TRANS:</t>
    </r>
    <r>
      <rPr>
        <sz val="11"/>
        <color theme="1"/>
        <rFont val="Arial"/>
      </rPr>
      <t xml:space="preserve"> Eşlidıñ ünınde bır nalanyñ belgısı bar sekıldı, jazylmağan jaranyñ qazır de janyna batyp tūrğany baiqalğanda, Skarlettıñ közınen jas tamşylary ytqyp şyğyp, keudesıne tyrs-tyrs tamdy.
</t>
    </r>
    <r>
      <rPr>
        <b/>
        <sz val="11"/>
        <color theme="1"/>
        <rFont val="Arial"/>
      </rPr>
      <t>TRANSLATION:</t>
    </r>
    <r>
      <rPr>
        <sz val="11"/>
        <color theme="1"/>
        <rFont val="Arial"/>
      </rPr>
      <t xml:space="preserve"> In Ashley's voice there was, as it were, a sign of grievance — it could be felt that the unhealed wound was hurting his soul even now — and tears of </t>
    </r>
    <r>
      <rPr>
        <b/>
        <sz val="11"/>
        <color theme="1"/>
        <rFont val="Arial"/>
      </rPr>
      <t>shame</t>
    </r>
    <r>
      <rPr>
        <sz val="11"/>
        <color theme="1"/>
        <rFont val="Arial"/>
      </rPr>
      <t xml:space="preserve"> burst from Scarlett's eyes and dripped onto her chest.</t>
    </r>
  </si>
  <si>
    <t>moral shame, inner accusation; no physical manifestation; not understanding Melanie as stimulus and moral mirror; Melanie ascribing noble motives to Scarlett when she had ulterior motives</t>
  </si>
  <si>
    <t>Her eyes blazed with enthusiasm and happiness and the two stared at her, Ashley with a queer stunned look, Scarlett with surprise mingled with shame. It had never occurred to her that Melanie missed Atlanta so much and longed to be back, longed for a home of her own. She had seemed so contented at Tara it came to Scarlett as a shock that she was homesick.</t>
  </si>
  <si>
    <t>TERM: styda (стыда) — shame (genitive) [ORD] (lemma: стыд)
PASSAGE: Скарлетт — со смесью удивления и стыда.
TRANS: Skarlett — so smes'yu udivleniya i styda.
TRANSLATION: Scarlett — with a mix of surprise and shame.</t>
  </si>
  <si>
    <r>
      <rPr>
        <b/>
        <sz val="11"/>
        <color theme="1"/>
        <rFont val="Arial"/>
      </rPr>
      <t>TERM:</t>
    </r>
    <r>
      <rPr>
        <sz val="11"/>
        <color theme="1"/>
        <rFont val="Arial"/>
      </rPr>
      <t xml:space="preserve"> ŪİAT(ҰЯТ) — shame; disgrace; sense of decency (also: that which is improper) [KED, SZK]
</t>
    </r>
    <r>
      <rPr>
        <b/>
        <sz val="11"/>
        <color theme="1"/>
        <rFont val="Arial"/>
      </rPr>
      <t>PASSAGE:</t>
    </r>
    <r>
      <rPr>
        <sz val="11"/>
        <color theme="1"/>
        <rFont val="Arial"/>
      </rPr>
      <t xml:space="preserve"> Эшли дағдарып, есін жия алмаса, Скарлетт </t>
    </r>
    <r>
      <rPr>
        <b/>
        <sz val="11"/>
        <color theme="1"/>
        <rFont val="Arial"/>
      </rPr>
      <t>ұяттан</t>
    </r>
    <r>
      <rPr>
        <sz val="11"/>
        <color theme="1"/>
        <rFont val="Arial"/>
      </rPr>
      <t xml:space="preserve"> өртеніп әрі таңырқап тұр.
</t>
    </r>
    <r>
      <rPr>
        <b/>
        <sz val="11"/>
        <color theme="1"/>
        <rFont val="Arial"/>
      </rPr>
      <t>TRANS:</t>
    </r>
    <r>
      <rPr>
        <sz val="11"/>
        <color theme="1"/>
        <rFont val="Arial"/>
      </rPr>
      <t xml:space="preserve"> Eşli dağdaryp, esın jia almasa, Skarlett </t>
    </r>
    <r>
      <rPr>
        <b/>
        <sz val="11"/>
        <color theme="1"/>
        <rFont val="Arial"/>
      </rPr>
      <t>ūiattan</t>
    </r>
    <r>
      <rPr>
        <sz val="11"/>
        <color theme="1"/>
        <rFont val="Arial"/>
      </rPr>
      <t xml:space="preserve"> örtenıp ärı tañyrqap tūr.
</t>
    </r>
    <r>
      <rPr>
        <b/>
        <sz val="11"/>
        <color theme="1"/>
        <rFont val="Arial"/>
      </rPr>
      <t>TRANSLATION:</t>
    </r>
    <r>
      <rPr>
        <sz val="11"/>
        <color theme="1"/>
        <rFont val="Arial"/>
      </rPr>
      <t xml:space="preserve"> While Ashley was confused and could not collect himself, Scarlett stood burning with </t>
    </r>
    <r>
      <rPr>
        <b/>
        <sz val="11"/>
        <color theme="1"/>
        <rFont val="Arial"/>
      </rPr>
      <t>shame</t>
    </r>
    <r>
      <rPr>
        <sz val="11"/>
        <color theme="1"/>
        <rFont val="Arial"/>
      </rPr>
      <t xml:space="preserve"> and astonished.</t>
    </r>
  </si>
  <si>
    <t>moral shame, inner accusation; no physical manifestation; Melanie as moral mirror; Melanie and Ashley audience</t>
  </si>
  <si>
    <t>As usual when confronted by Melanie's habit of attributing worthy motives where no worth existed, Scarlett was ashamed and irritated, and suddenly she could not meet either Ashley's or Melanie's eyes.</t>
  </si>
  <si>
    <t>TERM: styda (стыда) — shame (genitive) [ORD] (lemma: стыд)
PASSAGE: И Скарлетт, столкнувшись с этим умением Мелани приписывать людям благородные поступки там, где благородством и не пахло, почувствовала, по обыкновению, прилив стыда и раздражения
TRANS: I Skarlett, stolknuvshis' s etim umeniem Melani pripisyvat' lyudyam blagorodnye postupki tam, gde blagorodstvom i ne pakhlo, pochuvstvovala, po obyknoveniyu, priliv styda i razdrazheniya
TRANSLATION: And Scarlett, faced with this skill of Melanie's for ascribing noble motives to people where no nobility was to be found, felt her customary surge of shame and irritation</t>
  </si>
  <si>
    <r>
      <rPr>
        <b/>
        <sz val="11"/>
        <color theme="1"/>
        <rFont val="Arial"/>
      </rPr>
      <t>TERM:</t>
    </r>
    <r>
      <rPr>
        <sz val="11"/>
        <color theme="1"/>
        <rFont val="Arial"/>
      </rPr>
      <t xml:space="preserve"> ŪİAT (ҰЯТ) — shame; disgrace; sense of decency (also: that which is improper) [KED, SZK]
</t>
    </r>
    <r>
      <rPr>
        <b/>
        <sz val="11"/>
        <color theme="1"/>
        <rFont val="Arial"/>
      </rPr>
      <t>PASSAGE:</t>
    </r>
    <r>
      <rPr>
        <sz val="11"/>
        <color theme="1"/>
        <rFont val="Arial"/>
      </rPr>
      <t xml:space="preserve"> Өзінің көрген, маңдайына бұйырған әр жақсылығын қашан да біреудің арқасында болды деп ойлайтын Меланидің мына қуанышты күйі Скарлеттің бетінен отын шығарып, </t>
    </r>
    <r>
      <rPr>
        <b/>
        <sz val="11"/>
        <color theme="1"/>
        <rFont val="Arial"/>
      </rPr>
      <t>ұяттан</t>
    </r>
    <r>
      <rPr>
        <sz val="11"/>
        <color theme="1"/>
        <rFont val="Arial"/>
      </rPr>
      <t xml:space="preserve"> жерге кірердей болды.
</t>
    </r>
    <r>
      <rPr>
        <b/>
        <sz val="11"/>
        <color theme="1"/>
        <rFont val="Arial"/>
      </rPr>
      <t>TRANS:</t>
    </r>
    <r>
      <rPr>
        <sz val="11"/>
        <color theme="1"/>
        <rFont val="Arial"/>
      </rPr>
      <t xml:space="preserve"> Özınıñ körgen, mañdaiyna būiyrğan är jaqsylyğyn qaşan da bıreudıñ arqasynda boldy dep oilaityn Melanidıñ myna quanyşty küiı Skarlettıñ betınen otyn şyğaryp, </t>
    </r>
    <r>
      <rPr>
        <b/>
        <sz val="11"/>
        <color theme="1"/>
        <rFont val="Arial"/>
      </rPr>
      <t>ūiattan</t>
    </r>
    <r>
      <rPr>
        <sz val="11"/>
        <color theme="1"/>
        <rFont val="Arial"/>
      </rPr>
      <t xml:space="preserve"> jerge kırerdei boldy.
</t>
    </r>
    <r>
      <rPr>
        <b/>
        <sz val="11"/>
        <color theme="1"/>
        <rFont val="Arial"/>
      </rPr>
      <t>TRANSLATION:</t>
    </r>
    <r>
      <rPr>
        <sz val="11"/>
        <color theme="1"/>
        <rFont val="Arial"/>
      </rPr>
      <t xml:space="preserve"> Melanie's joyous mood — always thinking that every good thing she had received in life had come because of someone else — made Scarlett's face burn and want to sink into the ground from </t>
    </r>
    <r>
      <rPr>
        <b/>
        <sz val="11"/>
        <color theme="1"/>
        <rFont val="Arial"/>
      </rPr>
      <t>shame</t>
    </r>
    <r>
      <rPr>
        <sz val="11"/>
        <color theme="1"/>
        <rFont val="Arial"/>
      </rPr>
      <t>.</t>
    </r>
  </si>
  <si>
    <t>P5</t>
  </si>
  <si>
    <t>Shame about past moral wrongs, strengthened by Melanie’s love; no physical manifestation; Melanie as moral mirror</t>
  </si>
  <si>
    <t>But at her first tumbled-out words: "Melly, I must explain about the other day—" Melanie had imperiously stopped her. Scarlett looking shamefaced into the dark eyes that were flashing with love and anger, knew with a sinking heart that the peace and calm following confession could never be hers. Melanie had forever cut off that line of action by her first words. With one of the few adult emotions Scarlett had ever had, she realized that to unburden her own tortured heart would be the purest selfishness. She would be ridding herself of her burden and laying it on the heart of an innocent and trusting person. She owed Melanie a debt for her championship and that debt could only be paid with silence. What cruel payment it would be to wreck Melanie's life with the unwelcome knowledge that her husband was unfaithful to her, and her beloved friend a party to it!</t>
  </si>
  <si>
    <t>TERM: stydom (стыдом) — shame (instrumental) [ORD] (lemma: стыд)
PASSAGE: И Скарлетт, со стыдом глядя в темные, сверкающие любовью и возмущением глаза, почувствовала, как у нее захолонуло сердце, ибо поняла, что никогда не узнает мира и покоя, следующих за признанием.
TRANS: I Skarlett, so stydom glyadya v temnye, sverkayushchie lyubov'yu i vozmushcheniem glaza, pochuvstvovala, kak u nee zakholonulo serdtse, ibo ponyala, chto nikogda ne uznaet mira i pokoya, sleduyushchikh za priznaniem.
TRANSLATION: And Scarlett, looking with shame into the dark eyes shining with love and indignation, felt her heart go cold, for she understood that she would never know the peace and quiet that follows confession.</t>
  </si>
  <si>
    <r>
      <rPr>
        <b/>
        <sz val="11"/>
        <color theme="1"/>
        <rFont val="Arial"/>
      </rPr>
      <t>PASSAGE:</t>
    </r>
    <r>
      <rPr>
        <sz val="11"/>
        <color theme="1"/>
        <rFont val="Arial"/>
      </rPr>
      <t xml:space="preserve"> Өзіне деген махаббат пен ықыластың мейірімін шаша, жарқыраған көзіне қарап тұрып, бұдан былайғы өмірінде өзінің жан тыныштығы бола қоймасын анық сезді де, жүрегі мұздап, іші-бауыры аяғының басына түсіп кеткендей болды.
</t>
    </r>
    <r>
      <rPr>
        <b/>
        <sz val="11"/>
        <color theme="1"/>
        <rFont val="Arial"/>
      </rPr>
      <t>TRANS:</t>
    </r>
    <r>
      <rPr>
        <sz val="11"/>
        <color theme="1"/>
        <rFont val="Arial"/>
      </rPr>
      <t xml:space="preserve"> Özıne degen mahabbat pen yqylastyñ meiırımın şaşa, jarqyrağan közıne qarap tūryp, būdan bylaiğy ömırınde özınıñ jan tynyştyğy bola qoimasyn anyq sezdı de, jüregı mūzdap, ışı-bauyry aiağynyñ basyna tüsıp ketkendei boldy.
</t>
    </r>
    <r>
      <rPr>
        <b/>
        <sz val="11"/>
        <color theme="1"/>
        <rFont val="Arial"/>
      </rPr>
      <t>TRANSLATION:</t>
    </r>
    <r>
      <rPr>
        <sz val="11"/>
        <color theme="1"/>
        <rFont val="Arial"/>
      </rPr>
      <t xml:space="preserve"> Looking into [Melanie's] eyes radiating the warmth of love and graciousness toward her, she clearly sensed that henceforth there would be no peace of soul for her in life, and her heart froze, her insides falling to her feet.</t>
    </r>
  </si>
  <si>
    <t>retrospective moral shame, sustained burden; no physical manifestation; Melanie as moral mirror</t>
  </si>
  <si>
    <t>Yes, it would be her cross, until she died, to keep this torment silent within her, to wear the hair shirt of shame, to feel it chafing her at every tender look and gesture Melanie would make throughout the years, to subdue forever the impulse to cry: "Don't be so kind! Don't fight for me! I'm not worth it!"</t>
  </si>
  <si>
    <t>TERM: styda (стыда) — shame (genitive) [ORD] (lemma: стыд)
PASSAGE: Да, этот крест она будет нести до самой смерти — будет молча терпеть свою муку, никому не скажет о том, как больно колет ее власяница стыда при каждом нежном взгляде и жесте Мелани, будет вечно подавлять в себе желание крикнуть: «Не будь такой доброй!
TRANS: Da, etot krest ona budet nesti do samoy smerti — budet molcha terpet' svoyu muku, nikomu ne skazhet o tom, kak bol'no kolet ee vlasyanitsa styda pri kazhdom nezhnom vzglyade i zheste Melani, budet vechno podavlyat' v sebe zhelanie kriknut': «Ne bud' takoy dobroy!
TRANSLATION: Yes, she would bear this cross until her very death — she would silently endure her torment, would tell no one how painfully the hair shirt of shame pricked her at every tender glance and gesture of Melanie's, would forever suppress the desire to cry: "Don't be so kind!"</t>
  </si>
  <si>
    <r>
      <rPr>
        <b/>
        <sz val="11"/>
        <color theme="1"/>
        <rFont val="Arial"/>
      </rPr>
      <t>TERM:</t>
    </r>
    <r>
      <rPr>
        <sz val="11"/>
        <color theme="1"/>
        <rFont val="Arial"/>
      </rPr>
      <t xml:space="preserve"> KÜNÄ (КҮНӘ) — sin (religious register; from Persian gunāh) [KED, SZK]
</t>
    </r>
    <r>
      <rPr>
        <b/>
        <sz val="11"/>
        <color theme="1"/>
        <rFont val="Arial"/>
      </rPr>
      <t>PASSAGE:</t>
    </r>
    <r>
      <rPr>
        <sz val="11"/>
        <color theme="1"/>
        <rFont val="Arial"/>
      </rPr>
      <t xml:space="preserve"> Иә, бұл </t>
    </r>
    <r>
      <rPr>
        <b/>
        <sz val="11"/>
        <color theme="1"/>
        <rFont val="Arial"/>
      </rPr>
      <t>күнәсін</t>
    </r>
    <r>
      <rPr>
        <sz val="11"/>
        <color theme="1"/>
        <rFont val="Arial"/>
      </rPr>
      <t xml:space="preserve"> мәңгі арқалайтынын өзі де біледі, үнсіз шыдайды, Меланидің мейірімі төгілген әрбір көзқарасын көрген сайын жүрегі шаншып, «Бұлай елжіремеші маған! Мен үшін ешкіммен күреспе де! Мен оған мүлдем лайық емеспін!» дегісі келеді.
</t>
    </r>
    <r>
      <rPr>
        <b/>
        <sz val="11"/>
        <color theme="1"/>
        <rFont val="Arial"/>
      </rPr>
      <t>TRANS:</t>
    </r>
    <r>
      <rPr>
        <sz val="11"/>
        <color theme="1"/>
        <rFont val="Arial"/>
      </rPr>
      <t xml:space="preserve"> İä, būl </t>
    </r>
    <r>
      <rPr>
        <b/>
        <sz val="11"/>
        <color theme="1"/>
        <rFont val="Arial"/>
      </rPr>
      <t>künäsın</t>
    </r>
    <r>
      <rPr>
        <sz val="11"/>
        <color theme="1"/>
        <rFont val="Arial"/>
      </rPr>
      <t xml:space="preserve"> mäñgı arqalaitynyn özı de bıledı, ünsız şydaidy, Melanidıñ meiırımı tögılgen ärbır közqarasyn körgen saiyn jüregı şanşyp, «Būlai eljıremeşı mağan! Men üşın eşkımmen kürespe de! Men oğan müldem laiyq emespın!» degısı keledı.
</t>
    </r>
    <r>
      <rPr>
        <b/>
        <sz val="11"/>
        <color theme="1"/>
        <rFont val="Arial"/>
      </rPr>
      <t>TRANSLATION:</t>
    </r>
    <r>
      <rPr>
        <sz val="11"/>
        <color theme="1"/>
        <rFont val="Arial"/>
      </rPr>
      <t xml:space="preserve"> Yes, she herself knows that she will carry this </t>
    </r>
    <r>
      <rPr>
        <b/>
        <sz val="11"/>
        <color theme="1"/>
        <rFont val="Arial"/>
      </rPr>
      <t>sin</t>
    </r>
    <r>
      <rPr>
        <sz val="11"/>
        <color theme="1"/>
        <rFont val="Arial"/>
      </rPr>
      <t xml:space="preserve"> forever; she will endure in silence; every time she sees Melanie's glance brimming with kindness her heart pierces her, and she wants to say: "Don't feel such tenderness for me! Don't fight with anyone for my sake! I am not at all worthy of it!"</t>
    </r>
  </si>
  <si>
    <t>retrospective moral shame, sustained burden; sobs; Melanie as moral mirror</t>
  </si>
  <si>
    <t>At the mention of Ashley's name, Scarlett's heart stood still, cold as granite within her. Melanie had known all the time. Scarlett dropped her head on the coverlet and a sob that would not rise caught her throat with a cruel hand. Melanie knew. Scarlett was beyond shame now, beyond any feeling save a wild remorse that she had hurt this gentle creature throughout the long years. Melanie had known—and yet, she had remained her loyal friend. Oh, if she could only live those years over again! She would never even let her eyes meet those of Ashley.</t>
  </si>
  <si>
    <t>TERM: stydno (стыдно) — it is shameful; (one) feels ashamed (impersonal predicate) [ORD]
PASSAGE: Сейчас Скарлетт уже не было стыдно, она ничего не чувствовала, кроме диких угрызений совести за то, что столько лет причиняла боль этой мягкой, ласковой женщине.
TRANS: Seychas Skarlett uzhe ne bylo stydno, ona nichego ne chuvstvovala, krome dikikh ugryzeniy sovesti za to, chto stol'ko let prichinyala bol' etoy myagkoy, laskovoy zhenshchine.
TRANSLATION: Now Scarlett was no longer ashamed; she felt nothing but wild pangs of conscience for having caused pain to this gentle, tender woman for so many years.</t>
  </si>
  <si>
    <r>
      <rPr>
        <b/>
        <sz val="11"/>
        <color theme="1"/>
        <rFont val="Arial"/>
      </rPr>
      <t>TERM:</t>
    </r>
    <r>
      <rPr>
        <sz val="11"/>
        <color theme="1"/>
        <rFont val="Arial"/>
      </rPr>
      <t xml:space="preserve"> ŪİALU (ҰЯЛУ) — to feel ashamed; to feel shy; to be embarrassed [KED, SZK]
</t>
    </r>
    <r>
      <rPr>
        <b/>
        <sz val="11"/>
        <color theme="1"/>
        <rFont val="Arial"/>
      </rPr>
      <t>PASSAGE:</t>
    </r>
    <r>
      <rPr>
        <sz val="11"/>
        <color theme="1"/>
        <rFont val="Arial"/>
      </rPr>
      <t xml:space="preserve"> Дәл қазір Скарлетт ешкімнен, ештеңеден де ұялған жоқ, осынау мейірімді де жұмсақ, жайсаң әйелге өмір бойы қиянат жасап келгеніне ғана қиналды.
</t>
    </r>
    <r>
      <rPr>
        <b/>
        <sz val="11"/>
        <color theme="1"/>
        <rFont val="Arial"/>
      </rPr>
      <t>TRANS:</t>
    </r>
    <r>
      <rPr>
        <sz val="11"/>
        <color theme="1"/>
        <rFont val="Arial"/>
      </rPr>
      <t xml:space="preserve"> Däl qazır Skarlett eşkımnen, eşteñeden de ūialğan joq, osynau meiırımdı de jūmsaq, jaisañ äielge ömır boiy qianat jasap kelgenıne ğana qinaldy.
</t>
    </r>
    <r>
      <rPr>
        <b/>
        <sz val="11"/>
        <color theme="1"/>
        <rFont val="Arial"/>
      </rPr>
      <t>TRANSLATION:</t>
    </r>
    <r>
      <rPr>
        <sz val="11"/>
        <color theme="1"/>
        <rFont val="Arial"/>
      </rPr>
      <t xml:space="preserve"> Right now Scarlett was not </t>
    </r>
    <r>
      <rPr>
        <b/>
        <sz val="11"/>
        <color theme="1"/>
        <rFont val="Arial"/>
      </rPr>
      <t>ashamed</t>
    </r>
    <r>
      <rPr>
        <sz val="11"/>
        <color theme="1"/>
        <rFont val="Arial"/>
      </rPr>
      <t xml:space="preserve"> of anyone, of anything; she only suffered because she had wronged this kind, gentle, generous woman all her life.</t>
    </r>
  </si>
  <si>
    <t>retrospective moral shame about cruelty to Rhett, sustained burden; internal (heart contracts); no audience</t>
  </si>
  <si>
    <t>She had started up the steps in search of him when she saw that the door of the dining room was closed. Her heart contracted a little with shame at the sight of that closed door, remembering the many nights of this last summer when Rhett had sat there alone, drinking until he was sodden and Pork came to urge him to bed. That had been her fault but she'd change it all. Everything was to be different from now on—but, please God, don't let him be too drunk tonight. If he's too drunk he won't believe me and he'll laugh at me and that will break my heart.</t>
  </si>
  <si>
    <t>TERM: styda (стыда) — shame (genitive) [ORD] (lemma: стыд)
PASSAGE: Сердце у нее чуть сжалось от стыда при виде этой закрытой двери — она вспомнила многие вечера прошедшего лета, когда Ретт сидел там один и пил до одурения, а потом Порк являлся и укладывал его в постель.
TRANS: Serdtse u nee chut' szhalos' ot styda pri vide etoy zakrytoy dveri — ona vspomnila mnogie vechera proshedshego leta, kogda Rett sidel tam odin i pil do odureniya, a potom Pork yavlyalsya i ukladyval ego v postel'.
TRANSLATION: Her heart contracted with shame at the sight of this closed door — she remembered many evenings of the past summer when Rhett sat there alone drinking himself into oblivion, and then Pork would come and put him to bed.</t>
  </si>
  <si>
    <r>
      <rPr>
        <b/>
        <sz val="11"/>
        <color theme="1"/>
        <rFont val="Arial"/>
      </rPr>
      <t>TERM:</t>
    </r>
    <r>
      <rPr>
        <sz val="11"/>
        <color theme="1"/>
        <rFont val="Arial"/>
      </rPr>
      <t xml:space="preserve"> ŪİALU (ҰЯЛУ) — to feel ashamed; to feel shy; to be embarrassed [KED, SZK]
</t>
    </r>
    <r>
      <rPr>
        <b/>
        <sz val="11"/>
        <color theme="1"/>
        <rFont val="Arial"/>
      </rPr>
      <t>PASSAGE:</t>
    </r>
    <r>
      <rPr>
        <sz val="11"/>
        <color theme="1"/>
        <rFont val="Arial"/>
      </rPr>
      <t xml:space="preserve"> Сол есікке көзі түскенде Реттің есінен танғанша ішетін кездері, ақырында Порктің оны сүйрелеп, төсегіне әзер жеткізетін сәттері көп болған өткен жаздың кештері есіне түсіп, </t>
    </r>
    <r>
      <rPr>
        <b/>
        <sz val="11"/>
        <color theme="1"/>
        <rFont val="Arial"/>
      </rPr>
      <t>ұялғаннан</t>
    </r>
    <r>
      <rPr>
        <sz val="11"/>
        <color theme="1"/>
        <rFont val="Arial"/>
      </rPr>
      <t xml:space="preserve"> жүрегі қысылып кетті.
</t>
    </r>
    <r>
      <rPr>
        <b/>
        <sz val="11"/>
        <color theme="1"/>
        <rFont val="Arial"/>
      </rPr>
      <t>TRANS:</t>
    </r>
    <r>
      <rPr>
        <sz val="11"/>
        <color theme="1"/>
        <rFont val="Arial"/>
      </rPr>
      <t xml:space="preserve"> Sol esıkke közı tüskende Rettıñ esınen tanğanşa ışetın kezderı, aqyrynda Porktıñ ony süirelep, tösegıne äzer jetkızetın sätterı köp bolğan ötken jazdyñ keşterı esıne tüsıp, </t>
    </r>
    <r>
      <rPr>
        <b/>
        <sz val="11"/>
        <color theme="1"/>
        <rFont val="Arial"/>
      </rPr>
      <t>ūialğannan</t>
    </r>
    <r>
      <rPr>
        <sz val="11"/>
        <color theme="1"/>
        <rFont val="Arial"/>
      </rPr>
      <t xml:space="preserve"> jüregı qysylyp kettı.
</t>
    </r>
    <r>
      <rPr>
        <b/>
        <sz val="11"/>
        <color theme="1"/>
        <rFont val="Arial"/>
      </rPr>
      <t>TRANSLATION:</t>
    </r>
    <r>
      <rPr>
        <sz val="11"/>
        <color theme="1"/>
        <rFont val="Arial"/>
      </rPr>
      <t xml:space="preserve"> When her gaze fell on that door she remembered the evenings of the past summer when Rhett used to drink until he lost his senses, and finally Pork would drag him and barely manage to put him in bed — and her heart was clenched from </t>
    </r>
    <r>
      <rPr>
        <b/>
        <sz val="11"/>
        <color theme="1"/>
        <rFont val="Arial"/>
      </rPr>
      <t>shame</t>
    </r>
    <r>
      <rPr>
        <sz val="11"/>
        <color theme="1"/>
        <rFont val="Arial"/>
      </rPr>
      <t>.</t>
    </r>
  </si>
  <si>
    <t>Preventative shame about breaking social-moral conventions – speaking of love to Rhett when Melanie just died; no physical manifestation; Rhett as specific witness</t>
  </si>
  <si>
    <t>She nodded and advanced hesitantly toward him, uncertainty taking form in her mind at this new expression on his face. Without rising, he pushed back a chair with his foot and she sank into it. She wished he had not spoken of Melanie so soon. She did not want to talk of her now, to re-live the agony of the last hour. There was all the rest of her life in which to speak of Melanie. But it seemed to her now, driven by a fierce desire to cry: "I love you," that there was only this night, this hour, in which to tell Rhett what was in her mind. But there was something in his face that stopped her and she was suddenly ashamed to speak of love when Melanie was hardly cold.</t>
  </si>
  <si>
    <t>TERM: stydno (стыдно) — it is shameful; (one) feels ashamed (impersonal predicate) [ORD]
PASSAGE: Но что-то в его лице удержало ее, и внезапно ей стало стыдно говорить о любви в такую минуту — ведь Мелани еще не успела остыть.
TRANS: No chto-to v ego litse uderzhalo ee, i vnezapno ey stalo stydno govorit' o lyubvi v takuyu minutu — ved' Melani eshche ne uspela ostyt'.
TRANSLATION: But something in his face restrained her, and suddenly she felt ashamed to speak of love at such a moment — Melanie had not yet had time to grow cold.</t>
  </si>
  <si>
    <r>
      <rPr>
        <b/>
        <sz val="11"/>
        <color theme="1"/>
        <rFont val="Arial"/>
      </rPr>
      <t>TERM:</t>
    </r>
    <r>
      <rPr>
        <sz val="11"/>
        <color theme="1"/>
        <rFont val="Arial"/>
      </rPr>
      <t xml:space="preserve"> ŪİAT (ҰЯТ) — shame; disgrace; sense of decency (also: that which is improper) [KED, SZK]
</t>
    </r>
    <r>
      <rPr>
        <b/>
        <sz val="11"/>
        <color theme="1"/>
        <rFont val="Arial"/>
      </rPr>
      <t>PASSAGE:</t>
    </r>
    <r>
      <rPr>
        <sz val="11"/>
        <color theme="1"/>
        <rFont val="Arial"/>
      </rPr>
      <t xml:space="preserve"> Бірақ оның жүзіндегі әлдене ниетін тежей берді, тіпті мынадай жағдайда сезім туралы айтудың өзі </t>
    </r>
    <r>
      <rPr>
        <b/>
        <sz val="11"/>
        <color theme="1"/>
        <rFont val="Arial"/>
      </rPr>
      <t>ұят</t>
    </r>
    <r>
      <rPr>
        <sz val="11"/>
        <color theme="1"/>
        <rFont val="Arial"/>
      </rPr>
      <t xml:space="preserve"> сияқтанды, Меланидің денесі де суып үлгермеді ғой.
</t>
    </r>
    <r>
      <rPr>
        <b/>
        <sz val="11"/>
        <color theme="1"/>
        <rFont val="Arial"/>
      </rPr>
      <t>TRANS:</t>
    </r>
    <r>
      <rPr>
        <sz val="11"/>
        <color theme="1"/>
        <rFont val="Arial"/>
      </rPr>
      <t xml:space="preserve"> Bıraq onyñ jüzındegı äldene nietın tejei berdı, tıptı mynadai jağdaida sezım turaly aitudyñ özı </t>
    </r>
    <r>
      <rPr>
        <b/>
        <sz val="11"/>
        <color theme="1"/>
        <rFont val="Arial"/>
      </rPr>
      <t>ūiat</t>
    </r>
    <r>
      <rPr>
        <sz val="11"/>
        <color theme="1"/>
        <rFont val="Arial"/>
      </rPr>
      <t xml:space="preserve"> siaqtandy, Melanidıñ denesı de suyp ülgermedı ğoi.
</t>
    </r>
    <r>
      <rPr>
        <b/>
        <sz val="11"/>
        <color theme="1"/>
        <rFont val="Arial"/>
      </rPr>
      <t>TRANSLATION:</t>
    </r>
    <r>
      <rPr>
        <sz val="11"/>
        <color theme="1"/>
        <rFont val="Arial"/>
      </rPr>
      <t xml:space="preserve"> But something on his face held back her intent; even speaking of feelings in such a situation felt like a </t>
    </r>
    <r>
      <rPr>
        <b/>
        <sz val="11"/>
        <color theme="1"/>
        <rFont val="Arial"/>
      </rPr>
      <t>shame</t>
    </r>
    <r>
      <rPr>
        <sz val="11"/>
        <color theme="1"/>
        <rFont val="Arial"/>
      </rPr>
      <t>, since Melanie's body had not even had time to cool.</t>
    </r>
  </si>
  <si>
    <t>Moral shame expected by Scarlett, not felt by Rhett</t>
  </si>
  <si>
    <t>"Well, I'm glad to learn you are ashamed of the way you treated me."</t>
  </si>
  <si>
    <t>Rhett</t>
  </si>
  <si>
    <t>TERM: stydno (стыдно) — it is shameful; (one) feels ashamed (impersonal predicate) [ORD]
PASSAGE: Что ж, я рада слышать, что вам стыдно вспоминать, как вы поступили со мной.
TRANS: Chto zh, ya rada slyshat', chto vam stydno vspominat', kak vy postupili so mnoy.
TRANSLATION: Well, I am glad to hear that you are ashamed of remembering how you treated me.</t>
  </si>
  <si>
    <r>
      <rPr>
        <b/>
        <sz val="11"/>
        <color theme="1"/>
        <rFont val="Arial"/>
      </rPr>
      <t>TERM:</t>
    </r>
    <r>
      <rPr>
        <sz val="11"/>
        <color theme="1"/>
        <rFont val="Arial"/>
      </rPr>
      <t xml:space="preserve"> ÖKINU (ӨКІНУ) — to regret; to repent [KED, SZK]
</t>
    </r>
    <r>
      <rPr>
        <b/>
        <sz val="11"/>
        <color theme="1"/>
        <rFont val="Arial"/>
      </rPr>
      <t>PASSAGE:</t>
    </r>
    <r>
      <rPr>
        <sz val="11"/>
        <color theme="1"/>
        <rFont val="Arial"/>
      </rPr>
      <t xml:space="preserve"> Жарайды, мені тастап кеткеніңіз үшін </t>
    </r>
    <r>
      <rPr>
        <b/>
        <sz val="11"/>
        <color theme="1"/>
        <rFont val="Arial"/>
      </rPr>
      <t>өкінгеніңізге</t>
    </r>
    <r>
      <rPr>
        <sz val="11"/>
        <color theme="1"/>
        <rFont val="Arial"/>
      </rPr>
      <t xml:space="preserve"> де қуанамын.
</t>
    </r>
    <r>
      <rPr>
        <b/>
        <sz val="11"/>
        <color theme="1"/>
        <rFont val="Arial"/>
      </rPr>
      <t>TRANS:</t>
    </r>
    <r>
      <rPr>
        <sz val="11"/>
        <color theme="1"/>
        <rFont val="Arial"/>
      </rPr>
      <t xml:space="preserve"> Jaraidy, menı tastap ketkenıñız üşın </t>
    </r>
    <r>
      <rPr>
        <b/>
        <sz val="11"/>
        <color theme="1"/>
        <rFont val="Arial"/>
      </rPr>
      <t>ökıngenıñızge</t>
    </r>
    <r>
      <rPr>
        <sz val="11"/>
        <color theme="1"/>
        <rFont val="Arial"/>
      </rPr>
      <t xml:space="preserve"> de quanamyn.
</t>
    </r>
    <r>
      <rPr>
        <b/>
        <sz val="11"/>
        <color theme="1"/>
        <rFont val="Arial"/>
      </rPr>
      <t>TRANSLATION:</t>
    </r>
    <r>
      <rPr>
        <sz val="11"/>
        <color theme="1"/>
        <rFont val="Arial"/>
      </rPr>
      <t xml:space="preserve"> Very well, I am also glad that you </t>
    </r>
    <r>
      <rPr>
        <b/>
        <sz val="11"/>
        <color theme="1"/>
        <rFont val="Arial"/>
      </rPr>
      <t>regret</t>
    </r>
    <r>
      <rPr>
        <sz val="11"/>
        <color theme="1"/>
        <rFont val="Arial"/>
      </rPr>
      <t xml:space="preserve"> leaving me behind.</t>
    </r>
  </si>
  <si>
    <t>Melanie as moral mirror; reproaches Scarlett for doubting Melanie’s good opinion of her</t>
  </si>
  <si>
    <t>"Darling, I don't want any explanation from you and I won't listen to one," said Melanie firmly as she gently laid a small hand across Scarlett's tortured lips and stilled her words. "You insult yourself and Ashley and me by even thinking there could be need of explanations between us. Why, we three have been—have been like soldiers fighting the world together for so many years that I'm ashamed of you for thinking idle gossip could come between us. Do you think I'd believe that you and my Ashley— Why, the idea! Don't you realize I know you better than anyone in the world knows you? Do you think I've forgotten all the wonderful, unselfish things you've done for Ashley and Beau and me—everything from saving my life to keeping us from starving."</t>
  </si>
  <si>
    <t>Melanie</t>
  </si>
  <si>
    <t>TERM: stydno (стыдно) — it is shameful; (one) feels ashamed (impersonal predicate) [ORD]
PASSAGE: Ведь мы трое… как солдаты сражались вместе на протяжении стольких лет, так что мне даже стыдно за тебя: ну, как ты могла подумать, что досужие сплетни могут возвести между нами стену.
TRANS: Ved' my troe… kak soldaty srazhalis' vmeste na protyazhenii stol'kikh let, tak chto mne dazhe stydno za tebya: nu, kak ty mogla podumat', chto dosuzhie spletni mogut vozvesti mezhdu nami stenu.
TRANSLATION: For we three... like soldiers fought together for so many years, that I am even ashamed for you: how could you have thought that idle gossip could erect a wall between us.</t>
  </si>
  <si>
    <r>
      <rPr>
        <b/>
        <sz val="11"/>
        <color theme="1"/>
        <rFont val="Arial"/>
      </rPr>
      <t>TERM:</t>
    </r>
    <r>
      <rPr>
        <sz val="11"/>
        <color theme="1"/>
        <rFont val="Arial"/>
      </rPr>
      <t xml:space="preserve"> ŪİALU (ҰЯЛУ) — to feel ashamed; to feel shy; to be embarrassed [KED, SZK]
</t>
    </r>
    <r>
      <rPr>
        <b/>
        <sz val="11"/>
        <color theme="1"/>
        <rFont val="Arial"/>
      </rPr>
      <t>PASSAGE:</t>
    </r>
    <r>
      <rPr>
        <sz val="11"/>
        <color theme="1"/>
        <rFont val="Arial"/>
      </rPr>
      <t xml:space="preserve"> Біз үшеуміз… қаншама жылдар бойы қатар түзеп, өмірдегі тосқауылдармен сарбаздарша күресіп, беріспей келеміз, сондықтан сенің бұл әрекетің үшін </t>
    </r>
    <r>
      <rPr>
        <b/>
        <sz val="11"/>
        <color theme="1"/>
        <rFont val="Arial"/>
      </rPr>
      <t>ұяламын</t>
    </r>
    <r>
      <rPr>
        <sz val="11"/>
        <color theme="1"/>
        <rFont val="Arial"/>
      </rPr>
      <t xml:space="preserve">, қайдағы біреулердің қаңқу өсектеріне бола ортамызда алауыздық болады деп, қалай ойлайсың, сірә?
</t>
    </r>
    <r>
      <rPr>
        <b/>
        <sz val="11"/>
        <color theme="1"/>
        <rFont val="Arial"/>
      </rPr>
      <t>TRANS:</t>
    </r>
    <r>
      <rPr>
        <sz val="11"/>
        <color theme="1"/>
        <rFont val="Arial"/>
      </rPr>
      <t xml:space="preserve"> Bız üşeumız… qanşama jyldar boiy qatar tüzep, ömırdegı tosqauyldarmen sarbazdarşa küresıp, berıspei kelemız, sondyqtan senıñ būl äreketıñ üşın </t>
    </r>
    <r>
      <rPr>
        <b/>
        <sz val="11"/>
        <color theme="1"/>
        <rFont val="Arial"/>
      </rPr>
      <t>ūialamyn</t>
    </r>
    <r>
      <rPr>
        <sz val="11"/>
        <color theme="1"/>
        <rFont val="Arial"/>
      </rPr>
      <t xml:space="preserve">, qaidağy bıreulerdıñ qañqu ösekterıne bola ortamyzda alauyzdyq bolady dep, qalai oilaisyñ, sırä?
</t>
    </r>
    <r>
      <rPr>
        <b/>
        <sz val="11"/>
        <color theme="1"/>
        <rFont val="Arial"/>
      </rPr>
      <t>TRANSLATION:</t>
    </r>
    <r>
      <rPr>
        <sz val="11"/>
        <color theme="1"/>
        <rFont val="Arial"/>
      </rPr>
      <t xml:space="preserve"> We three... for so many years standing in line, fighting like soldiers against life's obstacles without yielding — and so I am </t>
    </r>
    <r>
      <rPr>
        <b/>
        <sz val="11"/>
        <color theme="1"/>
        <rFont val="Arial"/>
      </rPr>
      <t>ashamed</t>
    </r>
    <r>
      <rPr>
        <sz val="11"/>
        <color theme="1"/>
        <rFont val="Arial"/>
      </rPr>
      <t xml:space="preserve"> for you for this action of yours: how could you have thought that the cackling rumors of some people would create division among us?</t>
    </r>
  </si>
  <si>
    <t>P2</t>
  </si>
  <si>
    <t>Moral inner shame about infidelity; facial expression manifestation; Scarlett witness</t>
  </si>
  <si>
    <t>He bent suddenly to retrieve his hat and she had one glimpse of his face. It was the unhappiest face she was ever to see, a face from which all aloofness had fled. Written on it were his love for and joy that she loved him, but battling them both were shame and despair.</t>
  </si>
  <si>
    <t>Ashley</t>
  </si>
  <si>
    <t>TERM: styd (стыд) — shame; the feeling of having transgressed a moral or social norm [ORD]
PASSAGE: Она поняла, что он любит ее и ее любовь дает ему радость и повергает его в безмерное отчаяние и стыд.
TRANS: Ona ponyala, chto on lyubit ee i ee lyubov' daet emu radost' i povergaet ego v bezmernoe otchayanie i styd.
TRANSLATION: She understood that he loves her, and that her love brings him joy and casts him into boundless despair and shame.</t>
  </si>
  <si>
    <r>
      <rPr>
        <b/>
        <sz val="11"/>
        <color theme="1"/>
        <rFont val="Arial"/>
      </rPr>
      <t>TERM:</t>
    </r>
    <r>
      <rPr>
        <sz val="11"/>
        <color theme="1"/>
        <rFont val="Arial"/>
      </rPr>
      <t xml:space="preserve"> ŪİAT (ҰЯТ) — shame; disgrace; sense of decency (also: that which is improper) [KED, SZK]
</t>
    </r>
    <r>
      <rPr>
        <b/>
        <sz val="11"/>
        <color theme="1"/>
        <rFont val="Arial"/>
      </rPr>
      <t>PASSAGE:</t>
    </r>
    <r>
      <rPr>
        <sz val="11"/>
        <color theme="1"/>
        <rFont val="Arial"/>
      </rPr>
      <t xml:space="preserve"> Ол оның өзін жақсы көретінін түсінді... мұның махаббаты оған қуаныш сыйлайтынын және оны үлкен үмітсіздік пен </t>
    </r>
    <r>
      <rPr>
        <b/>
        <sz val="11"/>
        <color theme="1"/>
        <rFont val="Arial"/>
      </rPr>
      <t>ұятқа</t>
    </r>
    <r>
      <rPr>
        <sz val="11"/>
        <color theme="1"/>
        <rFont val="Arial"/>
      </rPr>
      <t xml:space="preserve"> душар ететінін де түсінді.
</t>
    </r>
    <r>
      <rPr>
        <b/>
        <sz val="11"/>
        <color theme="1"/>
        <rFont val="Arial"/>
      </rPr>
      <t>TRANS:</t>
    </r>
    <r>
      <rPr>
        <sz val="11"/>
        <color theme="1"/>
        <rFont val="Arial"/>
      </rPr>
      <t xml:space="preserve"> Ol onyñ özın jaqsy köretının tüsındı... mūnyñ mahabbaty oğan quanyş syilaitynyn jäne ony ülken ümıtsızdık pen </t>
    </r>
    <r>
      <rPr>
        <b/>
        <sz val="11"/>
        <color theme="1"/>
        <rFont val="Arial"/>
      </rPr>
      <t>ūiatqa</t>
    </r>
    <r>
      <rPr>
        <sz val="11"/>
        <color theme="1"/>
        <rFont val="Arial"/>
      </rPr>
      <t xml:space="preserve"> duşar etetının de tüsındı.
</t>
    </r>
    <r>
      <rPr>
        <b/>
        <sz val="11"/>
        <color theme="1"/>
        <rFont val="Arial"/>
      </rPr>
      <t>TRANSLATION:</t>
    </r>
    <r>
      <rPr>
        <sz val="11"/>
        <color theme="1"/>
        <rFont val="Arial"/>
      </rPr>
      <t xml:space="preserve"> She understood that he loves her... she understood that her love gives him joy and brings him to great hopelessness and </t>
    </r>
    <r>
      <rPr>
        <b/>
        <sz val="11"/>
        <color theme="1"/>
        <rFont val="Arial"/>
      </rPr>
      <t>shame</t>
    </r>
    <r>
      <rPr>
        <sz val="11"/>
        <color theme="1"/>
        <rFont val="Arial"/>
      </rPr>
      <t>.</t>
    </r>
  </si>
  <si>
    <t>Ashley disclaims Scarlett’s social shame, claims his moral shame</t>
  </si>
  <si>
    <t>spoken</t>
  </si>
  <si>
    <t>TERM: stydno (стыдно) — it is shameful; (one) feels ashamed (impersonal predicate) [ORD]
PASSAGE: Вам было стыдно? Stydit’sja (стыдиться) = to be ashamed
TRANS: Vam bylo stydno? Stydit’sja (stydit'sya) = to be ashamed
TRANSLATION: You were ashamed?</t>
  </si>
  <si>
    <r>
      <rPr>
        <b/>
        <sz val="11"/>
        <color theme="1"/>
        <rFont val="Arial"/>
      </rPr>
      <t>TERM:</t>
    </r>
    <r>
      <rPr>
        <sz val="11"/>
        <color theme="1"/>
        <rFont val="Arial"/>
      </rPr>
      <t xml:space="preserve"> ŪİALU (ҰЯЛУ) — to feel ashamed; to feel shy; to be embarrassed [KED, SZK]
</t>
    </r>
    <r>
      <rPr>
        <b/>
        <sz val="11"/>
        <color theme="1"/>
        <rFont val="Arial"/>
      </rPr>
      <t>PASSAGE:</t>
    </r>
    <r>
      <rPr>
        <sz val="11"/>
        <color theme="1"/>
        <rFont val="Arial"/>
      </rPr>
      <t xml:space="preserve"> </t>
    </r>
    <r>
      <rPr>
        <b/>
        <sz val="11"/>
        <color theme="1"/>
        <rFont val="Arial"/>
      </rPr>
      <t>Ұялдым</t>
    </r>
    <r>
      <rPr>
        <sz val="11"/>
        <color theme="1"/>
        <rFont val="Arial"/>
      </rPr>
      <t xml:space="preserve"> дейсіз бе?
</t>
    </r>
    <r>
      <rPr>
        <b/>
        <sz val="11"/>
        <color theme="1"/>
        <rFont val="Arial"/>
      </rPr>
      <t>TRANS:</t>
    </r>
    <r>
      <rPr>
        <sz val="11"/>
        <color theme="1"/>
        <rFont val="Arial"/>
      </rPr>
      <t xml:space="preserve"> </t>
    </r>
    <r>
      <rPr>
        <b/>
        <sz val="11"/>
        <color theme="1"/>
        <rFont val="Arial"/>
      </rPr>
      <t>Ūialdym</t>
    </r>
    <r>
      <rPr>
        <sz val="11"/>
        <color theme="1"/>
        <rFont val="Arial"/>
      </rPr>
      <t xml:space="preserve"> deisız be?
</t>
    </r>
    <r>
      <rPr>
        <b/>
        <sz val="11"/>
        <color theme="1"/>
        <rFont val="Arial"/>
      </rPr>
      <t>TRANSLATION:</t>
    </r>
    <r>
      <rPr>
        <sz val="11"/>
        <color theme="1"/>
        <rFont val="Arial"/>
      </rPr>
      <t xml:space="preserve"> You say you were </t>
    </r>
    <r>
      <rPr>
        <b/>
        <sz val="11"/>
        <color theme="1"/>
        <rFont val="Arial"/>
      </rPr>
      <t>ashamed</t>
    </r>
    <r>
      <rPr>
        <sz val="11"/>
        <color theme="1"/>
        <rFont val="Arial"/>
      </rPr>
      <t>?</t>
    </r>
  </si>
  <si>
    <t>Moral shame observed by Scarlett</t>
  </si>
  <si>
    <t>Ashley was doing little better with convicts than he had done with free labor, although why, he was unable to tell. Moreover, he looked as if he were ashamed to be working convicts and he had little to say to her these days.</t>
  </si>
  <si>
    <t>TERM: stydilsya (стыдился) — felt ashamed (3sg masc. past, impf.) [ORD] (lemma: стыдиться)
PASSAGE: К тому же он, казалось, стыдился того, что у него работают каторжники, и почти не общался со Скарлетт.
TRANS: K tomu zhe on, kazalos', stydilsya togo, chto u nego rabotayut katorzhniki, i pochti ne obshchalsya so Skarlett.
TRANSLATION: Moreover, he seemed to be ashamed that convicts were working for him, and he hardly communicated with Scarlett at all.</t>
  </si>
  <si>
    <r>
      <rPr>
        <b/>
        <sz val="11"/>
        <color theme="1"/>
        <rFont val="Arial"/>
      </rPr>
      <t>TERM:</t>
    </r>
    <r>
      <rPr>
        <sz val="11"/>
        <color theme="1"/>
        <rFont val="Arial"/>
      </rPr>
      <t xml:space="preserve"> QYSYLU (ҚЫСЫЛУ) — to feel embarrassed; to feel constrained; to be in difficulty [KED, SZK]
</t>
    </r>
    <r>
      <rPr>
        <b/>
        <sz val="11"/>
        <color theme="1"/>
        <rFont val="Arial"/>
      </rPr>
      <t>PASSAGE:</t>
    </r>
    <r>
      <rPr>
        <sz val="11"/>
        <color theme="1"/>
        <rFont val="Arial"/>
      </rPr>
      <t xml:space="preserve"> Сотталғандармен жұмыс істеп жүргеніне </t>
    </r>
    <r>
      <rPr>
        <b/>
        <sz val="11"/>
        <color theme="1"/>
        <rFont val="Arial"/>
      </rPr>
      <t>қысылатын</t>
    </r>
    <r>
      <rPr>
        <sz val="11"/>
        <color theme="1"/>
        <rFont val="Arial"/>
      </rPr>
      <t xml:space="preserve"> да сияқты ма, Скарлеттпен де көп кездеспей жүр.
</t>
    </r>
    <r>
      <rPr>
        <b/>
        <sz val="11"/>
        <color theme="1"/>
        <rFont val="Arial"/>
      </rPr>
      <t>TRANS:</t>
    </r>
    <r>
      <rPr>
        <sz val="11"/>
        <color theme="1"/>
        <rFont val="Arial"/>
      </rPr>
      <t xml:space="preserve"> Sottalğandarmen jūmys ıstep jürgenıne </t>
    </r>
    <r>
      <rPr>
        <b/>
        <sz val="11"/>
        <color theme="1"/>
        <rFont val="Arial"/>
      </rPr>
      <t>qysylatyn</t>
    </r>
    <r>
      <rPr>
        <sz val="11"/>
        <color theme="1"/>
        <rFont val="Arial"/>
      </rPr>
      <t xml:space="preserve"> da siaqty ma, Skarlettpen de köp kezdespei jür.
</t>
    </r>
    <r>
      <rPr>
        <b/>
        <sz val="11"/>
        <color theme="1"/>
        <rFont val="Arial"/>
      </rPr>
      <t>TRANSLATION:</t>
    </r>
    <r>
      <rPr>
        <sz val="11"/>
        <color theme="1"/>
        <rFont val="Arial"/>
      </rPr>
      <t xml:space="preserve"> It seems he is also </t>
    </r>
    <r>
      <rPr>
        <b/>
        <sz val="11"/>
        <color theme="1"/>
        <rFont val="Arial"/>
      </rPr>
      <t>embarrassed</t>
    </r>
    <r>
      <rPr>
        <sz val="11"/>
        <color theme="1"/>
        <rFont val="Arial"/>
      </rPr>
      <t xml:space="preserve"> at working with convicts; he no longer often meets with Scarlett either.</t>
    </r>
  </si>
  <si>
    <t>And, for the first time, some of the bright glow which had enveloped him since the first day she fell in love with him began to fade imperceptibly. The tarnish of shame and guilt that enveloped her spread to him as well. Resolutely she tried to fight off this thought but it only made her cry harder.</t>
  </si>
  <si>
    <t>Scarlett-Ashley</t>
  </si>
  <si>
    <r>
      <rPr>
        <b/>
        <sz val="11"/>
        <color theme="1"/>
        <rFont val="Arial"/>
      </rPr>
      <t>TERM:</t>
    </r>
    <r>
      <rPr>
        <sz val="11"/>
        <color theme="1"/>
        <rFont val="Arial"/>
      </rPr>
      <t xml:space="preserve"> kınä men künä (кінә мен күнә) — guilt and sin (set phrase combining secular and religious registers) [KED, SZK] (lemma: кінә)
</t>
    </r>
    <r>
      <rPr>
        <b/>
        <sz val="11"/>
        <color theme="1"/>
        <rFont val="Arial"/>
      </rPr>
      <t>PASSAGE:</t>
    </r>
    <r>
      <rPr>
        <sz val="11"/>
        <color theme="1"/>
        <rFont val="Arial"/>
      </rPr>
      <t xml:space="preserve"> Осы уақытқа дейін өз арқасына басқан </t>
    </r>
    <r>
      <rPr>
        <b/>
        <sz val="11"/>
        <color theme="1"/>
        <rFont val="Arial"/>
      </rPr>
      <t>кінә мен күнәнің</t>
    </r>
    <r>
      <rPr>
        <sz val="11"/>
        <color theme="1"/>
        <rFont val="Arial"/>
      </rPr>
      <t xml:space="preserve"> қап-қара нүктесі жылыстап, Эшлиге қарай ауып бара жатты.
</t>
    </r>
    <r>
      <rPr>
        <b/>
        <sz val="11"/>
        <color theme="1"/>
        <rFont val="Arial"/>
      </rPr>
      <t>TRANS:</t>
    </r>
    <r>
      <rPr>
        <sz val="11"/>
        <color theme="1"/>
        <rFont val="Arial"/>
      </rPr>
      <t xml:space="preserve"> Osy uaqytqa deiın öz arqasyna basqan </t>
    </r>
    <r>
      <rPr>
        <b/>
        <sz val="11"/>
        <color theme="1"/>
        <rFont val="Arial"/>
      </rPr>
      <t xml:space="preserve">kınä men künänıñ </t>
    </r>
    <r>
      <rPr>
        <sz val="11"/>
        <color theme="1"/>
        <rFont val="Arial"/>
      </rPr>
      <t xml:space="preserve">qap-qara nüktesı jylystap, Eşlige qarai auyp bara jatty.
</t>
    </r>
    <r>
      <rPr>
        <b/>
        <sz val="11"/>
        <color theme="1"/>
        <rFont val="Arial"/>
      </rPr>
      <t>TRANSLATION:</t>
    </r>
    <r>
      <rPr>
        <sz val="11"/>
        <color theme="1"/>
        <rFont val="Arial"/>
      </rPr>
      <t xml:space="preserve"> Up till now, the pitch-black mark of </t>
    </r>
    <r>
      <rPr>
        <b/>
        <sz val="11"/>
        <color theme="1"/>
        <rFont val="Arial"/>
      </rPr>
      <t>guilt</t>
    </r>
    <r>
      <rPr>
        <sz val="11"/>
        <color theme="1"/>
        <rFont val="Arial"/>
      </rPr>
      <t xml:space="preserve"> and </t>
    </r>
    <r>
      <rPr>
        <b/>
        <sz val="11"/>
        <color theme="1"/>
        <rFont val="Arial"/>
      </rPr>
      <t>sin</t>
    </r>
    <r>
      <rPr>
        <sz val="11"/>
        <color theme="1"/>
        <rFont val="Arial"/>
      </rPr>
      <t xml:space="preserve"> she had borne on her own back was sliding off and shifting toward Ashley.</t>
    </r>
  </si>
  <si>
    <t>Shame about being caught in a lie about knowing midwifery</t>
  </si>
  <si>
    <t>"Fo' Gawd, Miss Scarlett—" Fright and shame were in her rolling eyes.</t>
  </si>
  <si>
    <t>Prissy</t>
  </si>
  <si>
    <t>TERM: styd (стыд) — shame; the feeling of having transgressed a moral or social norm [ORD]
PASSAGE: Растерянность и стыд были в ее вытаращенных от страха глазах.
TRANS: Rasteryannost' i styd byli v ee vytarashchennykh ot strakha glazakh.
TRANSLATION: Bewilderment and shame were in her eyes bulging with terror.</t>
  </si>
  <si>
    <r>
      <rPr>
        <b/>
        <sz val="11"/>
        <color theme="1"/>
        <rFont val="Arial"/>
      </rPr>
      <t>TERM:</t>
    </r>
    <r>
      <rPr>
        <sz val="11"/>
        <color theme="1"/>
        <rFont val="Arial"/>
      </rPr>
      <t xml:space="preserve"> ŪİALU (ҰЯЛУ) — to feel ashamed; to feel shy; to be embarrassed [KED, SZK]
</t>
    </r>
    <r>
      <rPr>
        <b/>
        <sz val="11"/>
        <color theme="1"/>
        <rFont val="Arial"/>
      </rPr>
      <t>PASSAGE:</t>
    </r>
    <r>
      <rPr>
        <sz val="11"/>
        <color theme="1"/>
        <rFont val="Arial"/>
      </rPr>
      <t xml:space="preserve"> Оның жүзінен абыржу мен </t>
    </r>
    <r>
      <rPr>
        <b/>
        <sz val="11"/>
        <color theme="1"/>
        <rFont val="Arial"/>
      </rPr>
      <t>ұялғандықты</t>
    </r>
    <r>
      <rPr>
        <sz val="11"/>
        <color theme="1"/>
        <rFont val="Arial"/>
      </rPr>
      <t xml:space="preserve"> анық бауқауға болатын еді.
</t>
    </r>
    <r>
      <rPr>
        <b/>
        <sz val="11"/>
        <color theme="1"/>
        <rFont val="Arial"/>
      </rPr>
      <t>TRANS:</t>
    </r>
    <r>
      <rPr>
        <sz val="11"/>
        <color theme="1"/>
        <rFont val="Arial"/>
      </rPr>
      <t xml:space="preserve"> Onyñ jüzınen abyrju men </t>
    </r>
    <r>
      <rPr>
        <b/>
        <sz val="11"/>
        <color theme="1"/>
        <rFont val="Arial"/>
      </rPr>
      <t>ūialğandyqty</t>
    </r>
    <r>
      <rPr>
        <sz val="11"/>
        <color theme="1"/>
        <rFont val="Arial"/>
      </rPr>
      <t xml:space="preserve"> anyq bauqauğa bolatyn edı.
</t>
    </r>
    <r>
      <rPr>
        <b/>
        <sz val="11"/>
        <color theme="1"/>
        <rFont val="Arial"/>
      </rPr>
      <t>TRANSLATION:</t>
    </r>
    <r>
      <rPr>
        <sz val="11"/>
        <color theme="1"/>
        <rFont val="Arial"/>
      </rPr>
      <t xml:space="preserve"> Bewilderment and </t>
    </r>
    <r>
      <rPr>
        <b/>
        <sz val="11"/>
        <color theme="1"/>
        <rFont val="Arial"/>
      </rPr>
      <t>shame</t>
    </r>
    <r>
      <rPr>
        <sz val="11"/>
        <color theme="1"/>
        <rFont val="Arial"/>
      </rPr>
      <t xml:space="preserve"> could be clearly seen on her face.</t>
    </r>
  </si>
  <si>
    <t>Potential moral shame about spending money when he could steal</t>
  </si>
  <si>
    <t>She had a shrewd suspicion that the reason he had so much money left over was that he had not bought the fowls or most of the food. Pork would have taken shame to himself had he spent her money when there were unguarded hen coops along the road and smokehouses handy.</t>
  </si>
  <si>
    <t>Pork</t>
  </si>
  <si>
    <t>TERM: posramil by samogo sebya (посрамил бы самого себя) — would have brought shame on himself [ORD] (lemma: посрамить)
PASSAGE: Порк посрамил бы самого себя, если бы потратил ее деньги
TRANS: Pork posramil by samogo sebya, esli by potratil ee den'gi
TRANSLATION: Pork would have shamed himself if he had spent her money</t>
  </si>
  <si>
    <r>
      <rPr>
        <b/>
        <sz val="11"/>
        <color theme="1"/>
        <rFont val="Arial"/>
      </rPr>
      <t>PASSAGE:</t>
    </r>
    <r>
      <rPr>
        <sz val="11"/>
        <color theme="1"/>
        <rFont val="Arial"/>
      </rPr>
      <t xml:space="preserve"> Скарлетт берген ақшаны жұмсаса, Порк өзін-өзі кешірмес еді.
</t>
    </r>
    <r>
      <rPr>
        <b/>
        <sz val="11"/>
        <color theme="1"/>
        <rFont val="Arial"/>
      </rPr>
      <t>TRANS:</t>
    </r>
    <r>
      <rPr>
        <sz val="11"/>
        <color theme="1"/>
        <rFont val="Arial"/>
      </rPr>
      <t xml:space="preserve"> Skarlett bergen aqşany jūmsasa, Pork özın-özı keşırmes edı.
</t>
    </r>
    <r>
      <rPr>
        <b/>
        <sz val="11"/>
        <color theme="1"/>
        <rFont val="Arial"/>
      </rPr>
      <t>TRANSLATION:</t>
    </r>
    <r>
      <rPr>
        <sz val="11"/>
        <color theme="1"/>
        <rFont val="Arial"/>
      </rPr>
      <t xml:space="preserve"> If he had spent the money Scarlett gave him, Pork would not forgive himself.</t>
    </r>
  </si>
  <si>
    <t>Shame — Absent moral shame</t>
  </si>
  <si>
    <t>moral conventions  breached — manipulation, lies; shame ABSENT</t>
  </si>
  <si>
    <t>Scarlett turned and tiptoed through the silent hall into the dining room to get the brandy bottle that she and Melly privately called the "swoon bottle" because Pittypat always took a sip from it when her fluttering heart made her faint—or seem to faint. Triumph was written on her face and no trace of shame for her unfilial treatment of Gerald. Now Ellen would be soothed with lies if any other busybody wrote her. Now she could stay in Atlanta. Now she could do almost as she pleased, Pittypat being the weak vessel that she was. She unlocked the cellaret and stood for a moment with the bottle and glass pressed to her bosom.</t>
  </si>
  <si>
    <t>TERM: nikakikh ugryzeniy sovesti (никаких угрызений совести) — no pangs of conscience whatsoever [ORD] (lemma: угрызение)
PASSAGE: Лицо Скарлетт выражало торжество — никаких угрызений совести она не испытывала, хотя и поступила с Джералдом отнюдь не как любящая, преданная дочь.
TRANS: Litso Skarlett vyrazhalo torzhestvo — nikakikh ugryzeniy sovesti ona ne ispytyvala, khotya i postupila s Dzheraldom otnyud' ne kak lyubyashchaya, predannaya doch'.
TRANSLATION: Scarlett's face wore a triumphant expression — she felt no pangs of conscience whatsoever, although she had not behaved like a loving, devoted daughter toward Gerald.</t>
  </si>
  <si>
    <r>
      <rPr>
        <b/>
        <sz val="11"/>
        <color theme="1"/>
        <rFont val="Arial"/>
      </rPr>
      <t>TERM:</t>
    </r>
    <r>
      <rPr>
        <sz val="11"/>
        <color theme="1"/>
        <rFont val="Arial"/>
      </rPr>
      <t xml:space="preserve"> QYMSYNU (ҚЫМСЫНУ) — to feel awkward; to feel embarrassed [KED, SZK]
</t>
    </r>
    <r>
      <rPr>
        <b/>
        <sz val="11"/>
        <color theme="1"/>
        <rFont val="Arial"/>
      </rPr>
      <t>PASSAGE:</t>
    </r>
    <r>
      <rPr>
        <sz val="11"/>
        <color theme="1"/>
        <rFont val="Arial"/>
      </rPr>
      <t xml:space="preserve"> Скарлеттің бет-әлпетінде жеңіске жеткен түр байқалады, ол Джералдқа әкесін жақсы көретін адал қызы емес, бөтен біреудей қулық жасағанына еш </t>
    </r>
    <r>
      <rPr>
        <b/>
        <sz val="11"/>
        <color theme="1"/>
        <rFont val="Arial"/>
      </rPr>
      <t>қымсынған</t>
    </r>
    <r>
      <rPr>
        <sz val="11"/>
        <color theme="1"/>
        <rFont val="Arial"/>
      </rPr>
      <t xml:space="preserve"> жоқ.
</t>
    </r>
    <r>
      <rPr>
        <b/>
        <sz val="11"/>
        <color theme="1"/>
        <rFont val="Arial"/>
      </rPr>
      <t>TRANS:</t>
    </r>
    <r>
      <rPr>
        <sz val="11"/>
        <color theme="1"/>
        <rFont val="Arial"/>
      </rPr>
      <t xml:space="preserve"> Skarlettıñ bet-älpetınde jeñıske jetken tür baiqalady, ol Jeraldqa äkesın jaqsy köretın adal qyzy emes, böten bıreudei qulyq jasağanyna eş </t>
    </r>
    <r>
      <rPr>
        <b/>
        <sz val="11"/>
        <color theme="1"/>
        <rFont val="Arial"/>
      </rPr>
      <t>qymsynğan</t>
    </r>
    <r>
      <rPr>
        <sz val="11"/>
        <color theme="1"/>
        <rFont val="Arial"/>
      </rPr>
      <t xml:space="preserve"> joq.
</t>
    </r>
    <r>
      <rPr>
        <b/>
        <sz val="11"/>
        <color theme="1"/>
        <rFont val="Arial"/>
      </rPr>
      <t>TRANSLATION:</t>
    </r>
    <r>
      <rPr>
        <sz val="11"/>
        <color theme="1"/>
        <rFont val="Arial"/>
      </rPr>
      <t xml:space="preserve"> Scarlett's face showed a victorious expression; she felt no </t>
    </r>
    <r>
      <rPr>
        <b/>
        <sz val="11"/>
        <color theme="1"/>
        <rFont val="Arial"/>
      </rPr>
      <t>embarrassment</t>
    </r>
    <r>
      <rPr>
        <sz val="11"/>
        <color theme="1"/>
        <rFont val="Arial"/>
      </rPr>
      <t xml:space="preserve"> at all that she had played a trick on Gerald like a stranger rather than as a loving, faithful daughter.</t>
    </r>
  </si>
  <si>
    <t>moral and social conventions breached — shame ABSENT; Ashley as witness</t>
  </si>
  <si>
    <t>She was still clutching the ball of red clay when she went up the front steps. She had carefully avoided the back entrance, for Mammy's sharp eyes would certainly have seen that something was greatly amiss. Scarlett did not want to see Mammy or anyone else. She did not feel that she could endure seeing anyone or talking to anyone again. She had no feeling of shame or disappointment or bitterness now, only a weakness of the knees and a great emptiness of heart. She squeezed the clay so tightly it ran out from her clenched fist and she said over and over, parrot-like: "I've still got this. Yes, I've still got this."</t>
  </si>
  <si>
    <t>TERM: styd (стыд) — shame; the feeling of having transgressed a moral or social norm [ORD]
PASSAGE: Ее уже не мучил стыд, разочарование или горечь — лишь была какая-то слабость в коленях да огромная пустота в душе.
TRANS: Ee uzhe ne muchil styd, razocharovanie ili gorech' — lish' byla kakaya-to slabost' v kolenyakh da ogromnaya pustota v dushe.
TRANSLATION: She was no longer tormented by shame, disappointment, or bitterness — only a kind of weakness in her knees and a vast emptiness in her soul.</t>
  </si>
  <si>
    <r>
      <rPr>
        <b/>
        <sz val="11"/>
        <color theme="1"/>
        <rFont val="Arial"/>
      </rPr>
      <t>TERM:</t>
    </r>
    <r>
      <rPr>
        <sz val="11"/>
        <color theme="1"/>
        <rFont val="Arial"/>
      </rPr>
      <t xml:space="preserve"> ŪİAT (ҰЯТ) — shame; disgrace; sense of decency (also: that which is improper) [KED, SZK]
</t>
    </r>
    <r>
      <rPr>
        <b/>
        <sz val="11"/>
        <color theme="1"/>
        <rFont val="Arial"/>
      </rPr>
      <t>PASSAGE:</t>
    </r>
    <r>
      <rPr>
        <sz val="11"/>
        <color theme="1"/>
        <rFont val="Arial"/>
      </rPr>
      <t xml:space="preserve"> Қалған көңіл де, қысқан </t>
    </r>
    <r>
      <rPr>
        <b/>
        <sz val="11"/>
        <color theme="1"/>
        <rFont val="Arial"/>
      </rPr>
      <t>ұят</t>
    </r>
    <r>
      <rPr>
        <sz val="11"/>
        <color theme="1"/>
        <rFont val="Arial"/>
      </rPr>
      <t xml:space="preserve"> та бір шетке ысырылып, жан дүниесі босап, буын-буынынан әл кетіпті.
</t>
    </r>
    <r>
      <rPr>
        <b/>
        <sz val="11"/>
        <color theme="1"/>
        <rFont val="Arial"/>
      </rPr>
      <t>TRANS:</t>
    </r>
    <r>
      <rPr>
        <sz val="11"/>
        <color theme="1"/>
        <rFont val="Arial"/>
      </rPr>
      <t xml:space="preserve"> Qalğan köñıl de, qysqan </t>
    </r>
    <r>
      <rPr>
        <b/>
        <sz val="11"/>
        <color theme="1"/>
        <rFont val="Arial"/>
      </rPr>
      <t>ūiat</t>
    </r>
    <r>
      <rPr>
        <sz val="11"/>
        <color theme="1"/>
        <rFont val="Arial"/>
      </rPr>
      <t xml:space="preserve"> ta bır şetke ysyrylyp, jan düniesı bosap, buyn-buynynan äl ketıptı.
</t>
    </r>
    <r>
      <rPr>
        <b/>
        <sz val="11"/>
        <color theme="1"/>
        <rFont val="Arial"/>
      </rPr>
      <t>TRANSLATION:</t>
    </r>
    <r>
      <rPr>
        <sz val="11"/>
        <color theme="1"/>
        <rFont val="Arial"/>
      </rPr>
      <t xml:space="preserve"> Both her remaining feelings and her gripping </t>
    </r>
    <r>
      <rPr>
        <b/>
        <sz val="11"/>
        <color theme="1"/>
        <rFont val="Arial"/>
      </rPr>
      <t>shame</t>
    </r>
    <r>
      <rPr>
        <sz val="11"/>
        <color theme="1"/>
        <rFont val="Arial"/>
      </rPr>
      <t xml:space="preserve"> had been pushed aside; her inner being was emptied, and the strength had left her every joint.</t>
    </r>
  </si>
  <si>
    <t>Immoral behavior impossible with Rhett as specific witness</t>
  </si>
  <si>
    <t>Already she was regretting the hasty words. Had they been spoken to anyone save Rhett she would have shamelessly retracted them. Why had she burst out like that? She looked at Rhett with an angry frown and saw that he was watching her with his old keen, cat-at-a- mouse-hole look. When he saw her frown, he laughed suddenly, his white teeth flashing. Scarlett had an uncertain feeling that he had jockeyed her into this position.</t>
  </si>
  <si>
    <t>TERM: stesneniya (стеснения) — awkwardness; constraint (gen.) [ORD] (lemma: стеснение)
PASSAGE: Скажи она их кому угодно, кроме Ретта, она бы без всякого стеснения взяла их назад.
TRANS: Skazhi ona ikh komu ugodno, krome Retta, ona by bez vsyakogo stesneniya vzyala ikh nazad.
TRANSLATION: Had she said it to anyone but Rhett, she would have taken it back without any embarrassment.</t>
  </si>
  <si>
    <r>
      <rPr>
        <b/>
        <sz val="11"/>
        <color theme="1"/>
        <rFont val="Arial"/>
      </rPr>
      <t>PASSAGE:</t>
    </r>
    <r>
      <rPr>
        <sz val="11"/>
        <color theme="1"/>
        <rFont val="Arial"/>
      </rPr>
      <t xml:space="preserve"> Мұның бәрін кімге айтқан болса да, кейін қайтарып ала салар еді, айтқанынан қайта танар еді, тек Реттің алдында емес.
</t>
    </r>
    <r>
      <rPr>
        <b/>
        <sz val="11"/>
        <color theme="1"/>
        <rFont val="Arial"/>
      </rPr>
      <t>TRANS:</t>
    </r>
    <r>
      <rPr>
        <sz val="11"/>
        <color theme="1"/>
        <rFont val="Arial"/>
      </rPr>
      <t xml:space="preserve"> Mūnyñ bärın kımge aitqan bolsa da, keiın qaitaryp ala salar edı, aitqanynan qaita tanar edı, tek Rettıñ aldynda emes.
</t>
    </r>
    <r>
      <rPr>
        <b/>
        <sz val="11"/>
        <color theme="1"/>
        <rFont val="Arial"/>
      </rPr>
      <t>TRANSLATION:</t>
    </r>
    <r>
      <rPr>
        <sz val="11"/>
        <color theme="1"/>
        <rFont val="Arial"/>
      </rPr>
      <t xml:space="preserve"> Whoever she had said all this to, she would have taken it back, would have recanted — except in front of Rhett.</t>
    </r>
  </si>
  <si>
    <t>Shame — Absent social shame (about the body)</t>
  </si>
  <si>
    <t>body confidence: NO shame about body as social object</t>
  </si>
  <si>
    <t>Of course, her brooch could be pinned over the spot, but perhaps Melanie had sharp eyes. There remained varicolored cotton dresses which Scarlett felt were not festive enough for the occasion, ball dresses and the green sprigged muslin she had worn yesterday. But it was an afternoon dress. It was not suitable for a barbecue, for it had only tiny puffed sleeves and the neck was low enough for a dancing dress. But there was nothing else to do but wear it. After all she was not ashamed of her neck and arms and bosom, even if it was not correct to show them in the morning.</t>
  </si>
  <si>
    <t>TERM: stydit'sya (стыдиться) — to feel ashamed (imperfective); pf. постыдиться/устыдиться [ORD]
PASSAGE: ей не приходится стыдиться
TRANS: ey ne prikhoditsya stydit'sya
TRANSLATION: she did not have to feel ashamed</t>
  </si>
  <si>
    <r>
      <rPr>
        <b/>
        <sz val="11"/>
        <color theme="1"/>
        <rFont val="Arial"/>
      </rPr>
      <t>TERM:</t>
    </r>
    <r>
      <rPr>
        <sz val="11"/>
        <color theme="1"/>
        <rFont val="Arial"/>
      </rPr>
      <t xml:space="preserve"> QYSYLU (ҚЫСЫЛУ) — to feel embarrassed; to feel constrained; to be in difficulty [KED, SZK]
</t>
    </r>
    <r>
      <rPr>
        <b/>
        <sz val="11"/>
        <color theme="1"/>
        <rFont val="Arial"/>
      </rPr>
      <t>PASSAGE:</t>
    </r>
    <r>
      <rPr>
        <sz val="11"/>
        <color theme="1"/>
        <rFont val="Arial"/>
      </rPr>
      <t xml:space="preserve"> Түптеп келгенде тіпті таңертеңнен мойнын, иығын, қолын жаңалаштау аса орынды болмаса да, сол үшін </t>
    </r>
    <r>
      <rPr>
        <b/>
        <sz val="11"/>
        <color theme="1"/>
        <rFont val="Arial"/>
      </rPr>
      <t>қысылуына</t>
    </r>
    <r>
      <rPr>
        <sz val="11"/>
        <color theme="1"/>
        <rFont val="Arial"/>
      </rPr>
      <t xml:space="preserve"> тура келмейді.
</t>
    </r>
    <r>
      <rPr>
        <b/>
        <sz val="11"/>
        <color theme="1"/>
        <rFont val="Arial"/>
      </rPr>
      <t>TRANS:</t>
    </r>
    <r>
      <rPr>
        <sz val="11"/>
        <color theme="1"/>
        <rFont val="Arial"/>
      </rPr>
      <t xml:space="preserve"> Tüptep kelgende tıptı tañerteñnen moinyn, iyğyn, qolyn jañalaştau asa oryndy bolmasa da, sol üşın </t>
    </r>
    <r>
      <rPr>
        <b/>
        <sz val="11"/>
        <color theme="1"/>
        <rFont val="Arial"/>
      </rPr>
      <t>qysyluyna</t>
    </r>
    <r>
      <rPr>
        <sz val="11"/>
        <color theme="1"/>
        <rFont val="Arial"/>
      </rPr>
      <t xml:space="preserve"> tura kelmeidı.
</t>
    </r>
    <r>
      <rPr>
        <b/>
        <sz val="11"/>
        <color theme="1"/>
        <rFont val="Arial"/>
      </rPr>
      <t>TRANSLATION:</t>
    </r>
    <r>
      <rPr>
        <sz val="11"/>
        <color theme="1"/>
        <rFont val="Arial"/>
      </rPr>
      <t xml:space="preserve"> After all, even though baring her neck, shoulders, and arms in the morning was not entirely proper, she did not have to feel </t>
    </r>
    <r>
      <rPr>
        <b/>
        <sz val="11"/>
        <color theme="1"/>
        <rFont val="Arial"/>
      </rPr>
      <t>embarrassed</t>
    </r>
    <r>
      <rPr>
        <sz val="11"/>
        <color theme="1"/>
        <rFont val="Arial"/>
      </rPr>
      <t xml:space="preserve"> about it.</t>
    </r>
  </si>
  <si>
    <t>As she stood before the mirror and twisted herself about to get a side view, she thought that there was absolutely nothing about her figure to cause her shame. Her neck was short but rounded and her arms plump and enticing. Her breasts, pushed high by her stays, were very nice breasts.</t>
  </si>
  <si>
    <t>TERM: iz"yana (изъяна) — defect; flaw (gen.) [ORD] (lemma: изъян)
PASSAGE: не обнаружила в своей фигуре ни малейшего изъяна.
TRANS: ne obnaruzhila v svoey figure ni maleyshego iz"yana.
TRANSLATION: she found not the slightest flaw in her figure.</t>
  </si>
  <si>
    <r>
      <rPr>
        <b/>
        <sz val="11"/>
        <color theme="1"/>
        <rFont val="Arial"/>
      </rPr>
      <t>TERM:</t>
    </r>
    <r>
      <rPr>
        <sz val="11"/>
        <color theme="1"/>
        <rFont val="Arial"/>
      </rPr>
      <t xml:space="preserve"> KEMŞILIK (КЕМШІЛІК) — defect; failing; shortcoming [KED, SZK]
</t>
    </r>
    <r>
      <rPr>
        <b/>
        <sz val="11"/>
        <color theme="1"/>
        <rFont val="Arial"/>
      </rPr>
      <t>PASSAGE:</t>
    </r>
    <r>
      <rPr>
        <sz val="11"/>
        <color theme="1"/>
        <rFont val="Arial"/>
      </rPr>
      <t xml:space="preserve"> Айна алдында тұрып, ол өзін жанынан көру үшін белін майыстырып қарап, сымбатынан еш </t>
    </r>
    <r>
      <rPr>
        <b/>
        <sz val="11"/>
        <color theme="1"/>
        <rFont val="Arial"/>
      </rPr>
      <t>кемшілік</t>
    </r>
    <r>
      <rPr>
        <sz val="11"/>
        <color theme="1"/>
        <rFont val="Arial"/>
      </rPr>
      <t xml:space="preserve"> таппады.  comment: 'shame' is not directly translated. 
</t>
    </r>
    <r>
      <rPr>
        <b/>
        <sz val="11"/>
        <color theme="1"/>
        <rFont val="Arial"/>
      </rPr>
      <t>TRANS:</t>
    </r>
    <r>
      <rPr>
        <sz val="11"/>
        <color theme="1"/>
        <rFont val="Arial"/>
      </rPr>
      <t xml:space="preserve"> Aina aldynda tūryp, ol özın janynan köru üşın belın maiystyryp qarap, symbatynan eş </t>
    </r>
    <r>
      <rPr>
        <b/>
        <sz val="11"/>
        <color theme="1"/>
        <rFont val="Arial"/>
      </rPr>
      <t>kemşılık</t>
    </r>
    <r>
      <rPr>
        <sz val="11"/>
        <color theme="1"/>
        <rFont val="Arial"/>
      </rPr>
      <t xml:space="preserve"> tappady.  comment: 'shame' is not directly translated. 
</t>
    </r>
    <r>
      <rPr>
        <b/>
        <sz val="11"/>
        <color theme="1"/>
        <rFont val="Arial"/>
      </rPr>
      <t>TRANSLATION:</t>
    </r>
    <r>
      <rPr>
        <sz val="11"/>
        <color theme="1"/>
        <rFont val="Arial"/>
      </rPr>
      <t xml:space="preserve"> Standing before the mirror and turning sideways to view her profile, she found no </t>
    </r>
    <r>
      <rPr>
        <b/>
        <sz val="11"/>
        <color theme="1"/>
        <rFont val="Arial"/>
      </rPr>
      <t>flaw</t>
    </r>
    <r>
      <rPr>
        <sz val="11"/>
        <color theme="1"/>
        <rFont val="Arial"/>
      </rPr>
      <t xml:space="preserve"> in her elegance.</t>
    </r>
  </si>
  <si>
    <t>Shame — Social shame</t>
  </si>
  <si>
    <t>strong shame about social convention and exposure to societal judgment; internal burning</t>
  </si>
  <si>
    <t>She did not want to be fair, although she knew what he said was true. He had never once crossed the borders of friendliness with her and, when she thought of this fresh anger rose, the anger of hurt pride and feminine vanity. She had run after him and he would have none of her. He preferred a whey-faced little fool like Melanie to her. Oh, far better that she had followed Ellen and Mammy's precepts and never, never revealed that she even liked him—better anything than to be faced with this scorching shame!</t>
  </si>
  <si>
    <t>TERM: sgorat' so styda (сгорать со стыда) — to burn up with shame (idiom) [ORD] (lemma: сгорать)
PASSAGE: Пусть бы он никогда-никогда не узнал об этом — все лучше, чем так сгорать со стыда
TRANS: Pust' by on nikogda-nikogda ne uznal ob etom — vse luchshe, chem tak sgorat' so styda
TRANSLATION: Let him never, never know about it — anything would be better than burning up with shame so</t>
  </si>
  <si>
    <r>
      <rPr>
        <b/>
        <sz val="11"/>
        <color theme="1"/>
        <rFont val="Arial"/>
      </rPr>
      <t>TERM:</t>
    </r>
    <r>
      <rPr>
        <sz val="11"/>
        <color theme="1"/>
        <rFont val="Arial"/>
      </rPr>
      <t xml:space="preserve"> ŪİAT (ҰЯТ) — shame; disgrace; sense of decency (also: that which is improper) [KED, SZK]
</t>
    </r>
    <r>
      <rPr>
        <b/>
        <sz val="11"/>
        <color theme="1"/>
        <rFont val="Arial"/>
      </rPr>
      <t>PASSAGE:</t>
    </r>
    <r>
      <rPr>
        <sz val="11"/>
        <color theme="1"/>
        <rFont val="Arial"/>
      </rPr>
      <t xml:space="preserve"> Ах, ол неге Эллин мен Үлкен шешейдің нұсқауын тыңдамады! Эшли мұның сезімінен күдіктенбеуі керек еді! Бұлай </t>
    </r>
    <r>
      <rPr>
        <b/>
        <sz val="11"/>
        <color theme="1"/>
        <rFont val="Arial"/>
      </rPr>
      <t>ұяттан</t>
    </r>
    <r>
      <rPr>
        <sz val="11"/>
        <color theme="1"/>
        <rFont val="Arial"/>
      </rPr>
      <t xml:space="preserve"> өртенгенше, оның бұл туралы ешқашан, еш уақытта білмегені жақсы еді!
</t>
    </r>
    <r>
      <rPr>
        <b/>
        <sz val="11"/>
        <color theme="1"/>
        <rFont val="Arial"/>
      </rPr>
      <t>TRANS:</t>
    </r>
    <r>
      <rPr>
        <sz val="11"/>
        <color theme="1"/>
        <rFont val="Arial"/>
      </rPr>
      <t xml:space="preserve"> Ah, ol nege Elin men Ülken şeşeidıñ nūsqauyn tyñdamady! Eşli mūnyñ sezımınen küdıktenbeuı kerek edı! Būlai </t>
    </r>
    <r>
      <rPr>
        <b/>
        <sz val="11"/>
        <color theme="1"/>
        <rFont val="Arial"/>
      </rPr>
      <t>ūiattan</t>
    </r>
    <r>
      <rPr>
        <sz val="11"/>
        <color theme="1"/>
        <rFont val="Arial"/>
      </rPr>
      <t xml:space="preserve"> örtengenşe, onyñ būl turaly eşqaşan, eş uaqytta bılmegenı jaqsy edı!
</t>
    </r>
    <r>
      <rPr>
        <b/>
        <sz val="11"/>
        <color theme="1"/>
        <rFont val="Arial"/>
      </rPr>
      <t>TRANSLATION:</t>
    </r>
    <r>
      <rPr>
        <sz val="11"/>
        <color theme="1"/>
        <rFont val="Arial"/>
      </rPr>
      <t xml:space="preserve"> Ah, why had she not heeded Ellen's and Mammy's instructions! Ashley should not have suspected her feelings! Better that he should never, ever know about this than to burn up like this with </t>
    </r>
    <r>
      <rPr>
        <b/>
        <sz val="11"/>
        <color theme="1"/>
        <rFont val="Arial"/>
      </rPr>
      <t>shame</t>
    </r>
    <r>
      <rPr>
        <sz val="11"/>
        <color theme="1"/>
        <rFont val="Arial"/>
      </rPr>
      <t>!</t>
    </r>
  </si>
  <si>
    <t>Shame — Social shame (somatic expression)</t>
  </si>
  <si>
    <t>strong shame about breaking social conventions and Ashley’s rejection, social exposure, physical manifestations –  face crimson; Rhett witness</t>
  </si>
  <si>
    <t>She looked up at him imploringly, her face crimson with the shame of their last meeting, and met two of the blackest eyes she had ever seen, dancing in merciless merriment. Of all the people in the world to turn up here, this terrible person who had witnessed that scene with Ashley which still gave her nightmares; this odious wretch who ruined girls and was not received by nice people; this despicable man who had said, and with good cause, that she was not a lady.</t>
  </si>
  <si>
    <t>TERM: Zardevshis' ot smushcheniya, (Зардевшись от смущения,) = flushing; having blushed
PASSAGE: Зардевшись от смущения, она с мольбой подняла на него глаза
TRANS: Zardevshis' ot smushcheniya, ona s mol'boy podnyala na nego glaza
TRANSLATION: Burning crimson with embarrassment, she raised her eyes pleadingly to him</t>
  </si>
  <si>
    <r>
      <rPr>
        <b/>
        <sz val="11"/>
        <color theme="1"/>
        <rFont val="Arial"/>
      </rPr>
      <t>TERM:</t>
    </r>
    <r>
      <rPr>
        <sz val="11"/>
        <color theme="1"/>
        <rFont val="Arial"/>
      </rPr>
      <t xml:space="preserve"> ŪİALU (ҰЯЛУ) — to feel ashamed; to feel shy; to be embarrassed [KED, SZK]
</t>
    </r>
    <r>
      <rPr>
        <b/>
        <sz val="11"/>
        <color theme="1"/>
        <rFont val="Arial"/>
      </rPr>
      <t>PASSAGE:</t>
    </r>
    <r>
      <rPr>
        <sz val="11"/>
        <color theme="1"/>
        <rFont val="Arial"/>
      </rPr>
      <t xml:space="preserve"> Ұяла қысылған Скарлетт оған басын көтеріп қарады, ...
</t>
    </r>
    <r>
      <rPr>
        <b/>
        <sz val="11"/>
        <color theme="1"/>
        <rFont val="Arial"/>
      </rPr>
      <t>TRANS:</t>
    </r>
    <r>
      <rPr>
        <sz val="11"/>
        <color theme="1"/>
        <rFont val="Arial"/>
      </rPr>
      <t xml:space="preserve"> Ūiala qysylğan Skarlett oğan basyn köterıp qarady, ...
</t>
    </r>
    <r>
      <rPr>
        <b/>
        <sz val="11"/>
        <color theme="1"/>
        <rFont val="Arial"/>
      </rPr>
      <t>TRANSLATION:</t>
    </r>
    <r>
      <rPr>
        <sz val="11"/>
        <color theme="1"/>
        <rFont val="Arial"/>
      </rPr>
      <t xml:space="preserve"> Scarlett, flushed with </t>
    </r>
    <r>
      <rPr>
        <b/>
        <sz val="11"/>
        <color theme="1"/>
        <rFont val="Arial"/>
      </rPr>
      <t>embarrassment</t>
    </r>
    <r>
      <rPr>
        <sz val="11"/>
        <color theme="1"/>
        <rFont val="Arial"/>
      </rPr>
      <t>, raised her head and looked at him,...</t>
    </r>
  </si>
  <si>
    <t>shame at absence of social tokens of pride (comparison)</t>
  </si>
  <si>
    <t>She flipped back the edges of the letters, looking at the dates, remembering their contents. In them there were no fine descriptive pages of bivouacs and charges such as Darcy Meade wrote his parents or poor Dallas McLure had written his old-maid sisters, Misses Faith and Hope. The Meades and McLures proudly read these letters all over the neighborhood, and Scarlett had frequently felt a secret shame that Melanie had no such letters from Ashley to read aloud at sewing circles.</t>
  </si>
  <si>
    <t>TERM: styd (стыд) — shame; the feeling of having transgressed a moral or social norm [ORD]
PASSAGE: Скарлетт не раз испытывала втайне стыд, что Эшли не пишет Мелани таких писем, которые интересно было бы почитать в швейном кружке вслух.
TRANS: Skarlett ne raz ispytyvala vtayne styd, chto Eshli ne pishet Melani takikh pisem, kotorye interesno bylo by pochitat' v shveynom kruzhke vslukh.
TRANSLATION: Scarlett had more than once felt secret shame that Ashley did not write Melanie letters of the kind that would be interesting to read aloud in the sewing circle.</t>
  </si>
  <si>
    <r>
      <rPr>
        <b/>
        <sz val="11"/>
        <color theme="1"/>
        <rFont val="Arial"/>
      </rPr>
      <t>TERM:</t>
    </r>
    <r>
      <rPr>
        <sz val="11"/>
        <color theme="1"/>
        <rFont val="Arial"/>
      </rPr>
      <t xml:space="preserve"> ŪİALU (ҰЯЛУ) — to feel ashamed; to feel shy; to be embarrassed [KED, SZK]
</t>
    </r>
    <r>
      <rPr>
        <b/>
        <sz val="11"/>
        <color theme="1"/>
        <rFont val="Arial"/>
      </rPr>
      <t>PASSAGE:</t>
    </r>
    <r>
      <rPr>
        <sz val="11"/>
        <color theme="1"/>
        <rFont val="Arial"/>
      </rPr>
      <t xml:space="preserve"> ... ал Скарлетт Эшлидің Меланиге мұндай хаттарды жазбағанына бірнеше рет ішінен </t>
    </r>
    <r>
      <rPr>
        <b/>
        <sz val="11"/>
        <color theme="1"/>
        <rFont val="Arial"/>
      </rPr>
      <t>ұялған</t>
    </r>
    <r>
      <rPr>
        <sz val="11"/>
        <color theme="1"/>
        <rFont val="Arial"/>
      </rPr>
      <t xml:space="preserve">, ...
</t>
    </r>
    <r>
      <rPr>
        <b/>
        <sz val="11"/>
        <color theme="1"/>
        <rFont val="Arial"/>
      </rPr>
      <t>TRANS:</t>
    </r>
    <r>
      <rPr>
        <sz val="11"/>
        <color theme="1"/>
        <rFont val="Arial"/>
      </rPr>
      <t xml:space="preserve"> ... al Skarlett Eşlidıñ Melanige mūndai hattardy jazbağanyna bırneşe ret ışınen </t>
    </r>
    <r>
      <rPr>
        <b/>
        <sz val="11"/>
        <color theme="1"/>
        <rFont val="Arial"/>
      </rPr>
      <t>ūialğan</t>
    </r>
    <r>
      <rPr>
        <sz val="11"/>
        <color theme="1"/>
        <rFont val="Arial"/>
      </rPr>
      <t xml:space="preserve">, ...
</t>
    </r>
    <r>
      <rPr>
        <b/>
        <sz val="11"/>
        <color theme="1"/>
        <rFont val="Arial"/>
      </rPr>
      <t>TRANSLATION:</t>
    </r>
    <r>
      <rPr>
        <sz val="11"/>
        <color theme="1"/>
        <rFont val="Arial"/>
      </rPr>
      <t xml:space="preserve"> ...and Scarlett had felt </t>
    </r>
    <r>
      <rPr>
        <b/>
        <sz val="11"/>
        <color theme="1"/>
        <rFont val="Arial"/>
      </rPr>
      <t>ashamed</t>
    </r>
    <r>
      <rPr>
        <sz val="11"/>
        <color theme="1"/>
        <rFont val="Arial"/>
      </rPr>
      <t xml:space="preserve"> inwardly several times that Ashley did not write Melanie such letters,...</t>
    </r>
  </si>
  <si>
    <t>strong shame about breaking social-moral conventions, social exposure, face crimson; Ellen (internalized moral standard); Rhett as witness</t>
  </si>
  <si>
    <t>Scarlett leaped to her feet, her face red with shame. How could she have said such a thing! How could she, Ellen's daughter, with her upbringing, have sat there and listened to such debasing words and then made such a shameless reply? She should have screamed. She should have fainted. She should have turned coldly away in silence and swept from the porch. Too late now!</t>
  </si>
  <si>
    <t>TERM: sgoraya ot styda. (сгорая от стыда.) = burning with shame
PASSAGE: Скарлетт вскочила с кресла, сгорая от стыда.
TRANS: Skarlett vskochila s kresla, sgoraya ot styda.
TRANSLATION: Scarlett leapt up from the chair, burning with shame.</t>
  </si>
  <si>
    <r>
      <rPr>
        <b/>
        <sz val="11"/>
        <color theme="1"/>
        <rFont val="Arial"/>
      </rPr>
      <t>TERM:</t>
    </r>
    <r>
      <rPr>
        <sz val="11"/>
        <color theme="1"/>
        <rFont val="Arial"/>
      </rPr>
      <t xml:space="preserve"> ŪİAT (ҰЯТ) — shame; disgrace; sense of decency (also: that which is improper) [KED, SZK]
</t>
    </r>
    <r>
      <rPr>
        <b/>
        <sz val="11"/>
        <color theme="1"/>
        <rFont val="Arial"/>
      </rPr>
      <t>PASSAGE:</t>
    </r>
    <r>
      <rPr>
        <sz val="11"/>
        <color theme="1"/>
        <rFont val="Arial"/>
      </rPr>
      <t xml:space="preserve"> Скарлетт </t>
    </r>
    <r>
      <rPr>
        <b/>
        <sz val="11"/>
        <color theme="1"/>
        <rFont val="Arial"/>
      </rPr>
      <t>ұяттан</t>
    </r>
    <r>
      <rPr>
        <sz val="11"/>
        <color theme="1"/>
        <rFont val="Arial"/>
      </rPr>
      <t xml:space="preserve"> өртеніп креслодан атып тұрды.
</t>
    </r>
    <r>
      <rPr>
        <b/>
        <sz val="11"/>
        <color theme="1"/>
        <rFont val="Arial"/>
      </rPr>
      <t>TRANS:</t>
    </r>
    <r>
      <rPr>
        <sz val="11"/>
        <color theme="1"/>
        <rFont val="Arial"/>
      </rPr>
      <t xml:space="preserve"> Skarlett </t>
    </r>
    <r>
      <rPr>
        <b/>
        <sz val="11"/>
        <color theme="1"/>
        <rFont val="Arial"/>
      </rPr>
      <t>ūiattan</t>
    </r>
    <r>
      <rPr>
        <sz val="11"/>
        <color theme="1"/>
        <rFont val="Arial"/>
      </rPr>
      <t xml:space="preserve"> örtenıp kreslodan atyp tūrdy.
</t>
    </r>
    <r>
      <rPr>
        <b/>
        <sz val="11"/>
        <color theme="1"/>
        <rFont val="Arial"/>
      </rPr>
      <t>TRANSLATION:</t>
    </r>
    <r>
      <rPr>
        <sz val="11"/>
        <color theme="1"/>
        <rFont val="Arial"/>
      </rPr>
      <t xml:space="preserve"> Scarlett, burning up with </t>
    </r>
    <r>
      <rPr>
        <b/>
        <sz val="11"/>
        <color theme="1"/>
        <rFont val="Arial"/>
      </rPr>
      <t>shame</t>
    </r>
    <r>
      <rPr>
        <sz val="11"/>
        <color theme="1"/>
        <rFont val="Arial"/>
      </rPr>
      <t>, sprang up from the armchair.</t>
    </r>
  </si>
  <si>
    <t>Deferred shame from self-humiliation through social-moral transgression; Rhett witness</t>
  </si>
  <si>
    <t>When he had hurried away to bring her a glass of wine and a paper thin slice of cake, Scarlett sat down in the alcove at the end of the drawing room and carefully arranged her skirts so that the worst spots would not show. The humiliating events of the morning with Rhett were pushed from her mind by the excitement of seeing so many people and hearing music again. Tomorrow she would think of Rhett's conduct and her shame and they would make her writhe again. Tomorrow she would wonder if she had made any impression on Frank's hurt and bewildered heart. But not tonight. Tonight she was alive to her finger tips, every sense alert with hope, her eyes sparkling.</t>
  </si>
  <si>
    <t>TERM: unizhenii (унижении) — humiliation (prep.) [ORD] (lemma: унижение)
PASSAGE: Завтра она снова будет думать о поведении Ретта, о своем унижении и снова будет кипеть от гнева.
TRANS: Zavtra ona snova budet dumat' o povedenii Retta, o svoem unizhenii i snova budet kipet' ot gneva.
TRANSLATION: Tomorrow she would once again be thinking of Rhett's behavior, of her humiliation, and would once again be seething with anger.</t>
  </si>
  <si>
    <r>
      <rPr>
        <b/>
        <sz val="11"/>
        <color theme="1"/>
        <rFont val="Arial"/>
      </rPr>
      <t>TERM:</t>
    </r>
    <r>
      <rPr>
        <sz val="11"/>
        <color theme="1"/>
        <rFont val="Arial"/>
      </rPr>
      <t xml:space="preserve"> QYSAS (ҚЫСАС) — malice; revenge; spite [KED, SZK]
</t>
    </r>
    <r>
      <rPr>
        <b/>
        <sz val="11"/>
        <color theme="1"/>
        <rFont val="Arial"/>
      </rPr>
      <t>PASSAGE:</t>
    </r>
    <r>
      <rPr>
        <sz val="11"/>
        <color theme="1"/>
        <rFont val="Arial"/>
      </rPr>
      <t xml:space="preserve"> Ертең Реттің қылығын қайтадан еске түсіріп, өзіне жасаған </t>
    </r>
    <r>
      <rPr>
        <b/>
        <sz val="11"/>
        <color theme="1"/>
        <rFont val="Arial"/>
      </rPr>
      <t>қысастығына</t>
    </r>
    <r>
      <rPr>
        <sz val="11"/>
        <color theme="1"/>
        <rFont val="Arial"/>
      </rPr>
      <t xml:space="preserve"> күйініп, тағы да ашудан қызынатын шығар.
</t>
    </r>
    <r>
      <rPr>
        <b/>
        <sz val="11"/>
        <color theme="1"/>
        <rFont val="Arial"/>
      </rPr>
      <t>TRANS:</t>
    </r>
    <r>
      <rPr>
        <sz val="11"/>
        <color theme="1"/>
        <rFont val="Arial"/>
      </rPr>
      <t xml:space="preserve"> Erteñ Rettıñ qylyğyn qaitadan eske tüsırıp, özıne jasağan </t>
    </r>
    <r>
      <rPr>
        <b/>
        <sz val="11"/>
        <color theme="1"/>
        <rFont val="Arial"/>
      </rPr>
      <t>qysastyğyna</t>
    </r>
    <r>
      <rPr>
        <sz val="11"/>
        <color theme="1"/>
        <rFont val="Arial"/>
      </rPr>
      <t xml:space="preserve"> küiınıp, tağy da aşudan qyzynatyn şyğar.
</t>
    </r>
    <r>
      <rPr>
        <b/>
        <sz val="11"/>
        <color theme="1"/>
        <rFont val="Arial"/>
      </rPr>
      <t>TRANSLATION:</t>
    </r>
    <r>
      <rPr>
        <sz val="11"/>
        <color theme="1"/>
        <rFont val="Arial"/>
      </rPr>
      <t xml:space="preserve"> Tomorrow she would probably again recall Rhett's behavior, again be wounded by the wrong he had done her, and again burn with anger.</t>
    </r>
  </si>
  <si>
    <t>shame about poverty / reduced circumstances; no physical manifestation; Ellen (internalized moral standard) – shame absent</t>
  </si>
  <si>
    <t>All her life she had heard sneers hurled at the Yankees because their pretensions to gentility were based on wealth, not breeding. But at this moment, heresy though it was, she could not help thinking the Yankees were right on this one matter, even if wrong in all others. It took money to be a lady. She knew Ellen would have fainted had she ever heard such words from her daughter. No depth of poverty could ever have made Ellen feel ashamed. Ashamed! Yes, that was how Scarlett felt. Ashamed that she was poor and reduced to galling shifts and penury and work that negroes should do.</t>
  </si>
  <si>
    <t>TERM: postydnogo (постыдного) — shameful; ignominious (adj., gen.) [ORD] (lemma: постыдный)
PASSAGE: Даже очутись Эллин на самом дне нищеты, она бы не увидела в этом ничего постыдного.
TRANS: Dazhe ochutis' Ellin na samom dne nishchety, ona by ne uvidela v etom nichego postydnogo.
TRANSLATION: Even if Ellen had found herself at the very bottom of poverty, she would not have seen anything shameful in this.</t>
  </si>
  <si>
    <r>
      <rPr>
        <b/>
        <sz val="11"/>
        <color theme="1"/>
        <rFont val="Arial"/>
      </rPr>
      <t>TERM:</t>
    </r>
    <r>
      <rPr>
        <sz val="11"/>
        <color theme="1"/>
        <rFont val="Arial"/>
      </rPr>
      <t xml:space="preserve"> QYSYLU (ҚЫСЫЛУ) — to feel embarrassed; to feel constrained; to be in difficulty [KED, SZK]
</t>
    </r>
    <r>
      <rPr>
        <b/>
        <sz val="11"/>
        <color theme="1"/>
        <rFont val="Arial"/>
      </rPr>
      <t>PASSAGE:</t>
    </r>
    <r>
      <rPr>
        <sz val="11"/>
        <color theme="1"/>
        <rFont val="Arial"/>
      </rPr>
      <t xml:space="preserve"> Жарлылықтың жұтқыншығында жатып, есін жиғанға да Эллин одан ұялып, </t>
    </r>
    <r>
      <rPr>
        <b/>
        <sz val="11"/>
        <color theme="1"/>
        <rFont val="Arial"/>
      </rPr>
      <t>қысыла</t>
    </r>
    <r>
      <rPr>
        <sz val="11"/>
        <color theme="1"/>
        <rFont val="Arial"/>
      </rPr>
      <t xml:space="preserve"> қоймаған еді.
</t>
    </r>
    <r>
      <rPr>
        <b/>
        <sz val="11"/>
        <color theme="1"/>
        <rFont val="Arial"/>
      </rPr>
      <t>TRANS:</t>
    </r>
    <r>
      <rPr>
        <sz val="11"/>
        <color theme="1"/>
        <rFont val="Arial"/>
      </rPr>
      <t xml:space="preserve"> Jarlylyqtyñ jūtqynşyğynda jatyp, esın jiğanğa da Elin odan ūialyp, </t>
    </r>
    <r>
      <rPr>
        <b/>
        <sz val="11"/>
        <color theme="1"/>
        <rFont val="Arial"/>
      </rPr>
      <t>qysyla</t>
    </r>
    <r>
      <rPr>
        <sz val="11"/>
        <color theme="1"/>
        <rFont val="Arial"/>
      </rPr>
      <t xml:space="preserve"> qoimağan edı.
</t>
    </r>
    <r>
      <rPr>
        <b/>
        <sz val="11"/>
        <color theme="1"/>
        <rFont val="Arial"/>
      </rPr>
      <t>TRANSLATION:</t>
    </r>
    <r>
      <rPr>
        <sz val="11"/>
        <color theme="1"/>
        <rFont val="Arial"/>
      </rPr>
      <t xml:space="preserve"> Even if Ellen had been lying in the throat of destitution and come to her senses there, she would not have been </t>
    </r>
    <r>
      <rPr>
        <b/>
        <sz val="11"/>
        <color theme="1"/>
        <rFont val="Arial"/>
      </rPr>
      <t>ashamed</t>
    </r>
    <r>
      <rPr>
        <sz val="11"/>
        <color theme="1"/>
        <rFont val="Arial"/>
      </rPr>
      <t xml:space="preserve"> of it nor felt </t>
    </r>
    <r>
      <rPr>
        <b/>
        <sz val="11"/>
        <color theme="1"/>
        <rFont val="Arial"/>
      </rPr>
      <t>embarrassed</t>
    </r>
    <r>
      <rPr>
        <sz val="11"/>
        <color theme="1"/>
        <rFont val="Arial"/>
      </rPr>
      <t>.</t>
    </r>
  </si>
  <si>
    <t>strong shame about a past event, social exposure, physical manifestation – face crimson; no specific witness at the moment of feeling</t>
  </si>
  <si>
    <t>The memory of her humiliation at his hands made her go crimson with shame.</t>
  </si>
  <si>
    <t>TERM: styda (стыда) — shame (genitive) [ORD] (lemma: стыд)
PASSAGE: Она вспомнила, как он унизил ее, и вспыхнула от стыда.
TRANS: Ona vspomnila, kak on unizil ee, i vspykhnula ot styda.
TRANSLATION: She remembered how he had humiliated her, and she flushed with shame.</t>
  </si>
  <si>
    <r>
      <rPr>
        <b/>
        <sz val="11"/>
        <color theme="1"/>
        <rFont val="Arial"/>
      </rPr>
      <t>TERM:</t>
    </r>
    <r>
      <rPr>
        <sz val="11"/>
        <color theme="1"/>
        <rFont val="Arial"/>
      </rPr>
      <t xml:space="preserve"> ŪİAT (ҰЯТ) — shame; disgrace; sense of decency (also: that which is improper) [KED, SZK]
</t>
    </r>
    <r>
      <rPr>
        <b/>
        <sz val="11"/>
        <color theme="1"/>
        <rFont val="Arial"/>
      </rPr>
      <t>PASSAGE:</t>
    </r>
    <r>
      <rPr>
        <sz val="11"/>
        <color theme="1"/>
        <rFont val="Arial"/>
      </rPr>
      <t xml:space="preserve"> Есіне өзін қалай қорлап, мазақ еткені түсті де, </t>
    </r>
    <r>
      <rPr>
        <b/>
        <sz val="11"/>
        <color theme="1"/>
        <rFont val="Arial"/>
      </rPr>
      <t>ұяттан</t>
    </r>
    <r>
      <rPr>
        <sz val="11"/>
        <color theme="1"/>
        <rFont val="Arial"/>
      </rPr>
      <t xml:space="preserve"> өртеніп кете жаздады.
</t>
    </r>
    <r>
      <rPr>
        <b/>
        <sz val="11"/>
        <color theme="1"/>
        <rFont val="Arial"/>
      </rPr>
      <t>TRANS:</t>
    </r>
    <r>
      <rPr>
        <sz val="11"/>
        <color theme="1"/>
        <rFont val="Arial"/>
      </rPr>
      <t xml:space="preserve"> Esıne özın qalai qorlap, mazaq etkenı tüstı de, </t>
    </r>
    <r>
      <rPr>
        <b/>
        <sz val="11"/>
        <color theme="1"/>
        <rFont val="Arial"/>
      </rPr>
      <t>ūiattan</t>
    </r>
    <r>
      <rPr>
        <sz val="11"/>
        <color theme="1"/>
        <rFont val="Arial"/>
      </rPr>
      <t xml:space="preserve"> örtenıp kete jazdady.
</t>
    </r>
    <r>
      <rPr>
        <b/>
        <sz val="11"/>
        <color theme="1"/>
        <rFont val="Arial"/>
      </rPr>
      <t>TRANSLATION:</t>
    </r>
    <r>
      <rPr>
        <sz val="11"/>
        <color theme="1"/>
        <rFont val="Arial"/>
      </rPr>
      <t xml:space="preserve"> She remembered how he had insulted and mocked her, and almost burst into flame with </t>
    </r>
    <r>
      <rPr>
        <b/>
        <sz val="11"/>
        <color theme="1"/>
        <rFont val="Arial"/>
      </rPr>
      <t>shame</t>
    </r>
    <r>
      <rPr>
        <sz val="11"/>
        <color theme="1"/>
        <rFont val="Arial"/>
      </rPr>
      <t>.</t>
    </r>
  </si>
  <si>
    <t>Shame — Social shame (about the body)</t>
  </si>
  <si>
    <t>shame about body as social/erotic object, bodily awareness; physical manifestation – red; Rhett as witness</t>
  </si>
  <si>
    <t>Scarlett, suddenly conscious of her error of speech, went red. It was more than his joking words that shamed her, for she was suddenly aware again of her thickening body. In no way had either of them ever hinted at her condition and she had always kept the lap robe high under her armpits when with him, even on warm days, comforting herself in the usual feminine manner with the belief that she did not show at all when thus covered, and she was suddenly sick with quick rage at her own condition and shame that he should know.</t>
  </si>
  <si>
    <t>TERM: stydno (стыдно) — it is shameful; (one) feels ashamed (impersonal predicate) [ORD]
PASSAGE: Ей вдруг стало стыдно — и не столько того, что она дала ему повод поглумиться над ней, сколько своего раздавшегося тела.
TRANS: Ey vdrug stalo stydno — i ne stol'ko togo, chto ona dala emu povod poglumit'sya nad ney, skol'ko svoego razdavshegosya tela.
TRANSLATION: She suddenly felt ashamed — and not so much that she had given him an occasion to mock her, as of her swollen body.</t>
  </si>
  <si>
    <r>
      <rPr>
        <b/>
        <sz val="11"/>
        <color theme="1"/>
        <rFont val="Arial"/>
      </rPr>
      <t>TERM:</t>
    </r>
    <r>
      <rPr>
        <sz val="11"/>
        <color theme="1"/>
        <rFont val="Arial"/>
      </rPr>
      <t xml:space="preserve"> ŪİALU (ҰЯЛУ) — to feel ashamed; to feel shy; to be embarrassed [KED, SZK]
</t>
    </r>
    <r>
      <rPr>
        <b/>
        <sz val="11"/>
        <color theme="1"/>
        <rFont val="Arial"/>
      </rPr>
      <t>PASSAGE:</t>
    </r>
    <r>
      <rPr>
        <sz val="11"/>
        <color theme="1"/>
        <rFont val="Arial"/>
      </rPr>
      <t xml:space="preserve"> Өзінің мазақ болуына соқтырған әлгі сөзінен де гөрі, жайылып кеткен денесінен, ыңғайсыз пішінінен де өлердей </t>
    </r>
    <r>
      <rPr>
        <b/>
        <sz val="11"/>
        <color theme="1"/>
        <rFont val="Arial"/>
      </rPr>
      <t>ұялып</t>
    </r>
    <r>
      <rPr>
        <sz val="11"/>
        <color theme="1"/>
        <rFont val="Arial"/>
      </rPr>
      <t xml:space="preserve"> кетті.
</t>
    </r>
    <r>
      <rPr>
        <b/>
        <sz val="11"/>
        <color theme="1"/>
        <rFont val="Arial"/>
      </rPr>
      <t>TRANS:</t>
    </r>
    <r>
      <rPr>
        <sz val="11"/>
        <color theme="1"/>
        <rFont val="Arial"/>
      </rPr>
      <t xml:space="preserve"> Özınıñ mazaq boluyna soqtyrğan älgı sözınen de görı, jaiylyp ketken denesınen, yñğaisyz pışınınen de ölerdei </t>
    </r>
    <r>
      <rPr>
        <b/>
        <sz val="11"/>
        <color theme="1"/>
        <rFont val="Arial"/>
      </rPr>
      <t>ūialyp</t>
    </r>
    <r>
      <rPr>
        <sz val="11"/>
        <color theme="1"/>
        <rFont val="Arial"/>
      </rPr>
      <t xml:space="preserve"> kettı.
</t>
    </r>
    <r>
      <rPr>
        <b/>
        <sz val="11"/>
        <color theme="1"/>
        <rFont val="Arial"/>
      </rPr>
      <t>TRANSLATION:</t>
    </r>
    <r>
      <rPr>
        <sz val="11"/>
        <color theme="1"/>
        <rFont val="Arial"/>
      </rPr>
      <t xml:space="preserve"> More than the words that had brought mockery on her, she became mortally </t>
    </r>
    <r>
      <rPr>
        <b/>
        <sz val="11"/>
        <color theme="1"/>
        <rFont val="Arial"/>
      </rPr>
      <t>embarrassed</t>
    </r>
    <r>
      <rPr>
        <sz val="11"/>
        <color theme="1"/>
        <rFont val="Arial"/>
      </rPr>
      <t xml:space="preserve"> by her spread-out body and awkward shape.</t>
    </r>
  </si>
  <si>
    <t>strong shame, social exposure, manifested in crying; Rhett as specific witness</t>
  </si>
  <si>
    <t>"Get out!" she cried, tugging at the reins and suddenly nausea overwhelmed her. He stopped the horse quickly, passed her two clean handkerchiefs and held her head over the side of the buggy with some skill. The afternoon sun, slanting low through the newly leaved trees, spun sickeningly for a few moments in a swirl of gold and green. When the spell had passed, she put her head in her hands and cried from sheer mortification. Not only had she vomited before a man—in itself as horrible a contretemps as could overtake a woman—but by doing so, the humiliating fact of her pregnancy must now be evident. She felt that she could never look him in the face again. To have this happen with him, of all people, with Rhett who had no respect for women! She cried, expecting some coarse and jocular remark from him which she would never be able to forget.</t>
  </si>
  <si>
    <t>TERM: obidy (обиды) — offence; hurt (gen.) [ORD] (lemma: обида)
PASSAGE: Когда приступ рвоты прошел, Скарлетт закрыла лицо руками и заплакала от обиды.
TRANS: Kogda pristup rvoty proshel, Skarlett zakryla litso rukami i zaplakala ot obidy.
TRANSLATION: When the bout of nausea passed, Scarlett covered her face with her hands and wept from offense.</t>
  </si>
  <si>
    <r>
      <rPr>
        <b/>
        <sz val="11"/>
        <color theme="1"/>
        <rFont val="Arial"/>
      </rPr>
      <t>TERM:</t>
    </r>
    <r>
      <rPr>
        <sz val="11"/>
        <color theme="1"/>
        <rFont val="Arial"/>
      </rPr>
      <t xml:space="preserve"> ÖKINIŞ (ӨКІНІШ) — regret; repentance [KED, SZK]
</t>
    </r>
    <r>
      <rPr>
        <b/>
        <sz val="11"/>
        <color theme="1"/>
        <rFont val="Arial"/>
      </rPr>
      <t>PASSAGE:</t>
    </r>
    <r>
      <rPr>
        <sz val="11"/>
        <color theme="1"/>
        <rFont val="Arial"/>
      </rPr>
      <t xml:space="preserve"> Жүрегінің айнығаны басылып, құсып болған соң Скарлетт бетін қолымен басып алып, </t>
    </r>
    <r>
      <rPr>
        <b/>
        <sz val="11"/>
        <color theme="1"/>
        <rFont val="Arial"/>
      </rPr>
      <t>өкініштен</t>
    </r>
    <r>
      <rPr>
        <sz val="11"/>
        <color theme="1"/>
        <rFont val="Arial"/>
      </rPr>
      <t xml:space="preserve"> жылап жіберді.
</t>
    </r>
    <r>
      <rPr>
        <b/>
        <sz val="11"/>
        <color theme="1"/>
        <rFont val="Arial"/>
      </rPr>
      <t>TRANS:</t>
    </r>
    <r>
      <rPr>
        <sz val="11"/>
        <color theme="1"/>
        <rFont val="Arial"/>
      </rPr>
      <t xml:space="preserve"> Jüregınıñ ainyğany basylyp, qūsyp bolğan soñ Skarlett betın qolymen basyp alyp, </t>
    </r>
    <r>
      <rPr>
        <b/>
        <sz val="11"/>
        <color theme="1"/>
        <rFont val="Arial"/>
      </rPr>
      <t>ökınışten</t>
    </r>
    <r>
      <rPr>
        <sz val="11"/>
        <color theme="1"/>
        <rFont val="Arial"/>
      </rPr>
      <t xml:space="preserve"> jylap jıberdı.
</t>
    </r>
    <r>
      <rPr>
        <b/>
        <sz val="11"/>
        <color theme="1"/>
        <rFont val="Arial"/>
      </rPr>
      <t>TRANSLATION:</t>
    </r>
    <r>
      <rPr>
        <sz val="11"/>
        <color theme="1"/>
        <rFont val="Arial"/>
      </rPr>
      <t xml:space="preserve"> When her queasiness passed and she had finished retching, Scarlett covered her face with her hands and wept from regret.</t>
    </r>
  </si>
  <si>
    <t>shame deemed wrong by Rhett — performative speech act (verdict / directive – shame wrong)</t>
  </si>
  <si>
    <t>"Don't be a fool," he said quietly. "And you are a fool, if you are crying for shame. Come, Scarlett, don't be a child. Surely you must know that, not being blind, I knew you were pregnant."</t>
  </si>
  <si>
    <t>TERM: styda (стыда) — shame (genitive) [ORD] (lemma: стыд)
PASSAGE: А вы, видно, самая настоящая дурочка, раз плачете от стыда.
TRANS: A vy, vidno, samaya nastoyashchaya durochka, raz plachete ot styda.
TRANSLATION: And you, evidently, are a real fool, since you are crying from shame.</t>
  </si>
  <si>
    <r>
      <rPr>
        <b/>
        <sz val="11"/>
        <color theme="1"/>
        <rFont val="Arial"/>
      </rPr>
      <t>TERM:</t>
    </r>
    <r>
      <rPr>
        <sz val="11"/>
        <color theme="1"/>
        <rFont val="Arial"/>
      </rPr>
      <t xml:space="preserve"> ŪİALU (ҰЯЛУ) — to feel ashamed; to feel shy; to be embarrassed [KED, SZK]
</t>
    </r>
    <r>
      <rPr>
        <b/>
        <sz val="11"/>
        <color theme="1"/>
        <rFont val="Arial"/>
      </rPr>
      <t>PASSAGE:</t>
    </r>
    <r>
      <rPr>
        <sz val="11"/>
        <color theme="1"/>
        <rFont val="Arial"/>
      </rPr>
      <t xml:space="preserve"> Мен білмей жүрсем, </t>
    </r>
    <r>
      <rPr>
        <b/>
        <sz val="11"/>
        <color theme="1"/>
        <rFont val="Arial"/>
      </rPr>
      <t>ұялғаннан</t>
    </r>
    <r>
      <rPr>
        <sz val="11"/>
        <color theme="1"/>
        <rFont val="Arial"/>
      </rPr>
      <t xml:space="preserve"> жылайтын сіз шынында нағыз ақымақтың өзі екенсіз ғой.
</t>
    </r>
    <r>
      <rPr>
        <b/>
        <sz val="11"/>
        <color theme="1"/>
        <rFont val="Arial"/>
      </rPr>
      <t>TRANS:</t>
    </r>
    <r>
      <rPr>
        <sz val="11"/>
        <color theme="1"/>
        <rFont val="Arial"/>
      </rPr>
      <t xml:space="preserve"> Men bılmei jürsem, </t>
    </r>
    <r>
      <rPr>
        <b/>
        <sz val="11"/>
        <color theme="1"/>
        <rFont val="Arial"/>
      </rPr>
      <t>ūialğannan</t>
    </r>
    <r>
      <rPr>
        <sz val="11"/>
        <color theme="1"/>
        <rFont val="Arial"/>
      </rPr>
      <t xml:space="preserve"> jylaityn sız şynynda nağyz aqymaqtyñ özı ekensız ğoi.
</t>
    </r>
    <r>
      <rPr>
        <b/>
        <sz val="11"/>
        <color theme="1"/>
        <rFont val="Arial"/>
      </rPr>
      <t>TRANSLATION:</t>
    </r>
    <r>
      <rPr>
        <sz val="11"/>
        <color theme="1"/>
        <rFont val="Arial"/>
      </rPr>
      <t xml:space="preserve"> I had not realized — you who weep from </t>
    </r>
    <r>
      <rPr>
        <b/>
        <sz val="11"/>
        <color theme="1"/>
        <rFont val="Arial"/>
      </rPr>
      <t>shame</t>
    </r>
    <r>
      <rPr>
        <sz val="11"/>
        <color theme="1"/>
        <rFont val="Arial"/>
      </rPr>
      <t xml:space="preserve"> are truly the very picture of a fool.</t>
    </r>
  </si>
  <si>
    <t>mild shame about social convention (not being in public when showing pregnancy); face crimson (somatic); Tara  neighbors as audience</t>
  </si>
  <si>
    <t>Startled at the abrupt switching from the eulogy to herself, Scarlett went red with embarrassment as all eyes turned toward her. Why should Will advertise her already obvious pregnancy? She gave him a shamed indignant look, but Will's placid gaze bore her down.</t>
  </si>
  <si>
    <t>TERM: smutilas' (смутилась) — became flustered; got embarrassed (pf. past fem.) [ORD] (lemma: смутиться)
PASSAGE: Вздрогнув от этого неожиданного перехода к ее особе, Скарлетт смутилась и покраснела, ибо взоры всех обратились к ней.
TRANS: Vzdrognuv ot etogo neozhidannogo perekhoda k ee osobe, Skarlett smutilas' i pokrasnela, ibo vzory vsekh obratilis' k ney.
TRANSLATION: Startled at this unexpected shift to her own person, Scarlett became flustered and blushed, for everyone's eyes turned to her.</t>
  </si>
  <si>
    <r>
      <rPr>
        <b/>
        <sz val="11"/>
        <color theme="1"/>
        <rFont val="Arial"/>
      </rPr>
      <t>TERM:</t>
    </r>
    <r>
      <rPr>
        <sz val="11"/>
        <color theme="1"/>
        <rFont val="Arial"/>
      </rPr>
      <t xml:space="preserve"> ŪİALU (ҰЯЛУ) — to feel ashamed; to feel shy; to be embarrassed [KED, SZK]
</t>
    </r>
    <r>
      <rPr>
        <b/>
        <sz val="11"/>
        <color theme="1"/>
        <rFont val="Arial"/>
      </rPr>
      <t>PASSAGE:</t>
    </r>
    <r>
      <rPr>
        <sz val="11"/>
        <color theme="1"/>
        <rFont val="Arial"/>
      </rPr>
      <t xml:space="preserve"> Тосыннан өз атына бағыттала айтылған шешімнен селк етіп, Скарлетт ұялғаннан қып-қызыл боп кетті.
</t>
    </r>
    <r>
      <rPr>
        <b/>
        <sz val="11"/>
        <color theme="1"/>
        <rFont val="Arial"/>
      </rPr>
      <t>TRANS:</t>
    </r>
    <r>
      <rPr>
        <sz val="11"/>
        <color theme="1"/>
        <rFont val="Arial"/>
      </rPr>
      <t xml:space="preserve"> Tosynnan öz atyna bağyttala aitylğan şeşımnen selk etıp, Skarlett ūialğannan qyp-qyzyl bop kettı.
</t>
    </r>
    <r>
      <rPr>
        <b/>
        <sz val="11"/>
        <color theme="1"/>
        <rFont val="Arial"/>
      </rPr>
      <t>TRANSLATION:</t>
    </r>
    <r>
      <rPr>
        <sz val="11"/>
        <color theme="1"/>
        <rFont val="Arial"/>
      </rPr>
      <t xml:space="preserve"> Startled at this unexpected turn directed at her, Scarlett went bright red with </t>
    </r>
    <r>
      <rPr>
        <b/>
        <sz val="11"/>
        <color theme="1"/>
        <rFont val="Arial"/>
      </rPr>
      <t>embarrassment</t>
    </r>
    <r>
      <rPr>
        <sz val="11"/>
        <color theme="1"/>
        <rFont val="Arial"/>
      </rPr>
      <t>.</t>
    </r>
  </si>
  <si>
    <t>Mild (possibly pretended) shame about pregnancy; no physical manifestation; specific witness Ashley</t>
  </si>
  <si>
    <t>"How sweet of you to say that! For I was so ashamed to let you see me—"</t>
  </si>
  <si>
    <t>TERM: stydno (стыдно) — it is shameful; (one) feels ashamed (impersonal predicate) [ORD]
PASSAGE: А мне было так стыдно показываться вам…
TRANS: A mne bylo tak stydno pokazyvat'sya vam…
TRANSLATION: And I was so ashamed to show myself to you...</t>
  </si>
  <si>
    <r>
      <rPr>
        <b/>
        <sz val="11"/>
        <color theme="1"/>
        <rFont val="Arial"/>
      </rPr>
      <t>TERM:</t>
    </r>
    <r>
      <rPr>
        <sz val="11"/>
        <color theme="1"/>
        <rFont val="Arial"/>
      </rPr>
      <t xml:space="preserve"> ŪİALU (ҰЯЛУ) — to feel ashamed; to feel shy; to be embarrassed [KED, SZK]
</t>
    </r>
    <r>
      <rPr>
        <b/>
        <sz val="11"/>
        <color theme="1"/>
        <rFont val="Arial"/>
      </rPr>
      <t>PASSAGE:</t>
    </r>
    <r>
      <rPr>
        <sz val="11"/>
        <color theme="1"/>
        <rFont val="Arial"/>
      </rPr>
      <t xml:space="preserve"> Мен болсам, сізге көрінуге де </t>
    </r>
    <r>
      <rPr>
        <b/>
        <sz val="11"/>
        <color theme="1"/>
        <rFont val="Arial"/>
      </rPr>
      <t>ұялып</t>
    </r>
    <r>
      <rPr>
        <sz val="11"/>
        <color theme="1"/>
        <rFont val="Arial"/>
      </rPr>
      <t xml:space="preserve"> жүр едім...
</t>
    </r>
    <r>
      <rPr>
        <b/>
        <sz val="11"/>
        <color theme="1"/>
        <rFont val="Arial"/>
      </rPr>
      <t>TRANS:</t>
    </r>
    <r>
      <rPr>
        <sz val="11"/>
        <color theme="1"/>
        <rFont val="Arial"/>
      </rPr>
      <t xml:space="preserve"> Men bolsam, sızge körınuge de </t>
    </r>
    <r>
      <rPr>
        <b/>
        <sz val="11"/>
        <color theme="1"/>
        <rFont val="Arial"/>
      </rPr>
      <t>ūialyp</t>
    </r>
    <r>
      <rPr>
        <sz val="11"/>
        <color theme="1"/>
        <rFont val="Arial"/>
      </rPr>
      <t xml:space="preserve"> jür edım...
</t>
    </r>
    <r>
      <rPr>
        <b/>
        <sz val="11"/>
        <color theme="1"/>
        <rFont val="Arial"/>
      </rPr>
      <t>TRANSLATION:</t>
    </r>
    <r>
      <rPr>
        <sz val="11"/>
        <color theme="1"/>
        <rFont val="Arial"/>
      </rPr>
      <t xml:space="preserve"> As for me, I was even </t>
    </r>
    <r>
      <rPr>
        <b/>
        <sz val="11"/>
        <color theme="1"/>
        <rFont val="Arial"/>
      </rPr>
      <t>ashamed</t>
    </r>
    <r>
      <rPr>
        <sz val="11"/>
        <color theme="1"/>
        <rFont val="Arial"/>
      </rPr>
      <t xml:space="preserve"> to be seen by you...</t>
    </r>
  </si>
  <si>
    <t>shame about social-moral  convention; no physical manifestation; Rhett as specific witness</t>
  </si>
  <si>
    <t>Now she was indeed confused and embarrassed, for she remembered the night on this very porch during the siege when he had said: "I am not a marrying man" and casually suggested that she become his mistress—remembered, too, the terrible day when he was in jail and was shamed by the memory. A slow malicious smile went over his face as he read her eyes.</t>
  </si>
  <si>
    <t>TERM: stydno (стыдно) — it is shameful; (one) feels ashamed (impersonal predicate) [ORD]
PASSAGE: возник и тот страшный день, когда она пришла к нему в тюрьму, и ей стало стыдно от этих воспоминаний.
TRANS: voznik i tot strashnyy den', kogda ona prishla k nemu v tyur'mu, i ey stalo stydno ot etikh vospominaniy.
TRANSLATION: that terrible day when she came to him in prison also came back, and she felt ashamed at these memories.</t>
  </si>
  <si>
    <r>
      <rPr>
        <b/>
        <sz val="11"/>
        <color theme="1"/>
        <rFont val="Arial"/>
      </rPr>
      <t>TERM:</t>
    </r>
    <r>
      <rPr>
        <sz val="11"/>
        <color theme="1"/>
        <rFont val="Arial"/>
      </rPr>
      <t xml:space="preserve"> QYSYLU (ҚЫСЫЛУ) — to feel embarrassed; to feel constrained; to be in difficulty [KED, SZK]
</t>
    </r>
    <r>
      <rPr>
        <b/>
        <sz val="11"/>
        <color theme="1"/>
        <rFont val="Arial"/>
      </rPr>
      <t>PASSAGE:</t>
    </r>
    <r>
      <rPr>
        <sz val="11"/>
        <color theme="1"/>
        <rFont val="Arial"/>
      </rPr>
      <t xml:space="preserve"> Бұған нақсүйері болуды ұсынып, емеурін танытқан кезі, содан кейін де өз аяғымен түрмеге іздеп барғандағы ұятқа қалғаны есіне түсіп, қатты </t>
    </r>
    <r>
      <rPr>
        <b/>
        <sz val="11"/>
        <color theme="1"/>
        <rFont val="Arial"/>
      </rPr>
      <t>қысылып</t>
    </r>
    <r>
      <rPr>
        <sz val="11"/>
        <color theme="1"/>
        <rFont val="Arial"/>
      </rPr>
      <t xml:space="preserve"> кетті.
</t>
    </r>
    <r>
      <rPr>
        <b/>
        <sz val="11"/>
        <color theme="1"/>
        <rFont val="Arial"/>
      </rPr>
      <t>TRANS:</t>
    </r>
    <r>
      <rPr>
        <sz val="11"/>
        <color theme="1"/>
        <rFont val="Arial"/>
      </rPr>
      <t xml:space="preserve"> Būğan naqsüierı boludy ūsynyp, emeurın tanytqan kezı, sodan keiın de öz aiağymen türmege ızdep barğandağy ūiatqa qalğany esıne tüsıp, qatty </t>
    </r>
    <r>
      <rPr>
        <b/>
        <sz val="11"/>
        <color theme="1"/>
        <rFont val="Arial"/>
      </rPr>
      <t>qysylyp</t>
    </r>
    <r>
      <rPr>
        <sz val="11"/>
        <color theme="1"/>
        <rFont val="Arial"/>
      </rPr>
      <t xml:space="preserve"> kettı.
</t>
    </r>
    <r>
      <rPr>
        <b/>
        <sz val="11"/>
        <color theme="1"/>
        <rFont val="Arial"/>
      </rPr>
      <t>TRANSLATION:</t>
    </r>
    <r>
      <rPr>
        <sz val="11"/>
        <color theme="1"/>
        <rFont val="Arial"/>
      </rPr>
      <t xml:space="preserve"> She remembered offering herself to him as his mistress, and then later going to him in prison on her own feet and bringing </t>
    </r>
    <r>
      <rPr>
        <b/>
        <sz val="11"/>
        <color theme="1"/>
        <rFont val="Arial"/>
      </rPr>
      <t>disgrace</t>
    </r>
    <r>
      <rPr>
        <sz val="11"/>
        <color theme="1"/>
        <rFont val="Arial"/>
      </rPr>
      <t xml:space="preserve"> upon herself; she became deeply </t>
    </r>
    <r>
      <rPr>
        <b/>
        <sz val="11"/>
        <color theme="1"/>
        <rFont val="Arial"/>
      </rPr>
      <t>embarrassed</t>
    </r>
    <r>
      <rPr>
        <sz val="11"/>
        <color theme="1"/>
        <rFont val="Arial"/>
      </rPr>
      <t>.</t>
    </r>
  </si>
  <si>
    <t>shame about social-moral convention; shame as driver of behavior; Mrs Elsing, Archie as witnesses; potentially the whole society</t>
  </si>
  <si>
    <t>How she got out of the office she never remembered. But she went instantly, swiftly, by Ashley's order, leaving Ashley and Archie in grim converse in the little room and India and Mrs. Elsing outside with their backs to her. Shame and fear sped her homeward and, in her mind, Archie with his patriarch's beard assumed the proportions of an avenging angel straight from the pages of the Old Testament.</t>
  </si>
  <si>
    <t>TERM: stydom (стыдом) — shame (instrumental) [ORD] (lemma: стыд)
PASSAGE: Скарлетт помчалась домой, подгоняемая стыдом и страхом,
TRANS: Skarlett pomchalas' domoy, podgonyaemaya stydom i strakhom,
TRANSLATION: Scarlett rushed home, driven by shame and fear,</t>
  </si>
  <si>
    <r>
      <rPr>
        <b/>
        <sz val="11"/>
        <color theme="1"/>
        <rFont val="Arial"/>
      </rPr>
      <t>TERM:</t>
    </r>
    <r>
      <rPr>
        <sz val="11"/>
        <color theme="1"/>
        <rFont val="Arial"/>
      </rPr>
      <t xml:space="preserve"> ŪİAT (ҰЯТ) — shame; disgrace; sense of decency (also: that which is improper) [KED, SZK]
</t>
    </r>
    <r>
      <rPr>
        <b/>
        <sz val="11"/>
        <color theme="1"/>
        <rFont val="Arial"/>
      </rPr>
      <t>PASSAGE:</t>
    </r>
    <r>
      <rPr>
        <sz val="11"/>
        <color theme="1"/>
        <rFont val="Arial"/>
      </rPr>
      <t xml:space="preserve"> Қорқыныш пен </t>
    </r>
    <r>
      <rPr>
        <b/>
        <sz val="11"/>
        <color theme="1"/>
        <rFont val="Arial"/>
      </rPr>
      <t>ұят</t>
    </r>
    <r>
      <rPr>
        <sz val="11"/>
        <color theme="1"/>
        <rFont val="Arial"/>
      </rPr>
      <t xml:space="preserve"> қамалап, соңынан қуып келе жатқандай, үйіне қарай ышқынып келеді, көз алдында сақалы сала құлаш, Көне Өсиет ішіндегі кек алушы періште секілді Арчидің бейнесі бірге ұшып келеді.
</t>
    </r>
    <r>
      <rPr>
        <b/>
        <sz val="11"/>
        <color theme="1"/>
        <rFont val="Arial"/>
      </rPr>
      <t>TRANS:</t>
    </r>
    <r>
      <rPr>
        <sz val="11"/>
        <color theme="1"/>
        <rFont val="Arial"/>
      </rPr>
      <t xml:space="preserve"> Qorqynyş pen </t>
    </r>
    <r>
      <rPr>
        <b/>
        <sz val="11"/>
        <color theme="1"/>
        <rFont val="Arial"/>
      </rPr>
      <t>ūiat</t>
    </r>
    <r>
      <rPr>
        <sz val="11"/>
        <color theme="1"/>
        <rFont val="Arial"/>
      </rPr>
      <t xml:space="preserve"> qamalap, soñynan quyp kele jatqandai, üiıne qarai yşqynyp keledı, köz aldynda saqaly sala qūlaş, Köne Ösiet ışındegı kek aluşy perışte sekıldı Archidıñ beinesı bırge ūşyp keledı.
</t>
    </r>
    <r>
      <rPr>
        <b/>
        <sz val="11"/>
        <color theme="1"/>
        <rFont val="Arial"/>
      </rPr>
      <t>TRANSLATION:</t>
    </r>
    <r>
      <rPr>
        <sz val="11"/>
        <color theme="1"/>
        <rFont val="Arial"/>
      </rPr>
      <t xml:space="preserve"> Driven on by fear and </t>
    </r>
    <r>
      <rPr>
        <b/>
        <sz val="11"/>
        <color theme="1"/>
        <rFont val="Arial"/>
      </rPr>
      <t>shame</t>
    </r>
    <r>
      <rPr>
        <sz val="11"/>
        <color theme="1"/>
        <rFont val="Arial"/>
      </rPr>
      <t xml:space="preserve"> as if pursuing her, she rushed home, with the image of Archie — bearded down to his waist, like an avenging angel from the Old Testament — flying along beside her in her mind.</t>
    </r>
  </si>
  <si>
    <t>mild vicarious shame about realizing Scarlett’s ignorance; no physical manifestation; Ashley specific witness</t>
  </si>
  <si>
    <t>An odd look came over Charles' face, incredulity and shame struggling with love. Love triumphed as he realized that it was enough for a girl to be sweet and gentle and beautiful, without having an education to hamper her charms, and he made swift answer: "The Borgias were Italians."</t>
  </si>
  <si>
    <t>Charles Hamilton</t>
  </si>
  <si>
    <t>TERM: nedoumevayushche i smushchenno (недоумевающе и смущенно) — in bewilderment and embarrassment [ORD] (lemma: смущенно)
PASSAGE: Чарльз как-то странно посмотрел на нее — недоумевающе и смущенно
TRANS: Charl'z kak-to stranno posmotrel na nee — nedoumevayushche i smushchenno
TRANSLATION: Charles looked at her in a strange way — bewildered and embarrassed.</t>
  </si>
  <si>
    <r>
      <rPr>
        <b/>
        <sz val="11"/>
        <color theme="1"/>
        <rFont val="Arial"/>
      </rPr>
      <t>TERM:</t>
    </r>
    <r>
      <rPr>
        <sz val="11"/>
        <color theme="1"/>
        <rFont val="Arial"/>
      </rPr>
      <t xml:space="preserve"> AÑYRAU (АҢЫРАУ) — to be stunned; to be dumbfounded [KED, SZK]
</t>
    </r>
    <r>
      <rPr>
        <b/>
        <sz val="11"/>
        <color theme="1"/>
        <rFont val="Arial"/>
      </rPr>
      <t>PASSAGE:</t>
    </r>
    <r>
      <rPr>
        <sz val="11"/>
        <color theme="1"/>
        <rFont val="Arial"/>
      </rPr>
      <t xml:space="preserve"> Чарльз қыздың жүзіне біртүрлі аңырып, абыржи қарады.
</t>
    </r>
    <r>
      <rPr>
        <b/>
        <sz val="11"/>
        <color theme="1"/>
        <rFont val="Arial"/>
      </rPr>
      <t>TRANS:</t>
    </r>
    <r>
      <rPr>
        <sz val="11"/>
        <color theme="1"/>
        <rFont val="Arial"/>
      </rPr>
      <t xml:space="preserve"> Charlz qyzdyñ jüzıne bırtürlı añyryp, abyrji qarady.
</t>
    </r>
    <r>
      <rPr>
        <b/>
        <sz val="11"/>
        <color theme="1"/>
        <rFont val="Arial"/>
      </rPr>
      <t>TRANSLATION:</t>
    </r>
    <r>
      <rPr>
        <sz val="11"/>
        <color theme="1"/>
        <rFont val="Arial"/>
      </rPr>
      <t xml:space="preserve"> Charles looked at the girl in a strange way — astonished and confused. </t>
    </r>
  </si>
  <si>
    <t>absent shame about social conventions; community / diffuse audience</t>
  </si>
  <si>
    <t>To their horror, mothers found their daughters holding hands with these men. Mrs. Merriwether, who had never kissed her husband until after the wedding ceremony, could scarcely believe her eyes when she caught Maybelle kissing the little Zouave, Rene Picard, and her consternation was even greater when Maybelle refused to be ashamed. Even the fact that Rene immediately asked for her hand did not improve matters. Mrs. Merriwether felt that the South was heading for a complete moral collapse and frequently said so. Other mothers concurred heartily with her and blamed it on the war.</t>
  </si>
  <si>
    <t>Community / South</t>
  </si>
  <si>
    <t>TERM: ne byla smushchena (не была смущена) — was not embarrassed (passive past fem. neg.) [ORD] (lemma: смутить)
PASSAGE: Ужас ее был тем более неописуем, что Мейбелл ничуть не была смущена.
TRANS: Uzhas ee byl tem bolee neopisuem, chto Meybell nichut' ne byla smushchena.
TRANSLATION: Her horror was the more indescribable because Maybelle was not at all flustered.</t>
  </si>
  <si>
    <r>
      <rPr>
        <b/>
        <sz val="11"/>
        <color theme="1"/>
        <rFont val="Arial"/>
      </rPr>
      <t>TERM:</t>
    </r>
    <r>
      <rPr>
        <sz val="11"/>
        <color theme="1"/>
        <rFont val="Arial"/>
      </rPr>
      <t xml:space="preserve"> QYMSYNU (ҚЫМСЫНУ) — to feel awkward; to feel embarrassed [KED, SZK]
</t>
    </r>
    <r>
      <rPr>
        <b/>
        <sz val="11"/>
        <color theme="1"/>
        <rFont val="Arial"/>
      </rPr>
      <t>PASSAGE:</t>
    </r>
    <r>
      <rPr>
        <sz val="11"/>
        <color theme="1"/>
        <rFont val="Arial"/>
      </rPr>
      <t xml:space="preserve"> Осы қылығы үшін Мэйбеллдің ешқандай </t>
    </r>
    <r>
      <rPr>
        <b/>
        <sz val="11"/>
        <color theme="1"/>
        <rFont val="Arial"/>
      </rPr>
      <t>қымсынбағанын</t>
    </r>
    <r>
      <rPr>
        <sz val="11"/>
        <color theme="1"/>
        <rFont val="Arial"/>
      </rPr>
      <t xml:space="preserve"> көргенде тіпті айран-асыр болды.
</t>
    </r>
    <r>
      <rPr>
        <b/>
        <sz val="11"/>
        <color theme="1"/>
        <rFont val="Arial"/>
      </rPr>
      <t>TRANS:</t>
    </r>
    <r>
      <rPr>
        <sz val="11"/>
        <color theme="1"/>
        <rFont val="Arial"/>
      </rPr>
      <t xml:space="preserve"> Osy qylyğy üşın Meibelldıñ eşqandai </t>
    </r>
    <r>
      <rPr>
        <b/>
        <sz val="11"/>
        <color theme="1"/>
        <rFont val="Arial"/>
      </rPr>
      <t>qymsynbağanyn</t>
    </r>
    <r>
      <rPr>
        <sz val="11"/>
        <color theme="1"/>
        <rFont val="Arial"/>
      </rPr>
      <t xml:space="preserve"> körgende tıptı airan-asyr boldy.
</t>
    </r>
    <r>
      <rPr>
        <b/>
        <sz val="11"/>
        <color theme="1"/>
        <rFont val="Arial"/>
      </rPr>
      <t>TRANSLATION:</t>
    </r>
    <r>
      <rPr>
        <sz val="11"/>
        <color theme="1"/>
        <rFont val="Arial"/>
      </rPr>
      <t xml:space="preserve"> When she saw that Maybelle was not at all </t>
    </r>
    <r>
      <rPr>
        <b/>
        <sz val="11"/>
        <color theme="1"/>
        <rFont val="Arial"/>
      </rPr>
      <t>embarrassed</t>
    </r>
    <r>
      <rPr>
        <sz val="11"/>
        <color theme="1"/>
        <rFont val="Arial"/>
      </rPr>
      <t xml:space="preserve"> about this conduct of hers, she was utterly astounded.</t>
    </r>
  </si>
  <si>
    <t>Supposed child’s shame about a parent who breaks social convention; group of children as witnesses</t>
  </si>
  <si>
    <t>"A boy has to be proud of his father—or stepfather. I can't let him be ashamed before the other little brutes. Cruel creatures, children."</t>
  </si>
  <si>
    <t>Wade</t>
  </si>
  <si>
    <t>TERM: stydno (стыдно) — it is shameful; (one) feels ashamed (impersonal predicate) [ORD]
PASSAGE: Я не хочу, чтобы ему было стыдно перед другими маленькими зверюгами.
TRANS: Ya ne khochu, chtoby emu bylo stydno pered drugimi malen'kimi zveryugami.
TRANSLATION: I do not want him to be ashamed before other little brutes.</t>
  </si>
  <si>
    <r>
      <rPr>
        <b/>
        <sz val="11"/>
        <color theme="1"/>
        <rFont val="Arial"/>
      </rPr>
      <t>TERM:</t>
    </r>
    <r>
      <rPr>
        <sz val="11"/>
        <color theme="1"/>
        <rFont val="Arial"/>
      </rPr>
      <t xml:space="preserve"> NAZAR (НАЗАР) — attention; notice; gaze [KED, SZK]
</t>
    </r>
    <r>
      <rPr>
        <b/>
        <sz val="11"/>
        <color theme="1"/>
        <rFont val="Arial"/>
      </rPr>
      <t>PASSAGE:</t>
    </r>
    <r>
      <rPr>
        <sz val="11"/>
        <color theme="1"/>
        <rFont val="Arial"/>
      </rPr>
      <t xml:space="preserve"> Өзге балалардың алдында </t>
    </r>
    <r>
      <rPr>
        <b/>
        <sz val="11"/>
        <color theme="1"/>
        <rFont val="Arial"/>
      </rPr>
      <t>назары</t>
    </r>
    <r>
      <rPr>
        <sz val="11"/>
        <color theme="1"/>
        <rFont val="Arial"/>
      </rPr>
      <t xml:space="preserve"> төмен, көңілі пәс болғанын қаламаймын.
</t>
    </r>
    <r>
      <rPr>
        <b/>
        <sz val="11"/>
        <color theme="1"/>
        <rFont val="Arial"/>
      </rPr>
      <t>TRANS:</t>
    </r>
    <r>
      <rPr>
        <sz val="11"/>
        <color theme="1"/>
        <rFont val="Arial"/>
      </rPr>
      <t xml:space="preserve"> Özge balalardyñ aldynda nazary </t>
    </r>
    <r>
      <rPr>
        <b/>
        <sz val="11"/>
        <color theme="1"/>
        <rFont val="Arial"/>
      </rPr>
      <t>tömen</t>
    </r>
    <r>
      <rPr>
        <sz val="11"/>
        <color theme="1"/>
        <rFont val="Arial"/>
      </rPr>
      <t xml:space="preserve">, köñılı päs bolğanyn qalamaimyn.
</t>
    </r>
    <r>
      <rPr>
        <b/>
        <sz val="11"/>
        <color theme="1"/>
        <rFont val="Arial"/>
      </rPr>
      <t>TRANSLATION:</t>
    </r>
    <r>
      <rPr>
        <sz val="11"/>
        <color theme="1"/>
        <rFont val="Arial"/>
      </rPr>
      <t xml:space="preserve"> I do not want him to be downcast and dispirited before the other children.</t>
    </r>
  </si>
  <si>
    <t>"Do you think I'm going to have my Bonnie ashamed of her father? Have her left out of parties when she's nine or ten? Do you think I'm going to have her humiliated like Wade for things that aren't her fault but yours and mine?"</t>
  </si>
  <si>
    <t>Bonnie</t>
  </si>
  <si>
    <t>TERM: stydilas' (стыдилась) — felt ashamed (3sg fem. past, impf.) [ORD] (lemma: стыдиться)
PASSAGE: Вы думаете, я допущу, чтобы моя Бонни стыдилась своего отца?
TRANS: Vy dumaete, ya dopushchu, chtoby moya Bonni stydilas' svoego ottsa?
TRANSLATION: Do you think I will allow my Bonnie to be ashamed of her father?</t>
  </si>
  <si>
    <r>
      <rPr>
        <b/>
        <sz val="11"/>
        <color theme="1"/>
        <rFont val="Arial"/>
      </rPr>
      <t>TERM:</t>
    </r>
    <r>
      <rPr>
        <sz val="11"/>
        <color theme="1"/>
        <rFont val="Arial"/>
      </rPr>
      <t xml:space="preserve"> ŪİALU (ҰЯЛУ) — to feel ashamed; to feel shy; to be embarrassed [KED, SZK]
</t>
    </r>
    <r>
      <rPr>
        <b/>
        <sz val="11"/>
        <color theme="1"/>
        <rFont val="Arial"/>
      </rPr>
      <t>PASSAGE:</t>
    </r>
    <r>
      <rPr>
        <sz val="11"/>
        <color theme="1"/>
        <rFont val="Arial"/>
      </rPr>
      <t xml:space="preserve"> Боннидің өз әкесі үшін </t>
    </r>
    <r>
      <rPr>
        <b/>
        <sz val="11"/>
        <color theme="1"/>
        <rFont val="Arial"/>
      </rPr>
      <t>ұялғанын</t>
    </r>
    <r>
      <rPr>
        <sz val="11"/>
        <color theme="1"/>
        <rFont val="Arial"/>
      </rPr>
      <t xml:space="preserve"> қалайды ғой деймісің мені?
</t>
    </r>
    <r>
      <rPr>
        <b/>
        <sz val="11"/>
        <color theme="1"/>
        <rFont val="Arial"/>
      </rPr>
      <t>TRANS:</t>
    </r>
    <r>
      <rPr>
        <sz val="11"/>
        <color theme="1"/>
        <rFont val="Arial"/>
      </rPr>
      <t xml:space="preserve"> Bonnidıñ öz äkesı üşın </t>
    </r>
    <r>
      <rPr>
        <b/>
        <sz val="11"/>
        <color theme="1"/>
        <rFont val="Arial"/>
      </rPr>
      <t>ūialğanyn</t>
    </r>
    <r>
      <rPr>
        <sz val="11"/>
        <color theme="1"/>
        <rFont val="Arial"/>
      </rPr>
      <t xml:space="preserve"> qalaidy ğoi deimısıñ menı?
</t>
    </r>
    <r>
      <rPr>
        <b/>
        <sz val="11"/>
        <color theme="1"/>
        <rFont val="Arial"/>
      </rPr>
      <t>TRANSLATION:</t>
    </r>
    <r>
      <rPr>
        <sz val="11"/>
        <color theme="1"/>
        <rFont val="Arial"/>
      </rPr>
      <t xml:space="preserve"> Do you think I would want Bonnie to be </t>
    </r>
    <r>
      <rPr>
        <b/>
        <sz val="11"/>
        <color theme="1"/>
        <rFont val="Arial"/>
      </rPr>
      <t>ashamed</t>
    </r>
    <r>
      <rPr>
        <sz val="11"/>
        <color theme="1"/>
        <rFont val="Arial"/>
      </rPr>
      <t xml:space="preserve"> of her own father?</t>
    </r>
  </si>
  <si>
    <t>mild shame about social convention; no physical manifestation; no specific witness</t>
  </si>
  <si>
    <t>"It isn't silly," said Mrs. Elsing indignantly. "Yesterday, in the pouring rain, he had those three children, even the baby, mind you, out in his carriage riding them up and down Peachtree Street and he gave me a lift home. And when I said: 'Captain Butler, have you lost your mind keeping these children out in the damp? Why don't you take them home?' And he didn't say a word but just looked embarrassed. But Mammy spoke up and said: 'De house full of w'ite trash an' it healthier fer de chillun in de rain dan at home!'</t>
  </si>
  <si>
    <t>TERM: smushchennyy (смущенный) — embarrassed; flustered (adj./past pass. part.) [ORD]
PASSAGE: Почему не везете их домой?», он ни слова не ответил, но вид у него был смущенный.
TRANS: Pochemu ne vezete ikh domoy?», on ni slova ne otvetil, no vid u nego byl smushchennyy.
TRANSLATION: "Why don't you take them home?" — he didn't say a word in reply, but he had an embarrassed look.</t>
  </si>
  <si>
    <r>
      <rPr>
        <b/>
        <sz val="11"/>
        <color theme="1"/>
        <rFont val="Arial"/>
      </rPr>
      <t>TERM:</t>
    </r>
    <r>
      <rPr>
        <sz val="11"/>
        <color theme="1"/>
        <rFont val="Arial"/>
      </rPr>
      <t xml:space="preserve"> TÜR (ТҮР) — appearance; look; form [KED, SZK]
</t>
    </r>
    <r>
      <rPr>
        <b/>
        <sz val="11"/>
        <color theme="1"/>
        <rFont val="Arial"/>
      </rPr>
      <t>PASSAGE:</t>
    </r>
    <r>
      <rPr>
        <sz val="11"/>
        <color theme="1"/>
        <rFont val="Arial"/>
      </rPr>
      <t xml:space="preserve"> жұмған аузын ашпады, бірақ </t>
    </r>
    <r>
      <rPr>
        <b/>
        <sz val="11"/>
        <color theme="1"/>
        <rFont val="Arial"/>
      </rPr>
      <t>түрі</t>
    </r>
    <r>
      <rPr>
        <sz val="11"/>
        <color theme="1"/>
        <rFont val="Arial"/>
      </rPr>
      <t xml:space="preserve"> түтігіп кеткен.
</t>
    </r>
    <r>
      <rPr>
        <b/>
        <sz val="11"/>
        <color theme="1"/>
        <rFont val="Arial"/>
      </rPr>
      <t>TRANS:</t>
    </r>
    <r>
      <rPr>
        <sz val="11"/>
        <color theme="1"/>
        <rFont val="Arial"/>
      </rPr>
      <t xml:space="preserve"> jūmğan auzyn aşpady, bıraq </t>
    </r>
    <r>
      <rPr>
        <b/>
        <sz val="11"/>
        <color theme="1"/>
        <rFont val="Arial"/>
      </rPr>
      <t>türı</t>
    </r>
    <r>
      <rPr>
        <sz val="11"/>
        <color theme="1"/>
        <rFont val="Arial"/>
      </rPr>
      <t xml:space="preserve"> tütıgıp ketken.
</t>
    </r>
    <r>
      <rPr>
        <b/>
        <sz val="11"/>
        <color theme="1"/>
        <rFont val="Arial"/>
      </rPr>
      <t>TRANSLATION:</t>
    </r>
    <r>
      <rPr>
        <sz val="11"/>
        <color theme="1"/>
        <rFont val="Arial"/>
      </rPr>
      <t xml:space="preserve"> he did not open his closed mouth, but his </t>
    </r>
    <r>
      <rPr>
        <b/>
        <sz val="11"/>
        <color theme="1"/>
        <rFont val="Arial"/>
      </rPr>
      <t>look</t>
    </r>
    <r>
      <rPr>
        <sz val="11"/>
        <color theme="1"/>
        <rFont val="Arial"/>
      </rPr>
      <t xml:space="preserve"> had darkened.</t>
    </r>
  </si>
  <si>
    <t>shame about body exposure, feminine modesty; posture manifests feeling; Scarlett as  witness</t>
  </si>
  <si>
    <t>"Thank God, I'm not that modest," thought Scarlett, feeling rather than seeing Melanie's agony of embarrassment, as she wrapped the ragged cloth about the shattered face.</t>
  </si>
  <si>
    <t>TERM: muki (муки) — torments; agonies (pl.) [ORD] (lemma: мука)
PASSAGE: «Какое счастье, что я не наделена такой непомерной стыдливостью», — подумала Скарлетт, обертывая рваным пеньюаром изуродованную голову солдата и не столько видя, сколько чувствуя, какие муки испытывает от своей наготы Мелани.
TRANS: «Kakoe schast'e, chto ya ne nadelena takoy nepomernoy stydlivost'yu», — podumala Skarlett, obertyvaya rvanym pen'yuarom izurodovannuyu golovu soldata i ne stol'ko vidya, skol'ko chuvstvuya, kakie muki ispytyvaet ot svoey nagoty Melani.
TRANSLATION: "What luck that I am not endowed with such excessive modesty," thought Scarlett, wrapping the soldier's mutilated head in her torn dressing-gown and not so much seeing as feeling what torments Melanie was undergoing because of her nakedness.</t>
  </si>
  <si>
    <r>
      <rPr>
        <b/>
        <sz val="11"/>
        <color theme="1"/>
        <rFont val="Arial"/>
      </rPr>
      <t>TERM:</t>
    </r>
    <r>
      <rPr>
        <sz val="11"/>
        <color theme="1"/>
        <rFont val="Arial"/>
      </rPr>
      <t xml:space="preserve"> AZAPTY (АЗАПТЫ) — tormented; painful [KED, SZK]
</t>
    </r>
    <r>
      <rPr>
        <b/>
        <sz val="11"/>
        <color theme="1"/>
        <rFont val="Arial"/>
      </rPr>
      <t>PASSAGE:</t>
    </r>
    <r>
      <rPr>
        <sz val="11"/>
        <color theme="1"/>
        <rFont val="Arial"/>
      </rPr>
      <t xml:space="preserve"> "Маған мұндай шамадан тыс ұялшақтық берілмегені қандай бақыт, - деп ойлады Скарлетт, Меланидің жалаңаштығынан қандай </t>
    </r>
    <r>
      <rPr>
        <b/>
        <sz val="11"/>
        <color theme="1"/>
        <rFont val="Arial"/>
      </rPr>
      <t>азапты</t>
    </r>
    <r>
      <rPr>
        <sz val="11"/>
        <color theme="1"/>
        <rFont val="Arial"/>
      </rPr>
      <t xml:space="preserve"> сезінгеніне қарап
</t>
    </r>
    <r>
      <rPr>
        <b/>
        <sz val="11"/>
        <color theme="1"/>
        <rFont val="Arial"/>
      </rPr>
      <t>TRANS:</t>
    </r>
    <r>
      <rPr>
        <sz val="11"/>
        <color theme="1"/>
        <rFont val="Arial"/>
      </rPr>
      <t xml:space="preserve"> "Mağan mūndai şamadan tys ūialşaqtyq berılmegenı qandai baqyt, - dep oilady Skarlett, Melanidıñ jalañaştyğynan qandai </t>
    </r>
    <r>
      <rPr>
        <b/>
        <sz val="11"/>
        <color theme="1"/>
        <rFont val="Arial"/>
      </rPr>
      <t>azapty</t>
    </r>
    <r>
      <rPr>
        <sz val="11"/>
        <color theme="1"/>
        <rFont val="Arial"/>
      </rPr>
      <t xml:space="preserve"> sezıngenıne qarap
</t>
    </r>
    <r>
      <rPr>
        <b/>
        <sz val="11"/>
        <color theme="1"/>
        <rFont val="Arial"/>
      </rPr>
      <t>TRANSLATION:</t>
    </r>
    <r>
      <rPr>
        <sz val="11"/>
        <color theme="1"/>
        <rFont val="Arial"/>
      </rPr>
      <t xml:space="preserve"> "What good fortune that I have not been given such excessive shyness," thought Scarlett, looking at what </t>
    </r>
    <r>
      <rPr>
        <b/>
        <sz val="11"/>
        <color theme="1"/>
        <rFont val="Arial"/>
      </rPr>
      <t>torments</t>
    </r>
    <r>
      <rPr>
        <sz val="11"/>
        <color theme="1"/>
        <rFont val="Arial"/>
      </rPr>
      <t xml:space="preserve"> Melanie was suffering because of her nakedness</t>
    </r>
  </si>
  <si>
    <t>mild shame about social convention; no physical manifestation; family witness</t>
  </si>
  <si>
    <t>"And the selfish swine won't give them to either of us," said Tony. "And they'd fit our small, aristocratic Fontaine feet perfectly. Hell's afire, I'm ashamed to face Mother in these brogans.</t>
  </si>
  <si>
    <t>Tony Fontaine</t>
  </si>
  <si>
    <t>PASSAGE: Ну как, разрази меня гром, появлюсь я перед матерью в этих опорках?
TRANS: Nu kak, razrazi menya grom, poyavlyus' ya pered mater'yu v etikh oporkakh?
TRANSLATION: Well, may a thunderbolt strike me, how am I to appear before my mother in these worn-out shoes?</t>
  </si>
  <si>
    <r>
      <rPr>
        <b/>
        <sz val="11"/>
        <color theme="1"/>
        <rFont val="Arial"/>
      </rPr>
      <t>PASSAGE:</t>
    </r>
    <r>
      <rPr>
        <sz val="11"/>
        <color theme="1"/>
        <rFont val="Arial"/>
      </rPr>
      <t xml:space="preserve"> Төбеме жай түссін, мен осы аяқкиіммен анамның көзіне қалай көрінбекпін?
</t>
    </r>
    <r>
      <rPr>
        <b/>
        <sz val="11"/>
        <color theme="1"/>
        <rFont val="Arial"/>
      </rPr>
      <t>TRANS:</t>
    </r>
    <r>
      <rPr>
        <sz val="11"/>
        <color theme="1"/>
        <rFont val="Arial"/>
      </rPr>
      <t xml:space="preserve"> Töbeme jai tüssın, men osy aiaqkiımmen anamnyñ közıne qalai körınbekpın?
</t>
    </r>
    <r>
      <rPr>
        <b/>
        <sz val="11"/>
        <color theme="1"/>
        <rFont val="Arial"/>
      </rPr>
      <t>TRANSLATION:</t>
    </r>
    <r>
      <rPr>
        <sz val="11"/>
        <color theme="1"/>
        <rFont val="Arial"/>
      </rPr>
      <t xml:space="preserve"> May lightning strike me on the head — how am I to show myself before my mother in these worn-out shoes?</t>
    </r>
  </si>
  <si>
    <t>Social shame about social convention – not be seen during advanced pregnancy; no physical manifestation; Ashley witness</t>
  </si>
  <si>
    <r>
      <rPr>
        <b/>
        <sz val="11"/>
        <color theme="1"/>
        <rFont val="Arial"/>
      </rPr>
      <t>TERM:</t>
    </r>
    <r>
      <rPr>
        <sz val="11"/>
        <color theme="1"/>
        <rFont val="Arial"/>
      </rPr>
      <t xml:space="preserve"> ŪİALU (ҰЯЛУ) — to feel ashamed; to feel shy; to be embarrassed [KED, SZK]
</t>
    </r>
    <r>
      <rPr>
        <b/>
        <sz val="11"/>
        <color theme="1"/>
        <rFont val="Arial"/>
      </rPr>
      <t>PASSAGE:</t>
    </r>
    <r>
      <rPr>
        <sz val="11"/>
        <color theme="1"/>
        <rFont val="Arial"/>
      </rPr>
      <t xml:space="preserve"> Мен болсам, сізге көрінуге де </t>
    </r>
    <r>
      <rPr>
        <b/>
        <sz val="11"/>
        <color theme="1"/>
        <rFont val="Arial"/>
      </rPr>
      <t>ұялып</t>
    </r>
    <r>
      <rPr>
        <sz val="11"/>
        <color theme="1"/>
        <rFont val="Arial"/>
      </rPr>
      <t xml:space="preserve"> жүр едім...
</t>
    </r>
    <r>
      <rPr>
        <b/>
        <sz val="11"/>
        <color theme="1"/>
        <rFont val="Arial"/>
      </rPr>
      <t>TRANS:</t>
    </r>
    <r>
      <rPr>
        <sz val="11"/>
        <color theme="1"/>
        <rFont val="Arial"/>
      </rPr>
      <t xml:space="preserve"> Men bolsam, sızge körınuge de </t>
    </r>
    <r>
      <rPr>
        <b/>
        <sz val="11"/>
        <color theme="1"/>
        <rFont val="Arial"/>
      </rPr>
      <t>ūialyp</t>
    </r>
    <r>
      <rPr>
        <sz val="11"/>
        <color theme="1"/>
        <rFont val="Arial"/>
      </rPr>
      <t xml:space="preserve"> jür edım...
</t>
    </r>
    <r>
      <rPr>
        <b/>
        <sz val="11"/>
        <color theme="1"/>
        <rFont val="Arial"/>
      </rPr>
      <t>TRANSLATION:</t>
    </r>
    <r>
      <rPr>
        <sz val="11"/>
        <color theme="1"/>
        <rFont val="Arial"/>
      </rPr>
      <t xml:space="preserve"> As for me, I had been </t>
    </r>
    <r>
      <rPr>
        <b/>
        <sz val="11"/>
        <color theme="1"/>
        <rFont val="Arial"/>
      </rPr>
      <t>ashamed</t>
    </r>
    <r>
      <rPr>
        <sz val="11"/>
        <color theme="1"/>
        <rFont val="Arial"/>
      </rPr>
      <t xml:space="preserve"> to be seen by you...</t>
    </r>
  </si>
  <si>
    <t>supposed moral shame</t>
  </si>
  <si>
    <t>Oh, she could stand the cuts, the slights, the covert smiles, anything the town might say, if she had to stand them—but not Melanie! Oh, not Melanie! She did not know why she should mind Melanie knowing, more than anyone else. She was too frightened and weighed down by a sense of past guilt to try to understand it. But she burst into tears at the thought of what would be in Melanie's eyes when India told her that she had caught Ashley fondling Scarlett. And what would Melanie do when she knew? Leave Ashley? What else could she do, with any dignity? And what will Ashley and I do then? she thought frenziedly, the tears streaming down her face. Oh, Ashley will die of shame and hate me for bringing this on him. Suddenly her tears stopped short as a deadly fear went through her heart. What of Rhett? What would he do?</t>
  </si>
  <si>
    <t>TERM: styda (стыда) — shame (genitive) [ORD] (lemma: стыд)
PASSAGE: О, Эшли просто умрет со стыда и возненавидит меня за то, что я навлекла на него такое
TRANS: O, Eshli prosto umret so styda i voznenavidit menya za to, chto ya navlekla na nego takoe
TRANSLATION: Oh, Ashley would simply die of shame and would hate me for having brought such a thing upon him</t>
  </si>
  <si>
    <r>
      <rPr>
        <b/>
        <sz val="11"/>
        <color theme="1"/>
        <rFont val="Arial"/>
      </rPr>
      <t>TERM:</t>
    </r>
    <r>
      <rPr>
        <sz val="11"/>
        <color theme="1"/>
        <rFont val="Arial"/>
      </rPr>
      <t xml:space="preserve"> ŪİAT (ҰЯТ) — shame; disgrace; sense of decency (also: that which is improper) [KED, SZK]
</t>
    </r>
    <r>
      <rPr>
        <b/>
        <sz val="11"/>
        <color theme="1"/>
        <rFont val="Arial"/>
      </rPr>
      <t>PASSAGE:</t>
    </r>
    <r>
      <rPr>
        <sz val="11"/>
        <color theme="1"/>
        <rFont val="Arial"/>
      </rPr>
      <t xml:space="preserve"> Эшли осы жағдайға тап келтіргені үшін мұны өлердей жек көріп және өзі </t>
    </r>
    <r>
      <rPr>
        <b/>
        <sz val="11"/>
        <color theme="1"/>
        <rFont val="Arial"/>
      </rPr>
      <t>ұяттан</t>
    </r>
    <r>
      <rPr>
        <sz val="11"/>
        <color theme="1"/>
        <rFont val="Arial"/>
      </rPr>
      <t xml:space="preserve"> өліп те кетуі мүмкін-ау.
</t>
    </r>
    <r>
      <rPr>
        <b/>
        <sz val="11"/>
        <color theme="1"/>
        <rFont val="Arial"/>
      </rPr>
      <t>TRANS:</t>
    </r>
    <r>
      <rPr>
        <sz val="11"/>
        <color theme="1"/>
        <rFont val="Arial"/>
      </rPr>
      <t xml:space="preserve"> Eşli osy jağdaiğa tap keltırgenı üşın mūny ölerdei jek körıp jäne özı </t>
    </r>
    <r>
      <rPr>
        <b/>
        <sz val="11"/>
        <color theme="1"/>
        <rFont val="Arial"/>
      </rPr>
      <t>ūiattan</t>
    </r>
    <r>
      <rPr>
        <sz val="11"/>
        <color theme="1"/>
        <rFont val="Arial"/>
      </rPr>
      <t xml:space="preserve"> ölıp te ketuı mümkın-au.
</t>
    </r>
    <r>
      <rPr>
        <b/>
        <sz val="11"/>
        <color theme="1"/>
        <rFont val="Arial"/>
      </rPr>
      <t>TRANSLATION:</t>
    </r>
    <r>
      <rPr>
        <sz val="11"/>
        <color theme="1"/>
        <rFont val="Arial"/>
      </rPr>
      <t xml:space="preserve"> Ashley might hate this woman to death and might himself die of </t>
    </r>
    <r>
      <rPr>
        <b/>
        <sz val="11"/>
        <color theme="1"/>
        <rFont val="Arial"/>
      </rPr>
      <t>shame</t>
    </r>
    <r>
      <rPr>
        <sz val="11"/>
        <color theme="1"/>
        <rFont val="Arial"/>
      </rPr>
      <t xml:space="preserve"> for having put him in this situation.</t>
    </r>
  </si>
  <si>
    <t>Supposed moral shame</t>
  </si>
  <si>
    <t>Tomorrow she would not be so haunted by the memory of Ashley's face, his broken pride and his shame—shame that she had caused, shame in which he had so little part. Would he hate her now, her darling honorable Ashley, because she had shamed him? Of course he would hate her now—now that they had both been saved by the indignant squaring of Melanie's thin shoulders and the love and outspoken trust which had been in her voice as she crossed the glassy floor to slip her arm through Scarlett's and face the curious, malicious, covertly hostile crowd.</t>
  </si>
  <si>
    <t>TERM: pozor (позор) — disgrace; shame; ignominy [ORD]
PASSAGE: Завтра ее уже не будет преследовать лицо Эшли, воспоминание об его сломленной гордости и позоре — позоре, который навлекла на него она, тогда как он был ни в чем не повинен.
TRANS: Zavtra ee uzhe ne budet presledovat' litso Eshli, vospominanie ob ego slomlennoy gordosti i pozore — pozore, kotoryy navlekla na nego ona, togda kak on byl ni v chem ne povinen.
TRANSLATION: Tomorrow she would no longer be haunted by Ashley's face, the memory of his broken pride and his disgrace — disgrace which she had brought upon him, while he was guilty of nothing.</t>
  </si>
  <si>
    <r>
      <rPr>
        <b/>
        <sz val="11"/>
        <color theme="1"/>
        <rFont val="Arial"/>
      </rPr>
      <t>PASSAGE:</t>
    </r>
    <r>
      <rPr>
        <sz val="11"/>
        <color theme="1"/>
        <rFont val="Arial"/>
      </rPr>
      <t xml:space="preserve"> Ертең ешқандай жазықсыз, тек мұның кесірінен абыройы айрандап төгіліп, сыпсың сөзге қалған Эшлидің бейнесі де осылай көз алдында тұра бермес.
</t>
    </r>
    <r>
      <rPr>
        <b/>
        <sz val="11"/>
        <color theme="1"/>
        <rFont val="Arial"/>
      </rPr>
      <t>TRANS:</t>
    </r>
    <r>
      <rPr>
        <sz val="11"/>
        <color theme="1"/>
        <rFont val="Arial"/>
      </rPr>
      <t xml:space="preserve"> Erteñ eşqandai jazyqsyz, tek mūnyñ kesırınen abyroiy airandap tögılıp, sypsyñ sözge qalğan Eşlidıñ beinesı de osylai köz aldynda tūra bermes.
</t>
    </r>
    <r>
      <rPr>
        <b/>
        <sz val="11"/>
        <color theme="1"/>
        <rFont val="Arial"/>
      </rPr>
      <t>TRANSLATION:</t>
    </r>
    <r>
      <rPr>
        <sz val="11"/>
        <color theme="1"/>
        <rFont val="Arial"/>
      </rPr>
      <t xml:space="preserve"> Tomorrow the image of Ashley — innocent, but who through her </t>
    </r>
    <r>
      <rPr>
        <b/>
        <sz val="11"/>
        <color theme="1"/>
        <rFont val="Arial"/>
      </rPr>
      <t>fault</t>
    </r>
    <r>
      <rPr>
        <sz val="11"/>
        <color theme="1"/>
        <rFont val="Arial"/>
      </rPr>
      <t xml:space="preserve"> had had his </t>
    </r>
    <r>
      <rPr>
        <b/>
        <sz val="11"/>
        <color theme="1"/>
        <rFont val="Arial"/>
      </rPr>
      <t>honor</t>
    </r>
    <r>
      <rPr>
        <sz val="11"/>
        <color theme="1"/>
        <rFont val="Arial"/>
      </rPr>
      <t xml:space="preserve"> spilled like spoilt buttermilk and become subject of gossip — would no longer stand before her eyes thus.</t>
    </r>
  </si>
  <si>
    <t>Social retrospective shame, society as witness</t>
  </si>
  <si>
    <t>Against no one was feeling more bitter than against Rhett Butler. He had sold his boats when blockading grew too hazardous, and he was now openly engaged in food speculation. The stories about him that came back to Atlanta from Richmond and Wilmington made those who had received him in other days writhe with shame.</t>
  </si>
  <si>
    <t>PASSAGE: заставляли всех, кто принимал его когда-то в своих гостиных, сгорать со стыда.
TRANS: zastavlyali vsekh, kto prinimal ego kogda-to v svoikh gostinykh, sgorat' so styda.
TRANSLATION: made all who had once received him in their drawing rooms burn up with shame.</t>
  </si>
  <si>
    <r>
      <rPr>
        <b/>
        <sz val="11"/>
        <color theme="1"/>
        <rFont val="Arial"/>
      </rPr>
      <t>TERM:</t>
    </r>
    <r>
      <rPr>
        <sz val="11"/>
        <color theme="1"/>
        <rFont val="Arial"/>
      </rPr>
      <t xml:space="preserve"> ŪİAT (ҰЯТ) — shame; disgrace; sense of decency (also: that which is improper) [KED, SZK]
</t>
    </r>
    <r>
      <rPr>
        <b/>
        <sz val="11"/>
        <color theme="1"/>
        <rFont val="Arial"/>
      </rPr>
      <t>PASSAGE:</t>
    </r>
    <r>
      <rPr>
        <sz val="11"/>
        <color theme="1"/>
        <rFont val="Arial"/>
      </rPr>
      <t xml:space="preserve"> Оның Ричмонд пен Уилмингтондағы қызметі туралы қауесет Атландаға жетіп, бір кезде оны қонаққа шақырған барлық адамдарды </t>
    </r>
    <r>
      <rPr>
        <b/>
        <sz val="11"/>
        <color theme="1"/>
        <rFont val="Arial"/>
      </rPr>
      <t>ұятқа</t>
    </r>
    <r>
      <rPr>
        <sz val="11"/>
        <color theme="1"/>
        <rFont val="Arial"/>
      </rPr>
      <t xml:space="preserve"> қалдырды.
</t>
    </r>
    <r>
      <rPr>
        <b/>
        <sz val="11"/>
        <color theme="1"/>
        <rFont val="Arial"/>
      </rPr>
      <t>TRANS:</t>
    </r>
    <r>
      <rPr>
        <sz val="11"/>
        <color theme="1"/>
        <rFont val="Arial"/>
      </rPr>
      <t xml:space="preserve"> Onyñ Richmond pen Uilmingtondağy qyzmetı turaly qaueset Atlandağa jetıp, bır kezde ony qonaqqa şaqyrğan barlyq adamdardy </t>
    </r>
    <r>
      <rPr>
        <b/>
        <sz val="11"/>
        <color theme="1"/>
        <rFont val="Arial"/>
      </rPr>
      <t>ūiatqa</t>
    </r>
    <r>
      <rPr>
        <sz val="11"/>
        <color theme="1"/>
        <rFont val="Arial"/>
      </rPr>
      <t xml:space="preserve"> qaldyrdy.
</t>
    </r>
    <r>
      <rPr>
        <b/>
        <sz val="11"/>
        <color theme="1"/>
        <rFont val="Arial"/>
      </rPr>
      <t>TRANSLATION:</t>
    </r>
    <r>
      <rPr>
        <sz val="11"/>
        <color theme="1"/>
        <rFont val="Arial"/>
      </rPr>
      <t xml:space="preserve"> The talk about his service in Richmond and Wilmington reached Atlanta, and put to </t>
    </r>
    <r>
      <rPr>
        <b/>
        <sz val="11"/>
        <color theme="1"/>
        <rFont val="Arial"/>
      </rPr>
      <t>shame</t>
    </r>
    <r>
      <rPr>
        <sz val="11"/>
        <color theme="1"/>
        <rFont val="Arial"/>
      </rPr>
      <t xml:space="preserve"> all those who had once invited him as a guest.</t>
    </r>
  </si>
  <si>
    <t>Social shame, ascribed to Scarlett, dismissed as unneeded</t>
  </si>
  <si>
    <t>"He just isn't up to active service, Scarlett. You need have no shame about it. After all, someone must stay home and raise crops for the army."</t>
  </si>
  <si>
    <t>TERM: stydit'sya (стыдиться) — to feel ashamed (imperfective); pf. постыдиться/устыдиться [ORD]
PASSAGE: вам нечего этого стыдиться.
TRANS: vam nechego etogo stydit'sya.
TRANSLATION: you have nothing to be ashamed of for that.</t>
  </si>
  <si>
    <r>
      <rPr>
        <b/>
        <sz val="11"/>
        <color theme="1"/>
        <rFont val="Arial"/>
      </rPr>
      <t>TERM:</t>
    </r>
    <r>
      <rPr>
        <sz val="11"/>
        <color theme="1"/>
        <rFont val="Arial"/>
      </rPr>
      <t xml:space="preserve"> ŪİALU (ҰЯЛУ) — to feel ashamed; to feel shy; to be embarrassed [KED, SZK]
</t>
    </r>
    <r>
      <rPr>
        <b/>
        <sz val="11"/>
        <color theme="1"/>
        <rFont val="Arial"/>
      </rPr>
      <t>PASSAGE:</t>
    </r>
    <r>
      <rPr>
        <sz val="11"/>
        <color theme="1"/>
        <rFont val="Arial"/>
      </rPr>
      <t xml:space="preserve"> сізге ол үшін </t>
    </r>
    <r>
      <rPr>
        <b/>
        <sz val="11"/>
        <color theme="1"/>
        <rFont val="Arial"/>
      </rPr>
      <t>ұялудың</t>
    </r>
    <r>
      <rPr>
        <sz val="11"/>
        <color theme="1"/>
        <rFont val="Arial"/>
      </rPr>
      <t xml:space="preserve"> қажеті жоқ.
</t>
    </r>
    <r>
      <rPr>
        <b/>
        <sz val="11"/>
        <color theme="1"/>
        <rFont val="Arial"/>
      </rPr>
      <t>TRANS:</t>
    </r>
    <r>
      <rPr>
        <sz val="11"/>
        <color theme="1"/>
        <rFont val="Arial"/>
      </rPr>
      <t xml:space="preserve"> sızge ol üşın </t>
    </r>
    <r>
      <rPr>
        <b/>
        <sz val="11"/>
        <color theme="1"/>
        <rFont val="Arial"/>
      </rPr>
      <t>ūialudyñ</t>
    </r>
    <r>
      <rPr>
        <sz val="11"/>
        <color theme="1"/>
        <rFont val="Arial"/>
      </rPr>
      <t xml:space="preserve"> qajetı joq.
</t>
    </r>
    <r>
      <rPr>
        <b/>
        <sz val="11"/>
        <color theme="1"/>
        <rFont val="Arial"/>
      </rPr>
      <t>TRANSLATION:</t>
    </r>
    <r>
      <rPr>
        <sz val="11"/>
        <color theme="1"/>
        <rFont val="Arial"/>
      </rPr>
      <t xml:space="preserve"> you have no need to feel </t>
    </r>
    <r>
      <rPr>
        <b/>
        <sz val="11"/>
        <color theme="1"/>
        <rFont val="Arial"/>
      </rPr>
      <t>ashamed</t>
    </r>
    <r>
      <rPr>
        <sz val="11"/>
        <color theme="1"/>
        <rFont val="Arial"/>
      </rPr>
      <t xml:space="preserve"> for that.</t>
    </r>
  </si>
  <si>
    <t>Social shame, for his wife’s unladylike behavior, manifested in posture</t>
  </si>
  <si>
    <t>"And then I made him so miserable. I made him do all sorts of things he didn't want to do, like making people pay their bills when they really couldn't afford to pay them. And it hurt him so when I ran the mills and built the saloon and leased convicts. He could hardly hold up his head for shame. And Rhett, I killed him. Yes, I did!</t>
  </si>
  <si>
    <t>Frank Kennedy</t>
  </si>
  <si>
    <t>TERM: stydno (стыдно) — it is shameful; (one) feels ashamed (impersonal predicate) [ORD]
PASSAGE: Ему было до того стыдно — он не мог людям в глаза смотреть.
TRANS: Emu bylo do togo stydno — on ne mog lyudyam v glaza smotret'.
TRANSLATION: He was so ashamed — he could not look people in the eyes.</t>
  </si>
  <si>
    <r>
      <rPr>
        <b/>
        <sz val="11"/>
        <color theme="1"/>
        <rFont val="Arial"/>
      </rPr>
      <t>TERM:</t>
    </r>
    <r>
      <rPr>
        <sz val="11"/>
        <color theme="1"/>
        <rFont val="Arial"/>
      </rPr>
      <t xml:space="preserve"> ŪİALU (ҰЯЛУ) — to feel ashamed; to feel shy; to be embarrassed [KED, SZK]
</t>
    </r>
    <r>
      <rPr>
        <b/>
        <sz val="11"/>
        <color theme="1"/>
        <rFont val="Arial"/>
      </rPr>
      <t>PASSAGE:</t>
    </r>
    <r>
      <rPr>
        <sz val="11"/>
        <color theme="1"/>
        <rFont val="Arial"/>
      </rPr>
      <t xml:space="preserve"> Ол қатты </t>
    </r>
    <r>
      <rPr>
        <b/>
        <sz val="11"/>
        <color theme="1"/>
        <rFont val="Arial"/>
      </rPr>
      <t>ұялғаннан</t>
    </r>
    <r>
      <rPr>
        <sz val="11"/>
        <color theme="1"/>
        <rFont val="Arial"/>
      </rPr>
      <t xml:space="preserve"> адамдардың бетіне тіке қарай алмай жүрді.
</t>
    </r>
    <r>
      <rPr>
        <b/>
        <sz val="11"/>
        <color theme="1"/>
        <rFont val="Arial"/>
      </rPr>
      <t>TRANS:</t>
    </r>
    <r>
      <rPr>
        <sz val="11"/>
        <color theme="1"/>
        <rFont val="Arial"/>
      </rPr>
      <t xml:space="preserve"> Ol qatty </t>
    </r>
    <r>
      <rPr>
        <b/>
        <sz val="11"/>
        <color theme="1"/>
        <rFont val="Arial"/>
      </rPr>
      <t>ūialğannan</t>
    </r>
    <r>
      <rPr>
        <sz val="11"/>
        <color theme="1"/>
        <rFont val="Arial"/>
      </rPr>
      <t xml:space="preserve"> adamdardyñ betıne tıke qarai almai jürdı.
</t>
    </r>
    <r>
      <rPr>
        <b/>
        <sz val="11"/>
        <color theme="1"/>
        <rFont val="Arial"/>
      </rPr>
      <t>TRANSLATION:</t>
    </r>
    <r>
      <rPr>
        <sz val="11"/>
        <color theme="1"/>
        <rFont val="Arial"/>
      </rPr>
      <t xml:space="preserve"> He was so </t>
    </r>
    <r>
      <rPr>
        <b/>
        <sz val="11"/>
        <color theme="1"/>
        <rFont val="Arial"/>
      </rPr>
      <t>embarrassed</t>
    </r>
    <r>
      <rPr>
        <sz val="11"/>
        <color theme="1"/>
        <rFont val="Arial"/>
      </rPr>
      <t xml:space="preserve"> that he could not look people directly in the face.</t>
    </r>
  </si>
  <si>
    <t>Shame — Absent social shame</t>
  </si>
  <si>
    <t>Expected social  shame about degrading occupation — refused / absent</t>
  </si>
  <si>
    <t>"And I never thought you'd be driving a pie wagon, Renny Picard," she said. Instead of being ashamed at having his degrading occupation thrown in his face, he seemed pleased and laughed uproariously, slapping Hugh on the back.</t>
  </si>
  <si>
    <t>Rene Picard</t>
  </si>
  <si>
    <t>TERM: ustydit'sya (устыдиться) — to feel ashamed (perfective) [ORD]
PASSAGE: Но вместо того чтобы устыдиться столь унизительного занятия о котором было сказано во всеуслышание, Рене расхохотался с довольным видом и хлопнул Хью по спине
TRANS: No vmesto togo chtoby ustydit'sya stol' unizitel'nogo zanyatiya o kotorom bylo skazano vo vseuslyshanie, Rene raskhokhotalsya s dovol'nym vidom i khlopnul Kh'yu po spinу
TRANSLATION: But instead of being ashamed of such a degrading occupation that had been mentioned for everyone to hear, Rene burst into laughter with a satisfied air and slapped Hugh on the back</t>
  </si>
  <si>
    <r>
      <rPr>
        <b/>
        <sz val="11"/>
        <color theme="1"/>
        <rFont val="Arial"/>
      </rPr>
      <t>TERM:</t>
    </r>
    <r>
      <rPr>
        <sz val="11"/>
        <color theme="1"/>
        <rFont val="Arial"/>
      </rPr>
      <t xml:space="preserve"> QYSYLU (ҚЫСЫЛУ) — to feel embarrassed; to feel constrained; to be in difficulty [KED, SZK]
</t>
    </r>
    <r>
      <rPr>
        <b/>
        <sz val="11"/>
        <color theme="1"/>
        <rFont val="Arial"/>
      </rPr>
      <t>PASSAGE:</t>
    </r>
    <r>
      <rPr>
        <sz val="11"/>
        <color theme="1"/>
        <rFont val="Arial"/>
      </rPr>
      <t xml:space="preserve"> Бірақ жұрттың бәрі естісе де янкилерге нан тасығанынан </t>
    </r>
    <r>
      <rPr>
        <b/>
        <sz val="11"/>
        <color theme="1"/>
        <rFont val="Arial"/>
      </rPr>
      <t>қысыла</t>
    </r>
    <r>
      <rPr>
        <sz val="11"/>
        <color theme="1"/>
        <rFont val="Arial"/>
      </rPr>
      <t xml:space="preserve"> қоятын, өз ісін қорлық көріп тұрған Рене жоқ, өз-өзіне риза кейіпте қарқылдай күліп, Хьюдің арқасынан қағып қойды.
</t>
    </r>
    <r>
      <rPr>
        <b/>
        <sz val="11"/>
        <color theme="1"/>
        <rFont val="Arial"/>
      </rPr>
      <t>TRANS:</t>
    </r>
    <r>
      <rPr>
        <sz val="11"/>
        <color theme="1"/>
        <rFont val="Arial"/>
      </rPr>
      <t xml:space="preserve"> Bıraq jūrttyñ bärı estıse de iankilerge nan tasyğanynan </t>
    </r>
    <r>
      <rPr>
        <b/>
        <sz val="11"/>
        <color theme="1"/>
        <rFont val="Arial"/>
      </rPr>
      <t>qysyla</t>
    </r>
    <r>
      <rPr>
        <sz val="11"/>
        <color theme="1"/>
        <rFont val="Arial"/>
      </rPr>
      <t xml:space="preserve"> qoiatyn, öz ısın qorlyq körıp tūrğan Rene joq, öz-özıne riza keiıpte qarqyldai külıp, Hüdıñ arqasynan qağyp qoidy.
</t>
    </r>
    <r>
      <rPr>
        <b/>
        <sz val="11"/>
        <color theme="1"/>
        <rFont val="Arial"/>
      </rPr>
      <t>TRANSLATION:</t>
    </r>
    <r>
      <rPr>
        <sz val="11"/>
        <color theme="1"/>
        <rFont val="Arial"/>
      </rPr>
      <t xml:space="preserve"> But Rene, who would have been </t>
    </r>
    <r>
      <rPr>
        <b/>
        <sz val="11"/>
        <color theme="1"/>
        <rFont val="Arial"/>
      </rPr>
      <t>embarrassed</t>
    </r>
    <r>
      <rPr>
        <sz val="11"/>
        <color theme="1"/>
        <rFont val="Arial"/>
      </rPr>
      <t xml:space="preserve"> if everyone heard he was carting bread to the Yankees and considered his work degrading — there was no such Rene; with a self-satisfied air he laughed loudly and slapped Hugh on the back.</t>
    </r>
  </si>
  <si>
    <t>shame ABSENT — expected shame from enjoying sexual passion with her husband</t>
  </si>
  <si>
    <t>Oh, she should be ashamed, should shrink from the very memory of the hot swirling darkness! A lady, a real lady, could never hold up her head after such a night. But, stronger than shame, was the memory of rapture, of the ecstasy of surrender. For the first time in her life she had felt alive, felt passion as sweeping and primitive as the fear she had known the night she fled Atlanta, as dizzy sweet as the cold hate when she had shot the Yankee.</t>
  </si>
  <si>
    <t>TERM: ustydit'sya (устыдиться) — to feel ashamed (perfective) [ORD]
PASSAGE: А ведь должна была бы устыдиться, должна была бы бежать даже воспоминаний о жаркой, кружащей голову тьме!
TRANS: A ved' dolzhna byla by ustydit'sya, dolzhna byla by bezhat' dazhe vospominaniy o zharkoy, kruzhashchey golovu t'me!
TRANSLATION: And yet she should have been ashamed, should have fled even from the memories of that hot, head-spinning darkness!</t>
  </si>
  <si>
    <r>
      <rPr>
        <b/>
        <sz val="11"/>
        <color theme="1"/>
        <rFont val="Arial"/>
      </rPr>
      <t>TERM:</t>
    </r>
    <r>
      <rPr>
        <sz val="11"/>
        <color theme="1"/>
        <rFont val="Arial"/>
      </rPr>
      <t xml:space="preserve"> ŪİALU (ҰЯЛУ) — to feel ashamed; to feel shy; to be embarrassed [KED, SZK]
</t>
    </r>
    <r>
      <rPr>
        <b/>
        <sz val="11"/>
        <color theme="1"/>
        <rFont val="Arial"/>
      </rPr>
      <t>PASSAGE:</t>
    </r>
    <r>
      <rPr>
        <sz val="11"/>
        <color theme="1"/>
        <rFont val="Arial"/>
      </rPr>
      <t xml:space="preserve"> Содан енді өзі </t>
    </r>
    <r>
      <rPr>
        <b/>
        <sz val="11"/>
        <color theme="1"/>
        <rFont val="Arial"/>
      </rPr>
      <t>ұялса</t>
    </r>
    <r>
      <rPr>
        <sz val="11"/>
        <color theme="1"/>
        <rFont val="Arial"/>
      </rPr>
      <t xml:space="preserve"> керек еді ғой, лапылдай жанған отқа оранып, басы айналған түннің есіне түскен елесінен де қашуы керек емес пе?
</t>
    </r>
    <r>
      <rPr>
        <b/>
        <sz val="11"/>
        <color theme="1"/>
        <rFont val="Arial"/>
      </rPr>
      <t>TRANS:</t>
    </r>
    <r>
      <rPr>
        <sz val="11"/>
        <color theme="1"/>
        <rFont val="Arial"/>
      </rPr>
      <t xml:space="preserve"> Sodan endı özı </t>
    </r>
    <r>
      <rPr>
        <b/>
        <sz val="11"/>
        <color theme="1"/>
        <rFont val="Arial"/>
      </rPr>
      <t>ūialsa</t>
    </r>
    <r>
      <rPr>
        <sz val="11"/>
        <color theme="1"/>
        <rFont val="Arial"/>
      </rPr>
      <t xml:space="preserve"> kerek edı ğoi, lapyldai janğan otqa oranyp, basy ainalğan tünnıñ esıne tüsken elesınen de qaşuy kerek emes pe?
</t>
    </r>
    <r>
      <rPr>
        <b/>
        <sz val="11"/>
        <color theme="1"/>
        <rFont val="Arial"/>
      </rPr>
      <t>TRANSLATION:</t>
    </r>
    <r>
      <rPr>
        <sz val="11"/>
        <color theme="1"/>
        <rFont val="Arial"/>
      </rPr>
      <t xml:space="preserve"> Should she not now be </t>
    </r>
    <r>
      <rPr>
        <b/>
        <sz val="11"/>
        <color theme="1"/>
        <rFont val="Arial"/>
      </rPr>
      <t>ashamed</t>
    </r>
    <r>
      <rPr>
        <sz val="11"/>
        <color theme="1"/>
        <rFont val="Arial"/>
      </rPr>
      <t>, should she not flee even from the appearing memory of that night, wrapped in flaming fire, that made her head spin?</t>
    </r>
  </si>
  <si>
    <t>shame directed at another — performative speech act (verdict / directive) – shame DECLARED ABSENT</t>
  </si>
  <si>
    <t>"Oh, they don't have to marry! There's nothing shameful in being a spinster. Look at Aunt Pitty. Oh, I'd rather see Cathleen dead! I know Cade would rather see her dead.</t>
  </si>
  <si>
    <t>TERM: postydnogo (постыдного) — shameful; ignominious (adj., gen.) [ORD] (lemma: постыдный)
PASSAGE: Ничего нет постыдного в том, чтобы оставаться незамужней.
TRANS: Nichego net postydnogo v tom, chtoby ostavat'sya nezamuzhney.
TRANSLATION: There is nothing shameful about remaining unmarried.</t>
  </si>
  <si>
    <r>
      <rPr>
        <b/>
        <sz val="11"/>
        <color theme="1"/>
        <rFont val="Arial"/>
      </rPr>
      <t>TERM:</t>
    </r>
    <r>
      <rPr>
        <sz val="11"/>
        <color theme="1"/>
        <rFont val="Arial"/>
      </rPr>
      <t xml:space="preserve"> ŪİAT (ҰЯТ) — shame; disgrace; sense of decency (also: that which is improper) [KED, SZK]
</t>
    </r>
    <r>
      <rPr>
        <b/>
        <sz val="11"/>
        <color theme="1"/>
        <rFont val="Arial"/>
      </rPr>
      <t>PASSAGE:</t>
    </r>
    <r>
      <rPr>
        <sz val="11"/>
        <color theme="1"/>
        <rFont val="Arial"/>
      </rPr>
      <t xml:space="preserve"> Күйеуге шықпағанда тұрған </t>
    </r>
    <r>
      <rPr>
        <b/>
        <sz val="11"/>
        <color theme="1"/>
        <rFont val="Arial"/>
      </rPr>
      <t>ұят</t>
    </r>
    <r>
      <rPr>
        <sz val="11"/>
        <color theme="1"/>
        <rFont val="Arial"/>
      </rPr>
      <t xml:space="preserve"> ештеңе жоқ.
</t>
    </r>
    <r>
      <rPr>
        <b/>
        <sz val="11"/>
        <color theme="1"/>
        <rFont val="Arial"/>
      </rPr>
      <t>TRANS:</t>
    </r>
    <r>
      <rPr>
        <sz val="11"/>
        <color theme="1"/>
        <rFont val="Arial"/>
      </rPr>
      <t xml:space="preserve"> Küieuge şyqpağanda tūrğan </t>
    </r>
    <r>
      <rPr>
        <b/>
        <sz val="11"/>
        <color theme="1"/>
        <rFont val="Arial"/>
      </rPr>
      <t>ūiat</t>
    </r>
    <r>
      <rPr>
        <sz val="11"/>
        <color theme="1"/>
        <rFont val="Arial"/>
      </rPr>
      <t xml:space="preserve"> eşteñe joq.
</t>
    </r>
    <r>
      <rPr>
        <b/>
        <sz val="11"/>
        <color theme="1"/>
        <rFont val="Arial"/>
      </rPr>
      <t>TRANSLATION:</t>
    </r>
    <r>
      <rPr>
        <sz val="11"/>
        <color theme="1"/>
        <rFont val="Arial"/>
      </rPr>
      <t xml:space="preserve"> There is no </t>
    </r>
    <r>
      <rPr>
        <b/>
        <sz val="11"/>
        <color theme="1"/>
        <rFont val="Arial"/>
      </rPr>
      <t>shame</t>
    </r>
    <r>
      <rPr>
        <sz val="11"/>
        <color theme="1"/>
        <rFont val="Arial"/>
      </rPr>
      <t xml:space="preserve"> in not having married.</t>
    </r>
  </si>
  <si>
    <t>absence of social  shame from moral integrity — Melanie</t>
  </si>
  <si>
    <t>Sometimes when Scarlett saw guests sitting on the grass, sipping tea, the only refreshment the Wilkeses could afford, she wondered how Melanie could bring herself to expose her poverty so shamelessly. Until Scarlett was able to furnish Aunt Pitty's house as it had been before the war and serve her guests good wine and juleps and baked ham and cold haunches of venison, she had no intention of having guests in her house—especially prominent guests, such as Melanie had.</t>
  </si>
  <si>
    <t>TERM: styditsya (стыдится) — feels ashamed (3sg) [ORD] (lemma: стыдиться)
PASSAGE: Порой, глядя, как гости сидят на траве и попивают чай — единственный напиток, который Уилксы в состоянии были предложить, — Скарлетт поражалась, как это Мелли не стыдится выставлять напоказ свою бедность.
TRANS: Poroy, glyadya, kak gosti sidyat na trave i popivayut chay — edinstvennyy napitok, kotoryy Uilksy v sostoyanii byli predlozhit', — Skarlett porazhalas', kak eto Melli ne styditsya vystavlyat' napokaz svoyu bednost'.
TRANSLATION: At times, looking at the guests sitting on the grass and sipping tea — the only beverage the Wilkeses were able to offer — Scarlett was amazed that Melly was not ashamed of putting her poverty on display.</t>
  </si>
  <si>
    <r>
      <rPr>
        <b/>
        <sz val="11"/>
        <color theme="1"/>
        <rFont val="Arial"/>
      </rPr>
      <t>TERM:</t>
    </r>
    <r>
      <rPr>
        <sz val="11"/>
        <color theme="1"/>
        <rFont val="Arial"/>
      </rPr>
      <t xml:space="preserve"> ŪİALU (ҰЯЛУ) — to feel ashamed; to feel shy; to be embarrassed [KED, SZK]
</t>
    </r>
    <r>
      <rPr>
        <b/>
        <sz val="11"/>
        <color theme="1"/>
        <rFont val="Arial"/>
      </rPr>
      <t>PASSAGE:</t>
    </r>
    <r>
      <rPr>
        <sz val="11"/>
        <color theme="1"/>
        <rFont val="Arial"/>
      </rPr>
      <t xml:space="preserve"> Кейде қонақтардың шөп үстінде үй иесінің шамасы жететін жалғыз сусынын - шайын ішіп отырғандарын көргенде Скарлетт Меланидің өз кедейлігінен ұялмай, елге жайып көрсететініне таңырқайтын.
</t>
    </r>
    <r>
      <rPr>
        <b/>
        <sz val="11"/>
        <color theme="1"/>
        <rFont val="Arial"/>
      </rPr>
      <t>TRANS:</t>
    </r>
    <r>
      <rPr>
        <sz val="11"/>
        <color theme="1"/>
        <rFont val="Arial"/>
      </rPr>
      <t xml:space="preserve"> Keide qonaqtardyñ şöp üstınde üi iesınıñ şamasy jetetın jalğyz susynyn - şaiyn ışıp otyrğandaryn körgende Skarlett Melanidıñ öz kedeilıgınen </t>
    </r>
    <r>
      <rPr>
        <b/>
        <sz val="11"/>
        <color theme="1"/>
        <rFont val="Arial"/>
      </rPr>
      <t>ūialmai</t>
    </r>
    <r>
      <rPr>
        <sz val="11"/>
        <color theme="1"/>
        <rFont val="Arial"/>
      </rPr>
      <t xml:space="preserve">, elge jaiyp körsetetınıne tañyrqaityn.
</t>
    </r>
    <r>
      <rPr>
        <b/>
        <sz val="11"/>
        <color theme="1"/>
        <rFont val="Arial"/>
      </rPr>
      <t>TRANSLATION:</t>
    </r>
    <r>
      <rPr>
        <sz val="11"/>
        <color theme="1"/>
        <rFont val="Arial"/>
      </rPr>
      <t xml:space="preserve"> Sometimes, when she saw the guests sitting on the grass drinking the only refreshment the host could afford — tea — Scarlett would be amazed that Melanie was not </t>
    </r>
    <r>
      <rPr>
        <b/>
        <sz val="11"/>
        <color theme="1"/>
        <rFont val="Arial"/>
      </rPr>
      <t>ashamed</t>
    </r>
    <r>
      <rPr>
        <sz val="11"/>
        <color theme="1"/>
        <rFont val="Arial"/>
      </rPr>
      <t xml:space="preserve"> of her poverty and openly showed it to all.</t>
    </r>
  </si>
  <si>
    <t>Social shame ABSENT in community  - aunt Pitty as witness</t>
  </si>
  <si>
    <t>Aunt Pitty disapproved highly of these last, for she felt they had come to Atlanta for no reason at all except to catch husbands, and the shamelessness of it made her wonder what the world was coming to.</t>
  </si>
  <si>
    <t>TERM: besstydstva (бесстыдства) — shamelessness; impudence (gen.) [ORD] (lemma: бесстыдство)
PASSAGE: и перед лицом такого бесстыдства она не переставала с изумлением вопрошать: куда идет мир?
TRANS: i pered litsom takogo besstydstva ona ne perestavala s izumleniem voproshat': kuda idet mir?
TRANSLATION: and faced with such shamelessness she did not cease asking in astonishment: where is the world heading?</t>
  </si>
  <si>
    <r>
      <rPr>
        <b/>
        <sz val="11"/>
        <color theme="1"/>
        <rFont val="Arial"/>
      </rPr>
      <t>TERM:</t>
    </r>
    <r>
      <rPr>
        <sz val="11"/>
        <color theme="1"/>
        <rFont val="Arial"/>
      </rPr>
      <t xml:space="preserve"> ŪİATSYZDYQ (ҰЯТСЫЗДЫҚ) — shamelessness; impudence [KED, SZK]
</t>
    </r>
    <r>
      <rPr>
        <b/>
        <sz val="11"/>
        <color theme="1"/>
        <rFont val="Arial"/>
      </rPr>
      <t>PASSAGE:</t>
    </r>
    <r>
      <rPr>
        <sz val="11"/>
        <color theme="1"/>
        <rFont val="Arial"/>
      </rPr>
      <t xml:space="preserve"> ол мұндай </t>
    </r>
    <r>
      <rPr>
        <b/>
        <sz val="11"/>
        <color theme="1"/>
        <rFont val="Arial"/>
      </rPr>
      <t>ұятсыздыққа</t>
    </r>
    <r>
      <rPr>
        <sz val="11"/>
        <color theme="1"/>
        <rFont val="Arial"/>
      </rPr>
      <t xml:space="preserve"> "бұл дүние не болып жатыр?" деп таңғалуын қоймады.
</t>
    </r>
    <r>
      <rPr>
        <b/>
        <sz val="11"/>
        <color theme="1"/>
        <rFont val="Arial"/>
      </rPr>
      <t>TRANS:</t>
    </r>
    <r>
      <rPr>
        <sz val="11"/>
        <color theme="1"/>
        <rFont val="Arial"/>
      </rPr>
      <t xml:space="preserve"> ol mūndai </t>
    </r>
    <r>
      <rPr>
        <b/>
        <sz val="11"/>
        <color theme="1"/>
        <rFont val="Arial"/>
      </rPr>
      <t>ūiatsyzdyqqa</t>
    </r>
    <r>
      <rPr>
        <sz val="11"/>
        <color theme="1"/>
        <rFont val="Arial"/>
      </rPr>
      <t xml:space="preserve"> "būl dünie ne bolyp jatyr?" dep tañğaluyn qoimady.
</t>
    </r>
    <r>
      <rPr>
        <b/>
        <sz val="11"/>
        <color theme="1"/>
        <rFont val="Arial"/>
      </rPr>
      <t>TRANSLATION:</t>
    </r>
    <r>
      <rPr>
        <sz val="11"/>
        <color theme="1"/>
        <rFont val="Arial"/>
      </rPr>
      <t xml:space="preserve"> she did not stop being astonished at this </t>
    </r>
    <r>
      <rPr>
        <b/>
        <sz val="11"/>
        <color theme="1"/>
        <rFont val="Arial"/>
      </rPr>
      <t>shamelessness</t>
    </r>
    <r>
      <rPr>
        <sz val="11"/>
        <color theme="1"/>
        <rFont val="Arial"/>
      </rPr>
      <t>, asking, "What is happening to this world?"</t>
    </r>
  </si>
  <si>
    <t>Social shame ABSENT</t>
  </si>
  <si>
    <t>Scarlett had no shame at all, only an active feeling of relief.</t>
  </si>
  <si>
    <t>TERM: ni maleyshego styda (ни малейшего стыда) — not the slightest shame [ORD] (lemma: стыд)
PASSAGE: А Скарлетт и не испытывала ни малейшего стыда
TRANS: A Skarlett i ne ispytyvala ni maleyshego styda
TRANSLATION: And Scarlett did not feel the slightest shame</t>
  </si>
  <si>
    <r>
      <rPr>
        <b/>
        <sz val="11"/>
        <color theme="1"/>
        <rFont val="Arial"/>
      </rPr>
      <t>TERM:</t>
    </r>
    <r>
      <rPr>
        <sz val="11"/>
        <color theme="1"/>
        <rFont val="Arial"/>
      </rPr>
      <t xml:space="preserve"> ŪİALU (ҰЯЛУ) — to feel ashamed; to feel shy; to be embarrassed [KED, SZK]
</t>
    </r>
    <r>
      <rPr>
        <b/>
        <sz val="11"/>
        <color theme="1"/>
        <rFont val="Arial"/>
      </rPr>
      <t>PASSAGE:</t>
    </r>
    <r>
      <rPr>
        <sz val="11"/>
        <color theme="1"/>
        <rFont val="Arial"/>
      </rPr>
      <t xml:space="preserve"> Ал Скарлетт ешқандай да </t>
    </r>
    <r>
      <rPr>
        <b/>
        <sz val="11"/>
        <color theme="1"/>
        <rFont val="Arial"/>
      </rPr>
      <t>ұялған</t>
    </r>
    <r>
      <rPr>
        <sz val="11"/>
        <color theme="1"/>
        <rFont val="Arial"/>
      </rPr>
      <t xml:space="preserve"> жоқ еді
</t>
    </r>
    <r>
      <rPr>
        <b/>
        <sz val="11"/>
        <color theme="1"/>
        <rFont val="Arial"/>
      </rPr>
      <t>TRANS:</t>
    </r>
    <r>
      <rPr>
        <sz val="11"/>
        <color theme="1"/>
        <rFont val="Arial"/>
      </rPr>
      <t xml:space="preserve"> Al Skarlett eşqandai da </t>
    </r>
    <r>
      <rPr>
        <b/>
        <sz val="11"/>
        <color theme="1"/>
        <rFont val="Arial"/>
      </rPr>
      <t>ūialğan</t>
    </r>
    <r>
      <rPr>
        <sz val="11"/>
        <color theme="1"/>
        <rFont val="Arial"/>
      </rPr>
      <t xml:space="preserve"> joq edı
</t>
    </r>
    <r>
      <rPr>
        <b/>
        <sz val="11"/>
        <color theme="1"/>
        <rFont val="Arial"/>
      </rPr>
      <t>TRANSLATION:</t>
    </r>
    <r>
      <rPr>
        <sz val="11"/>
        <color theme="1"/>
        <rFont val="Arial"/>
      </rPr>
      <t xml:space="preserve"> And Scarlett was not in the least </t>
    </r>
    <r>
      <rPr>
        <b/>
        <sz val="11"/>
        <color theme="1"/>
        <rFont val="Arial"/>
      </rPr>
      <t>ashamed</t>
    </r>
  </si>
  <si>
    <t>Happy absence of social shame, feeling of freedom</t>
  </si>
  <si>
    <t>"Me, I am dead to shame," grinned Rene. "Who would be respectable? All of my days I was respectable until ze war set me free lak ze darkies. Nevaire again must I be deegneefied and full of ennui. Free lak ze bird!</t>
  </si>
  <si>
    <t>TERM: styd (стыд) — shame; the feeling of having transgressed a moral or social norm [ORD]
PASSAGE: Да я свой стыд давно похоронил!
TRANS: Da ya svoy styd davno pokhoronil!
TRANSLATION: Oh, I have buried my shame long ago!</t>
  </si>
  <si>
    <r>
      <rPr>
        <b/>
        <sz val="11"/>
        <color theme="1"/>
        <rFont val="Arial"/>
      </rPr>
      <t>TERM:</t>
    </r>
    <r>
      <rPr>
        <sz val="11"/>
        <color theme="1"/>
        <rFont val="Arial"/>
      </rPr>
      <t xml:space="preserve"> ŪİAT (ҰЯТ) — shame; disgrace; sense of decency (also: that which is improper) [KED, SZK]
</t>
    </r>
    <r>
      <rPr>
        <b/>
        <sz val="11"/>
        <color theme="1"/>
        <rFont val="Arial"/>
      </rPr>
      <t>PASSAGE:</t>
    </r>
    <r>
      <rPr>
        <sz val="11"/>
        <color theme="1"/>
        <rFont val="Arial"/>
      </rPr>
      <t xml:space="preserve"> Маған ба? Ой, саспа, мен </t>
    </r>
    <r>
      <rPr>
        <b/>
        <sz val="11"/>
        <color theme="1"/>
        <rFont val="Arial"/>
      </rPr>
      <t>ұятымды</t>
    </r>
    <r>
      <rPr>
        <sz val="11"/>
        <color theme="1"/>
        <rFont val="Arial"/>
      </rPr>
      <t xml:space="preserve"> баяғыда жерлеп тастаған адаммын.
</t>
    </r>
    <r>
      <rPr>
        <b/>
        <sz val="11"/>
        <color theme="1"/>
        <rFont val="Arial"/>
      </rPr>
      <t>TRANS:</t>
    </r>
    <r>
      <rPr>
        <sz val="11"/>
        <color theme="1"/>
        <rFont val="Arial"/>
      </rPr>
      <t xml:space="preserve"> Mağan ba? Oi, saspa, men </t>
    </r>
    <r>
      <rPr>
        <b/>
        <sz val="11"/>
        <color theme="1"/>
        <rFont val="Arial"/>
      </rPr>
      <t>ūiatymdy</t>
    </r>
    <r>
      <rPr>
        <sz val="11"/>
        <color theme="1"/>
        <rFont val="Arial"/>
      </rPr>
      <t xml:space="preserve"> baiağyda jerlep tastağan adammyn.
</t>
    </r>
    <r>
      <rPr>
        <b/>
        <sz val="11"/>
        <color theme="1"/>
        <rFont val="Arial"/>
      </rPr>
      <t>TRANSLATION:</t>
    </r>
    <r>
      <rPr>
        <sz val="11"/>
        <color theme="1"/>
        <rFont val="Arial"/>
      </rPr>
      <t xml:space="preserve"> Me? Oh, don't worry, I am a man who buried my </t>
    </r>
    <r>
      <rPr>
        <b/>
        <sz val="11"/>
        <color theme="1"/>
        <rFont val="Arial"/>
      </rPr>
      <t>shame</t>
    </r>
    <r>
      <rPr>
        <sz val="11"/>
        <color theme="1"/>
        <rFont val="Arial"/>
      </rPr>
      <t xml:space="preserve"> long ago.</t>
    </r>
  </si>
  <si>
    <t>Shame — Illocutionary shame (shaming)</t>
  </si>
  <si>
    <t>shame directed at another — performative speech act (verdict / directive)</t>
  </si>
  <si>
    <t>"Peter," she said, her voice breaking as she put her hand on his thin arm. "I'm ashamed of you for crying. What do you care? They aren't anything but damned Yankees!"</t>
  </si>
  <si>
    <t>TERM: stydno (стыдно) — it is shameful; (one) feels ashamed (impersonal predicate) [ORD]
PASSAGE: Мне стыдно, что ты плачешь.
TRANS: Mne stydno, chto ty plachesh'.
TRANSLATION: I am ashamed that you are crying.</t>
  </si>
  <si>
    <r>
      <rPr>
        <b/>
        <sz val="11"/>
        <color theme="1"/>
        <rFont val="Arial"/>
      </rPr>
      <t>TERM:</t>
    </r>
    <r>
      <rPr>
        <sz val="11"/>
        <color theme="1"/>
        <rFont val="Arial"/>
      </rPr>
      <t xml:space="preserve"> QYSYLU (ҚЫСЫЛУ) — to feel embarrassed; to feel constrained; to be in difficulty [KED, SZK]
</t>
    </r>
    <r>
      <rPr>
        <b/>
        <sz val="11"/>
        <color theme="1"/>
        <rFont val="Arial"/>
      </rPr>
      <t>PASSAGE:</t>
    </r>
    <r>
      <rPr>
        <sz val="11"/>
        <color theme="1"/>
        <rFont val="Arial"/>
      </rPr>
      <t xml:space="preserve"> Сенің көз жасың үшін мен қатты </t>
    </r>
    <r>
      <rPr>
        <b/>
        <sz val="11"/>
        <color theme="1"/>
        <rFont val="Arial"/>
      </rPr>
      <t>қысылып</t>
    </r>
    <r>
      <rPr>
        <sz val="11"/>
        <color theme="1"/>
        <rFont val="Arial"/>
      </rPr>
      <t xml:space="preserve"> отырмын.
</t>
    </r>
    <r>
      <rPr>
        <b/>
        <sz val="11"/>
        <color theme="1"/>
        <rFont val="Arial"/>
      </rPr>
      <t>TRANS:</t>
    </r>
    <r>
      <rPr>
        <sz val="11"/>
        <color theme="1"/>
        <rFont val="Arial"/>
      </rPr>
      <t xml:space="preserve"> Senıñ köz jasyñ üşın men qatty </t>
    </r>
    <r>
      <rPr>
        <b/>
        <sz val="11"/>
        <color theme="1"/>
        <rFont val="Arial"/>
      </rPr>
      <t>qysylyp</t>
    </r>
    <r>
      <rPr>
        <sz val="11"/>
        <color theme="1"/>
        <rFont val="Arial"/>
      </rPr>
      <t xml:space="preserve"> otyrmyn.
</t>
    </r>
    <r>
      <rPr>
        <b/>
        <sz val="11"/>
        <color theme="1"/>
        <rFont val="Arial"/>
      </rPr>
      <t>TRANSLATION:</t>
    </r>
    <r>
      <rPr>
        <sz val="11"/>
        <color theme="1"/>
        <rFont val="Arial"/>
      </rPr>
      <t xml:space="preserve"> I am very </t>
    </r>
    <r>
      <rPr>
        <b/>
        <sz val="11"/>
        <color theme="1"/>
        <rFont val="Arial"/>
      </rPr>
      <t>embarrassed</t>
    </r>
    <r>
      <rPr>
        <sz val="11"/>
        <color theme="1"/>
        <rFont val="Arial"/>
      </rPr>
      <t xml:space="preserve"> for your tears.</t>
    </r>
  </si>
  <si>
    <t>"I wish," thought Scarlett irritably, "that Uncle Henry wouldn't ride home in that contraption. He ought to be ashamed to be seen in it. It isn't as though he didn't have a horse of his own. He just does it so he and Grandpa can go to the saloon together every night."</t>
  </si>
  <si>
    <t>TERM: Postydilsya (Постыдился) — felt ashamed (pf.); refrained out of shame [ORD] (lemma: постыдиться)
PASSAGE: Постыдился бы даже показываться на ней: ведь могут подумать, будто у него нет своей лошади.
TRANS: Postydilsya by dazhe pokazyvat'sya na ney: ved' mogut podumat', budto u nego net svoey loshadi.
TRANSLATION: He would be ashamed even to show himself on her, for people might think he had no horse of his own.</t>
  </si>
  <si>
    <r>
      <rPr>
        <b/>
        <sz val="11"/>
        <color theme="1"/>
        <rFont val="Arial"/>
      </rPr>
      <t>TERM:</t>
    </r>
    <r>
      <rPr>
        <sz val="11"/>
        <color theme="1"/>
        <rFont val="Arial"/>
      </rPr>
      <t xml:space="preserve"> ŪİALU (ҰЯЛУ) — to feel ashamed; to feel shy; to be embarrassed [KED, SZK]
</t>
    </r>
    <r>
      <rPr>
        <b/>
        <sz val="11"/>
        <color theme="1"/>
        <rFont val="Arial"/>
      </rPr>
      <t>PASSAGE:</t>
    </r>
    <r>
      <rPr>
        <sz val="11"/>
        <color theme="1"/>
        <rFont val="Arial"/>
      </rPr>
      <t xml:space="preserve"> Бұған көрінуге де </t>
    </r>
    <r>
      <rPr>
        <b/>
        <sz val="11"/>
        <color theme="1"/>
        <rFont val="Arial"/>
      </rPr>
      <t>ұялмайды</t>
    </r>
    <r>
      <rPr>
        <sz val="11"/>
        <color theme="1"/>
        <rFont val="Arial"/>
      </rPr>
      <t xml:space="preserve"> өзі.
</t>
    </r>
    <r>
      <rPr>
        <b/>
        <sz val="11"/>
        <color theme="1"/>
        <rFont val="Arial"/>
      </rPr>
      <t>TRANS:</t>
    </r>
    <r>
      <rPr>
        <sz val="11"/>
        <color theme="1"/>
        <rFont val="Arial"/>
      </rPr>
      <t xml:space="preserve"> Būğan körınuge de </t>
    </r>
    <r>
      <rPr>
        <b/>
        <sz val="11"/>
        <color theme="1"/>
        <rFont val="Arial"/>
      </rPr>
      <t>ūialmaidy</t>
    </r>
    <r>
      <rPr>
        <sz val="11"/>
        <color theme="1"/>
        <rFont val="Arial"/>
      </rPr>
      <t xml:space="preserve"> özı.
</t>
    </r>
    <r>
      <rPr>
        <b/>
        <sz val="11"/>
        <color theme="1"/>
        <rFont val="Arial"/>
      </rPr>
      <t>TRANSLATION:</t>
    </r>
    <r>
      <rPr>
        <sz val="11"/>
        <color theme="1"/>
        <rFont val="Arial"/>
      </rPr>
      <t xml:space="preserve"> He himself would not even be </t>
    </r>
    <r>
      <rPr>
        <b/>
        <sz val="11"/>
        <color theme="1"/>
        <rFont val="Arial"/>
      </rPr>
      <t>ashamed</t>
    </r>
    <r>
      <rPr>
        <sz val="11"/>
        <color theme="1"/>
        <rFont val="Arial"/>
      </rPr>
      <t xml:space="preserve"> to be seen on her.</t>
    </r>
  </si>
  <si>
    <t>shame directed at another — performative speech act (verdict / directive); India shames Scarlett about bringing shame on her husband Frank by her behavior</t>
  </si>
  <si>
    <t>"I do hate you," she said in a clear but trembling voice. "But it hasn't been hypocrisy that's kept me quiet. It's something you can't understand, not possessing any—any common courtesy, common good breeding. It's the realization that if all of us don't hang together and submerge our own small hates, we can't expect to beat the Yankees. But you—you—you've done all you could to lower the prestige of decent people—working and bringing shame on a good husband, giving Yankees and riffraff the right to laugh at us and make insulting remarks about our lack of gentility. Yankees don't know that you aren't one of us and have never been. Yankees haven't sense enough to know that you haven't any gentility. And when you've ridden about the woods exposing yourself to attack, you've exposed every well-behaved woman in town to attack by putting temptation in the ways of darkies and mean white trash. And you've put our men folks' lives in danger because they've got to—"</t>
  </si>
  <si>
    <t>TERM: opozorili (опозорили) — they disgraced (pf. past pl.) [ORD] (lemma: опозорить)
PASSAGE: А вы… вы… вы все сделали, чтобы уронить престиж приличных людей: стали работать и опозорили хорошего мужа, давая повод янки и всему сброду смеяться над нами и делать разные оскорбительные замечания насчет того, что никакие мы, дескать, не аристократы.
TRANS: A vy… vy… vy vse sdelali, chtoby uronit' prestizh prilichnykh lyudey: stali rabotat' i opozorili khoroshego muzha, davaya povod yanki i vsemu sbrodu smeyat'sya nad nami i delat' raznye oskorbitel'nye zamechaniya naschet togo, chto nikakie my, deskat', ne aristokraty.
TRANSLATION: And you... you... you have done everything to undermine the prestige of decent people: you took to working and disgraced a good husband, giving the Yankees and all the rabble cause to laugh at us and to make all sorts of insulting remarks about how we are no aristocrats at all.</t>
  </si>
  <si>
    <r>
      <rPr>
        <b/>
        <sz val="11"/>
        <color theme="1"/>
        <rFont val="Arial"/>
      </rPr>
      <t>TERM:</t>
    </r>
    <r>
      <rPr>
        <sz val="11"/>
        <color theme="1"/>
        <rFont val="Arial"/>
      </rPr>
      <t xml:space="preserve"> KÜLKI (КҮЛКІ) — laughter; mockery; object of mockery [KED, SZK]
</t>
    </r>
    <r>
      <rPr>
        <b/>
        <sz val="11"/>
        <color theme="1"/>
        <rFont val="Arial"/>
      </rPr>
      <t>PASSAGE:</t>
    </r>
    <r>
      <rPr>
        <sz val="11"/>
        <color theme="1"/>
        <rFont val="Arial"/>
      </rPr>
      <t xml:space="preserve"> Ал сіз... сіз... Зиялы адамдардың мәртебесін түсіру үшін бәрін жасадыңыз: жұмыс істедіңіз, тым жақсы күйеуіңізді ел алдында </t>
    </r>
    <r>
      <rPr>
        <b/>
        <sz val="11"/>
        <color theme="1"/>
        <rFont val="Arial"/>
      </rPr>
      <t>күлкіге</t>
    </r>
    <r>
      <rPr>
        <sz val="11"/>
        <color theme="1"/>
        <rFont val="Arial"/>
      </rPr>
      <t xml:space="preserve"> қалдырдыңыз
</t>
    </r>
    <r>
      <rPr>
        <b/>
        <sz val="11"/>
        <color theme="1"/>
        <rFont val="Arial"/>
      </rPr>
      <t>TRANS:</t>
    </r>
    <r>
      <rPr>
        <sz val="11"/>
        <color theme="1"/>
        <rFont val="Arial"/>
      </rPr>
      <t xml:space="preserve"> Al sız... sız... Zialy adamdardyñ märtebesın tüsıru üşın bärın jasadyñyz: jūmys ıstedıñız, tym jaqsy küieuıñızdı el aldynda </t>
    </r>
    <r>
      <rPr>
        <b/>
        <sz val="11"/>
        <color theme="1"/>
        <rFont val="Arial"/>
      </rPr>
      <t>külkıge</t>
    </r>
    <r>
      <rPr>
        <sz val="11"/>
        <color theme="1"/>
        <rFont val="Arial"/>
      </rPr>
      <t xml:space="preserve"> qaldyrdyñyz
</t>
    </r>
    <r>
      <rPr>
        <b/>
        <sz val="11"/>
        <color theme="1"/>
        <rFont val="Arial"/>
      </rPr>
      <t>TRANSLATION:</t>
    </r>
    <r>
      <rPr>
        <sz val="11"/>
        <color theme="1"/>
        <rFont val="Arial"/>
      </rPr>
      <t xml:space="preserve"> And you... you... you did everything to bring down the standing of respectable people: you went to work, you put your too-good husband to </t>
    </r>
    <r>
      <rPr>
        <b/>
        <sz val="11"/>
        <color theme="1"/>
        <rFont val="Arial"/>
      </rPr>
      <t>shame</t>
    </r>
    <r>
      <rPr>
        <sz val="11"/>
        <color theme="1"/>
        <rFont val="Arial"/>
      </rPr>
      <t xml:space="preserve"> before everyone</t>
    </r>
  </si>
  <si>
    <t>Society’s verdict, society witness;   Rhett unbearable as audience</t>
  </si>
  <si>
    <t>Rhett had sent her home alone in the carriage when the party was over and she had thanked God for the reprieve. He had not come in yet. Thank God, he had not come in. She could not face him tonight, shamed, frightened, shaking. But where was he? Probably at that creature's place. For the first time, Scarlett was glad there was such a person as Belle Watling. Glad there was some other place than this house to shelter Rhett until his glittering, murderous mood had passed. That was wrong, being glad a husband was at the house of a prostitute, but she could not help it. She would be almost glad if he were dead, if it meant she would not have to see him tonight.</t>
  </si>
  <si>
    <t>TERM: opozorennaya (опозоренная) — disgraced (past pass. part. fem.) [ORD] (lemma: опозоренный)
PASSAGE: Она просто не в силах предстать перед ним сегодня — опозоренная, испуганная, трясущаяся.
TRANS: Ona prosto ne v silakh predstat' pered nim segodnya — opozorennaya, ispugannaya, tryasushchayasya.
TRANSLATION: She simply did not have the strength to appear before him today — disgraced, frightened, trembling.</t>
  </si>
  <si>
    <r>
      <rPr>
        <b/>
        <sz val="11"/>
        <color theme="1"/>
        <rFont val="Arial"/>
      </rPr>
      <t>TERM:</t>
    </r>
    <r>
      <rPr>
        <sz val="11"/>
        <color theme="1"/>
        <rFont val="Arial"/>
      </rPr>
      <t xml:space="preserve"> DÄRMENSIZ (ДӘРМЕНСІЗ) — helpless; powerless [KED, SZK]
</t>
    </r>
    <r>
      <rPr>
        <b/>
        <sz val="11"/>
        <color theme="1"/>
        <rFont val="Arial"/>
      </rPr>
      <t>PASSAGE:</t>
    </r>
    <r>
      <rPr>
        <sz val="11"/>
        <color theme="1"/>
        <rFont val="Arial"/>
      </rPr>
      <t xml:space="preserve"> Тап бүгін бойын үрей билеген, қалтырап-дірілдеген, </t>
    </r>
    <r>
      <rPr>
        <b/>
        <sz val="11"/>
        <color theme="1"/>
        <rFont val="Arial"/>
      </rPr>
      <t>дәрменсіз</t>
    </r>
    <r>
      <rPr>
        <sz val="11"/>
        <color theme="1"/>
        <rFont val="Arial"/>
      </rPr>
      <t xml:space="preserve"> күйінде оның алдында тұрар халі де жоқ.
</t>
    </r>
    <r>
      <rPr>
        <b/>
        <sz val="11"/>
        <color theme="1"/>
        <rFont val="Arial"/>
      </rPr>
      <t>TRANS:</t>
    </r>
    <r>
      <rPr>
        <sz val="11"/>
        <color theme="1"/>
        <rFont val="Arial"/>
      </rPr>
      <t xml:space="preserve"> Tap bügın boiyn ürei bilegen, qaltyrap-dırıldegen, </t>
    </r>
    <r>
      <rPr>
        <b/>
        <sz val="11"/>
        <color theme="1"/>
        <rFont val="Arial"/>
      </rPr>
      <t>därmensız</t>
    </r>
    <r>
      <rPr>
        <sz val="11"/>
        <color theme="1"/>
        <rFont val="Arial"/>
      </rPr>
      <t xml:space="preserve"> küiınde onyñ aldynda tūrar halı de joq.
</t>
    </r>
    <r>
      <rPr>
        <b/>
        <sz val="11"/>
        <color theme="1"/>
        <rFont val="Arial"/>
      </rPr>
      <t>TRANSLATION:</t>
    </r>
    <r>
      <rPr>
        <sz val="11"/>
        <color theme="1"/>
        <rFont val="Arial"/>
      </rPr>
      <t xml:space="preserve"> Today, with terror gripping her body, trembling and shaking, helpless, she had no condition to stand before him.</t>
    </r>
  </si>
  <si>
    <t>Shame about being caught with Ashley, about Rhett’s departure – Scarlett is perceived as a woman taken in adultery</t>
  </si>
  <si>
    <t>Rhett had left town the hour before with Bonnie and Prissy, and desolation was added to Scarlett's shame and anger. The additional burden of her guilt with Ashley and Melanie's defense was more than she could bear. Had Melanie believed India and Archie, cut her at the reception or even greeted her frigidly, then she could have held her head high and fought back with every weapon in her armory. But now, with the memory of Melanie standing between her and social ruin, standing like a thin, shining blade, with trust and a fighting light in her eyes, there seemed nothing honest to do but confess. Yes, blurt out everything from that far-off beginning on the sunny porch at Tara.</t>
  </si>
  <si>
    <t>TERM: pozoru (позору) — disgrace (dat.) [ORD] (lemma: позор)
PASSAGE: Ретт покинул город час тому назад с Бонни и Присси, и к позору и злости Скарлетт прибавилось отчаяние.
TRANS: Rett pokinul gorod chas tomu nazad s Bonni i Prissi, i k pozoru i zlosti Skarlett pribavilos' otchayanie.
TRANSLATION: Rhett had left the city an hour ago with Bonnie and Prissy, and to Scarlett's disgrace and anger was added despair.</t>
  </si>
  <si>
    <r>
      <rPr>
        <b/>
        <sz val="11"/>
        <color theme="1"/>
        <rFont val="Arial"/>
      </rPr>
      <t>TERM:</t>
    </r>
    <r>
      <rPr>
        <sz val="11"/>
        <color theme="1"/>
        <rFont val="Arial"/>
      </rPr>
      <t xml:space="preserve"> MASQARA (МАСҚАРА) — disgrace; scandal; outrage (acute) [KED, SZK]
</t>
    </r>
    <r>
      <rPr>
        <b/>
        <sz val="11"/>
        <color theme="1"/>
        <rFont val="Arial"/>
      </rPr>
      <t>PASSAGE:</t>
    </r>
    <r>
      <rPr>
        <sz val="11"/>
        <color theme="1"/>
        <rFont val="Arial"/>
      </rPr>
      <t xml:space="preserve"> Ретт осыдан бір сағат бұрын өзімен бірге Бонни мен Приссиді алып, қаладан кетіп қалған еді, сондықтан да Скарлеттің іштей өртенген </t>
    </r>
    <r>
      <rPr>
        <b/>
        <sz val="11"/>
        <color theme="1"/>
        <rFont val="Arial"/>
      </rPr>
      <t>масқара</t>
    </r>
    <r>
      <rPr>
        <sz val="11"/>
        <color theme="1"/>
        <rFont val="Arial"/>
      </rPr>
      <t xml:space="preserve"> өкінішіне енді тағы ашу-ызасы мен шарасыздығы қосылды.
</t>
    </r>
    <r>
      <rPr>
        <b/>
        <sz val="11"/>
        <color theme="1"/>
        <rFont val="Arial"/>
      </rPr>
      <t>TRANS:</t>
    </r>
    <r>
      <rPr>
        <sz val="11"/>
        <color theme="1"/>
        <rFont val="Arial"/>
      </rPr>
      <t xml:space="preserve"> Rett osydan bır sağat būryn özımen bırge Bonni men Prissidı alyp, qaladan ketıp qalğan edı, sondyqtan da Skarlettıñ ıştei örtengen </t>
    </r>
    <r>
      <rPr>
        <b/>
        <sz val="11"/>
        <color theme="1"/>
        <rFont val="Arial"/>
      </rPr>
      <t>masqara</t>
    </r>
    <r>
      <rPr>
        <sz val="11"/>
        <color theme="1"/>
        <rFont val="Arial"/>
      </rPr>
      <t xml:space="preserve"> ökınışıne endı tağy aşu-yzasy men şarasyzdyğy qosyldy.
</t>
    </r>
    <r>
      <rPr>
        <b/>
        <sz val="11"/>
        <color theme="1"/>
        <rFont val="Arial"/>
      </rPr>
      <t>TRANSLATION:</t>
    </r>
    <r>
      <rPr>
        <sz val="11"/>
        <color theme="1"/>
        <rFont val="Arial"/>
      </rPr>
      <t xml:space="preserve"> Rhett had taken Bonnie and Prissy with him and left the city an hour ago, so to Scarlett's inwardly burning </t>
    </r>
    <r>
      <rPr>
        <b/>
        <sz val="11"/>
        <color theme="1"/>
        <rFont val="Arial"/>
      </rPr>
      <t>shameful</t>
    </r>
    <r>
      <rPr>
        <sz val="11"/>
        <color theme="1"/>
        <rFont val="Arial"/>
      </rPr>
      <t xml:space="preserve"> regret were now added anger and helplessness.</t>
    </r>
  </si>
  <si>
    <t>But she could not accuse him now, could not rage at him, demand fidelity or try to shame him, any more than she could bring herself to apologize for accusing him of Bonnie's death. She was clutched by a bewildered apathy, an unhappiness that she could not understand, an unhappiness that went deeper than anything she had ever known. She was lonely and she could never remember being so lonely before. Perhaps she had never had the time to be very lonely until now. She was lonely and afraid and there was no one to whom she could turn, no one except Melanie. For now, even Mammy, her mainstay, had gone back to Tara. Gone permanently.</t>
  </si>
  <si>
    <t>TERM: stydit' (стыдить) — to shame (someone) (imperfective) [ORD]
PASSAGE: Но она уже не могла обвинять Ретта, не могла устраивать ему бурные сцены, требовать верности или стыдить его — как не могла заставить себя просить у него прощения за то, что обвинила его в смерти Бонни.
TRANS: No ona uzhe ne mogla obvinyat' Retta, ne mogla ustraivat' emu burnye stseny, trebovat' vernosti ili stydit' ego — kak ne mogla zastavit' sebya prosit' u nego proshcheniya za to, chto obvinila ego v smerti Bonni.
TRANSLATION: But she could no longer accuse Rhett, could no longer make stormy scenes, demand fidelity or shame him — just as she could not bring herself to ask his forgiveness for accusing him of Bonnie's death.</t>
  </si>
  <si>
    <r>
      <rPr>
        <b/>
        <sz val="11"/>
        <color theme="1"/>
        <rFont val="Arial"/>
      </rPr>
      <t>TERM:</t>
    </r>
    <r>
      <rPr>
        <sz val="11"/>
        <color theme="1"/>
        <rFont val="Arial"/>
      </rPr>
      <t xml:space="preserve"> SALMAQ (САЛМАҚ) — weight; burden [KED, SZK]
</t>
    </r>
    <r>
      <rPr>
        <b/>
        <sz val="11"/>
        <color theme="1"/>
        <rFont val="Arial"/>
      </rPr>
      <t>PASSAGE:</t>
    </r>
    <r>
      <rPr>
        <sz val="11"/>
        <color theme="1"/>
        <rFont val="Arial"/>
      </rPr>
      <t xml:space="preserve"> Бірақ өзі енді Ретті кінәлай да алмайды, қызғаныштың қызыл итін абалатып, жер теуіп тұрып, талап та қоя алмайды, адалдықты міндеттеп, ұятына да </t>
    </r>
    <r>
      <rPr>
        <b/>
        <sz val="11"/>
        <color theme="1"/>
        <rFont val="Arial"/>
      </rPr>
      <t>салмақ</t>
    </r>
    <r>
      <rPr>
        <sz val="11"/>
        <color theme="1"/>
        <rFont val="Arial"/>
      </rPr>
      <t xml:space="preserve"> сала алмайды.
</t>
    </r>
    <r>
      <rPr>
        <b/>
        <sz val="11"/>
        <color theme="1"/>
        <rFont val="Arial"/>
      </rPr>
      <t>TRANS:</t>
    </r>
    <r>
      <rPr>
        <sz val="11"/>
        <color theme="1"/>
        <rFont val="Arial"/>
      </rPr>
      <t xml:space="preserve"> Bıraq özı endı Rettı kınälai da almaidy, qyzğanyştyñ qyzyl itın abalatyp, jer teuıp tūryp, talap ta qoia almaidy, adaldyqty mındettep, ūiatyna da </t>
    </r>
    <r>
      <rPr>
        <b/>
        <sz val="11"/>
        <color theme="1"/>
        <rFont val="Arial"/>
      </rPr>
      <t>salmaq</t>
    </r>
    <r>
      <rPr>
        <sz val="11"/>
        <color theme="1"/>
        <rFont val="Arial"/>
      </rPr>
      <t xml:space="preserve"> sala almaidy.
</t>
    </r>
    <r>
      <rPr>
        <b/>
        <sz val="11"/>
        <color theme="1"/>
        <rFont val="Arial"/>
      </rPr>
      <t>TRANSLATION:</t>
    </r>
    <r>
      <rPr>
        <sz val="11"/>
        <color theme="1"/>
        <rFont val="Arial"/>
      </rPr>
      <t xml:space="preserve"> But she could no longer even </t>
    </r>
    <r>
      <rPr>
        <b/>
        <sz val="11"/>
        <color theme="1"/>
        <rFont val="Arial"/>
      </rPr>
      <t>blame</t>
    </r>
    <r>
      <rPr>
        <sz val="11"/>
        <color theme="1"/>
        <rFont val="Arial"/>
      </rPr>
      <t xml:space="preserve"> Rhett, could no longer set loose the red dog of jealousy, stamp her foot and make demands, oblige him to faithfulness and lay the burden on his </t>
    </r>
    <r>
      <rPr>
        <b/>
        <sz val="11"/>
        <color theme="1"/>
        <rFont val="Arial"/>
      </rPr>
      <t>conscience</t>
    </r>
    <r>
      <rPr>
        <sz val="11"/>
        <color theme="1"/>
        <rFont val="Arial"/>
      </rPr>
      <t>.</t>
    </r>
  </si>
  <si>
    <t>"They know already, to be sure, and everybody knows of our disgrace. And your poor mother taking to her bed with it and me not able to hold up me head. 'Tis shameful. No, Puss, you need not think to get around me with tears this time," he said hastily and with some panic in his voice as Scarlett's lids began to bat and her mouth to screw up. "I know you. You'd be flirting at the wake of your husband”</t>
  </si>
  <si>
    <t>TERM: pozore (позоре) — disgrace (prep.) [ORD] (lemma: позор)
PASSAGE: — Им уже, без сомнения, известно — как, впрочем, и всем остальным — о нашем позоре.
TRANS: — Im uzhe, bez somneniya, izvestno — kak, vprochem, i vsem ostal'nym — o nashem pozore.
TRANSLATION: They no doubt already know — as do all the rest — of our disgrace.</t>
  </si>
  <si>
    <r>
      <rPr>
        <b/>
        <sz val="11"/>
        <color theme="1"/>
        <rFont val="Arial"/>
      </rPr>
      <t>TERM:</t>
    </r>
    <r>
      <rPr>
        <sz val="11"/>
        <color theme="1"/>
        <rFont val="Arial"/>
      </rPr>
      <t xml:space="preserve"> MASQARA (МАСҚАРА) — disgrace; scandal; outrage (acute) [KED, SZK]
</t>
    </r>
    <r>
      <rPr>
        <b/>
        <sz val="11"/>
        <color theme="1"/>
        <rFont val="Arial"/>
      </rPr>
      <t>PASSAGE:</t>
    </r>
    <r>
      <rPr>
        <sz val="11"/>
        <color theme="1"/>
        <rFont val="Arial"/>
      </rPr>
      <t xml:space="preserve"> Басқалар сияқты олар да біздің </t>
    </r>
    <r>
      <rPr>
        <b/>
        <sz val="11"/>
        <color theme="1"/>
        <rFont val="Arial"/>
      </rPr>
      <t>масқарамыз</t>
    </r>
    <r>
      <rPr>
        <sz val="11"/>
        <color theme="1"/>
        <rFont val="Arial"/>
      </rPr>
      <t xml:space="preserve"> туралы білетіні сөзсіз.
</t>
    </r>
    <r>
      <rPr>
        <b/>
        <sz val="11"/>
        <color theme="1"/>
        <rFont val="Arial"/>
      </rPr>
      <t>TRANS:</t>
    </r>
    <r>
      <rPr>
        <sz val="11"/>
        <color theme="1"/>
        <rFont val="Arial"/>
      </rPr>
      <t xml:space="preserve"> Basqalar siyaqty olar da bizdiñ </t>
    </r>
    <r>
      <rPr>
        <b/>
        <sz val="11"/>
        <color theme="1"/>
        <rFont val="Arial"/>
      </rPr>
      <t>masqaramyz</t>
    </r>
    <r>
      <rPr>
        <sz val="11"/>
        <color theme="1"/>
        <rFont val="Arial"/>
      </rPr>
      <t xml:space="preserve"> turaly biletini sözsiz.
</t>
    </r>
    <r>
      <rPr>
        <b/>
        <sz val="11"/>
        <color theme="1"/>
        <rFont val="Arial"/>
      </rPr>
      <t>TRANSLATION:</t>
    </r>
    <r>
      <rPr>
        <sz val="11"/>
        <color theme="1"/>
        <rFont val="Arial"/>
      </rPr>
      <t xml:space="preserve"> No doubt they, like the others, also know about our </t>
    </r>
    <r>
      <rPr>
        <b/>
        <sz val="11"/>
        <color theme="1"/>
        <rFont val="Arial"/>
      </rPr>
      <t>disgrace</t>
    </r>
    <r>
      <rPr>
        <sz val="11"/>
        <color theme="1"/>
        <rFont val="Arial"/>
      </rPr>
      <t>.</t>
    </r>
  </si>
  <si>
    <t>"Ashamed? You should die of shame. To desert us here, alone, helpless—"</t>
  </si>
  <si>
    <t>TERM: sgorat' so styda! (сгорать со стыда!) = burn with shame
PASSAGE: Разумеется, вы должны сгорать со стыда!
TRANS: Razumeetsya, vy dolzhny sgorat' so styda!
TRANSLATION: Of course, you must be burning up with shame!</t>
  </si>
  <si>
    <r>
      <rPr>
        <b/>
        <sz val="11"/>
        <color theme="1"/>
        <rFont val="Arial"/>
      </rPr>
      <t>TERM:</t>
    </r>
    <r>
      <rPr>
        <sz val="11"/>
        <color theme="1"/>
        <rFont val="Arial"/>
      </rPr>
      <t xml:space="preserve"> ŪİAT (ҰЯТ) — shame; disgrace; sense of decency (also: that which is improper) [KED, SZK]
</t>
    </r>
    <r>
      <rPr>
        <b/>
        <sz val="11"/>
        <color theme="1"/>
        <rFont val="Arial"/>
      </rPr>
      <t>PASSAGE:</t>
    </r>
    <r>
      <rPr>
        <sz val="11"/>
        <color theme="1"/>
        <rFont val="Arial"/>
      </rPr>
      <t xml:space="preserve"> Әрине, </t>
    </r>
    <r>
      <rPr>
        <b/>
        <sz val="11"/>
        <color theme="1"/>
        <rFont val="Arial"/>
      </rPr>
      <t>ұяттан</t>
    </r>
    <r>
      <rPr>
        <sz val="11"/>
        <color theme="1"/>
        <rFont val="Arial"/>
      </rPr>
      <t xml:space="preserve"> бетіңіздің оты шығып, күйіп қалуыңыз керек!
</t>
    </r>
    <r>
      <rPr>
        <b/>
        <sz val="11"/>
        <color theme="1"/>
        <rFont val="Arial"/>
      </rPr>
      <t>TRANS:</t>
    </r>
    <r>
      <rPr>
        <sz val="11"/>
        <color theme="1"/>
        <rFont val="Arial"/>
      </rPr>
      <t xml:space="preserve"> Ärine, </t>
    </r>
    <r>
      <rPr>
        <b/>
        <sz val="11"/>
        <color theme="1"/>
        <rFont val="Arial"/>
      </rPr>
      <t>ūiattan</t>
    </r>
    <r>
      <rPr>
        <sz val="11"/>
        <color theme="1"/>
        <rFont val="Arial"/>
      </rPr>
      <t xml:space="preserve"> betıñızdıñ oty şyğyp, küiıp qaluyñyz kerek!
</t>
    </r>
    <r>
      <rPr>
        <b/>
        <sz val="11"/>
        <color theme="1"/>
        <rFont val="Arial"/>
      </rPr>
      <t>TRANSLATION:</t>
    </r>
    <r>
      <rPr>
        <sz val="11"/>
        <color theme="1"/>
        <rFont val="Arial"/>
      </rPr>
      <t xml:space="preserve"> Of course, the fire of </t>
    </r>
    <r>
      <rPr>
        <b/>
        <sz val="11"/>
        <color theme="1"/>
        <rFont val="Arial"/>
      </rPr>
      <t>shame</t>
    </r>
    <r>
      <rPr>
        <sz val="11"/>
        <color theme="1"/>
        <rFont val="Arial"/>
      </rPr>
      <t xml:space="preserve"> should come out of your face and scorch you!</t>
    </r>
  </si>
  <si>
    <t>shame directed at another — performative speech act (verdict / directive); Mrs Merriwether shames Melanie for comparing “honorable” Ashley to “dishonorable” Rhett</t>
  </si>
  <si>
    <t>"You should be ashamed of yourself, comparing a fine man like Ashley Wilkes to a scoundrel like Captain Butler! I suppose you, too, think the Cause is nothing!"</t>
  </si>
  <si>
    <t>TERM: Postydilis' (Постыдились) — should have been ashamed (pl., reproachful) [ORD] (lemma: постыдиться)
PASSAGE: Постыдились бы сравнивать такого благородного человека, как Эшли, с этим подонком, капитаном Батлером!
TRANS: Postydilis' by sravnivat' takogo blagorodnogo cheloveka, kak Eshli, s etim podonkom, kapitanom Batlerom!
TRANSLATION: You ought to be ashamed of yourselves for comparing such a noble man as Ashley with that scoundrel, Captain Butler!</t>
  </si>
  <si>
    <r>
      <rPr>
        <b/>
        <sz val="11"/>
        <color theme="1"/>
        <rFont val="Arial"/>
      </rPr>
      <t>TERM:</t>
    </r>
    <r>
      <rPr>
        <sz val="11"/>
        <color theme="1"/>
        <rFont val="Arial"/>
      </rPr>
      <t xml:space="preserve"> ŪİALU (ҰЯЛУ) — to feel ashamed; to feel shy; to be embarrassed [KED, SZK]
</t>
    </r>
    <r>
      <rPr>
        <b/>
        <sz val="11"/>
        <color theme="1"/>
        <rFont val="Arial"/>
      </rPr>
      <t>PASSAGE:</t>
    </r>
    <r>
      <rPr>
        <sz val="11"/>
        <color theme="1"/>
        <rFont val="Arial"/>
      </rPr>
      <t xml:space="preserve"> Сіз Эшли сияқты асыл адамды сол арсыз Батлер капитанмен салыстыруға ұялсаңызшы!
</t>
    </r>
    <r>
      <rPr>
        <b/>
        <sz val="11"/>
        <color theme="1"/>
        <rFont val="Arial"/>
      </rPr>
      <t>TRANS:</t>
    </r>
    <r>
      <rPr>
        <sz val="11"/>
        <color theme="1"/>
        <rFont val="Arial"/>
      </rPr>
      <t xml:space="preserve"> Sız Eşli siaqty asyl adamdy sol arsyz Batler kapitanmen salystyruğa ūialsañyzşy!
</t>
    </r>
    <r>
      <rPr>
        <b/>
        <sz val="11"/>
        <color theme="1"/>
        <rFont val="Arial"/>
      </rPr>
      <t>TRANSLATION:</t>
    </r>
    <r>
      <rPr>
        <sz val="11"/>
        <color theme="1"/>
        <rFont val="Arial"/>
      </rPr>
      <t xml:space="preserve"> You should be </t>
    </r>
    <r>
      <rPr>
        <b/>
        <sz val="11"/>
        <color theme="1"/>
        <rFont val="Arial"/>
      </rPr>
      <t>ashamed</t>
    </r>
    <r>
      <rPr>
        <sz val="11"/>
        <color theme="1"/>
        <rFont val="Arial"/>
      </rPr>
      <t xml:space="preserve"> of comparing such a </t>
    </r>
    <r>
      <rPr>
        <b/>
        <sz val="11"/>
        <color theme="1"/>
        <rFont val="Arial"/>
      </rPr>
      <t>noble</t>
    </r>
    <r>
      <rPr>
        <sz val="11"/>
        <color theme="1"/>
        <rFont val="Arial"/>
      </rPr>
      <t xml:space="preserve"> man as Ashley with that </t>
    </r>
    <r>
      <rPr>
        <b/>
        <sz val="11"/>
        <color theme="1"/>
        <rFont val="Arial"/>
      </rPr>
      <t>shameless</t>
    </r>
    <r>
      <rPr>
        <sz val="11"/>
        <color theme="1"/>
        <rFont val="Arial"/>
      </rPr>
      <t xml:space="preserve"> Captain Butler!</t>
    </r>
  </si>
  <si>
    <t>"How dare you, India?" she questioned in a low voice that shook. "Where will your jealousy lead you? For shame!"</t>
  </si>
  <si>
    <t>PASSAGE: —
TRANS: —
TRANSLATION: —</t>
  </si>
  <si>
    <t>Mild moral shame directed at another — performative speech act (verdict / directive)</t>
  </si>
  <si>
    <t>"You young misses ought ter tek shame, gittin' Miss Pitty in a state," he scolded.</t>
  </si>
  <si>
    <t>Uncle Peter</t>
  </si>
  <si>
    <t>TERM: ne sovestno (не совестно) — it is not conscience-troubling; (one) feels no qualms [ORD] (lemma: совестно)
PASSAGE: Как же вам, молодые барышни, не совестно доводить мисс Питти до состояния
TRANS: Kak zhe vam, molodye baryshni, ne sovestno dovodit' miss Pitti do sostoyaniya
TRANSLATION: How can you, young ladies, not be ashamed of bringing Miss Pitty to such a state</t>
  </si>
  <si>
    <r>
      <rPr>
        <b/>
        <sz val="11"/>
        <color theme="1"/>
        <rFont val="Arial"/>
      </rPr>
      <t>TERM:</t>
    </r>
    <r>
      <rPr>
        <sz val="11"/>
        <color theme="1"/>
        <rFont val="Arial"/>
      </rPr>
      <t xml:space="preserve"> ŪİALU (ҰЯЛУ) — to feel ashamed; to feel shy; to be embarrassed [KED, SZK]
</t>
    </r>
    <r>
      <rPr>
        <b/>
        <sz val="11"/>
        <color theme="1"/>
        <rFont val="Arial"/>
      </rPr>
      <t>PASSAGE:</t>
    </r>
    <r>
      <rPr>
        <sz val="11"/>
        <color theme="1"/>
        <rFont val="Arial"/>
      </rPr>
      <t xml:space="preserve"> Питти бикешті осындай күйге жеткізуге қалайша </t>
    </r>
    <r>
      <rPr>
        <b/>
        <sz val="11"/>
        <color theme="1"/>
        <rFont val="Arial"/>
      </rPr>
      <t>ұялмайсыңдар</t>
    </r>
    <r>
      <rPr>
        <sz val="11"/>
        <color theme="1"/>
        <rFont val="Arial"/>
      </rPr>
      <t xml:space="preserve">, жас ханымдар, ...
</t>
    </r>
    <r>
      <rPr>
        <b/>
        <sz val="11"/>
        <color theme="1"/>
        <rFont val="Arial"/>
      </rPr>
      <t>TRANS:</t>
    </r>
    <r>
      <rPr>
        <sz val="11"/>
        <color theme="1"/>
        <rFont val="Arial"/>
      </rPr>
      <t xml:space="preserve"> Pitti bikeştı osyndai küige jetkızuge qalaişa </t>
    </r>
    <r>
      <rPr>
        <b/>
        <sz val="11"/>
        <color theme="1"/>
        <rFont val="Arial"/>
      </rPr>
      <t>ūialmaisyñdar</t>
    </r>
    <r>
      <rPr>
        <sz val="11"/>
        <color theme="1"/>
        <rFont val="Arial"/>
      </rPr>
      <t xml:space="preserve">, jas hanymdar, ...
</t>
    </r>
    <r>
      <rPr>
        <b/>
        <sz val="11"/>
        <color theme="1"/>
        <rFont val="Arial"/>
      </rPr>
      <t>TRANSLATION:</t>
    </r>
    <r>
      <rPr>
        <sz val="11"/>
        <color theme="1"/>
        <rFont val="Arial"/>
      </rPr>
      <t xml:space="preserve"> How can you not be </t>
    </r>
    <r>
      <rPr>
        <b/>
        <sz val="11"/>
        <color theme="1"/>
        <rFont val="Arial"/>
      </rPr>
      <t>ashamed</t>
    </r>
    <r>
      <rPr>
        <sz val="11"/>
        <color theme="1"/>
        <rFont val="Arial"/>
      </rPr>
      <t>, young ladies, of bringing Miss Pitty to such a condition,...</t>
    </r>
  </si>
  <si>
    <t>"Us ain' had nuthin' ter do wid Mist' Henry fer y'ars, an' us is too ole ter start now." He turned back to the girls, who were trying to suppress their smiles. "You young Misses ought ter tek shame, leavin' po' Miss Pitty 'lone, wid half her frens daid an' de other half in Macom, an' 'Lanta full of Yankee sojers an' trashy free issue niggers."</t>
  </si>
  <si>
    <r>
      <rPr>
        <b/>
        <sz val="11"/>
        <color theme="1"/>
        <rFont val="Arial"/>
      </rPr>
      <t>TERM:</t>
    </r>
    <r>
      <rPr>
        <sz val="11"/>
        <color theme="1"/>
        <rFont val="Arial"/>
      </rPr>
      <t xml:space="preserve"> ŪİALU (ҰЯЛУ) — to feel ashamed; to feel shy; to be embarrassed [KED, SZK]
</t>
    </r>
    <r>
      <rPr>
        <b/>
        <sz val="11"/>
        <color theme="1"/>
        <rFont val="Arial"/>
      </rPr>
      <t>PASSAGE:</t>
    </r>
    <r>
      <rPr>
        <sz val="11"/>
        <color theme="1"/>
        <rFont val="Arial"/>
      </rPr>
      <t xml:space="preserve"> Питти бикешті осындай күйге жеткізуге қалайша ұялмайсыңдар, жас ханымдар, ...
</t>
    </r>
    <r>
      <rPr>
        <b/>
        <sz val="11"/>
        <color theme="1"/>
        <rFont val="Arial"/>
      </rPr>
      <t>TRANS:</t>
    </r>
    <r>
      <rPr>
        <sz val="11"/>
        <color theme="1"/>
        <rFont val="Arial"/>
      </rPr>
      <t xml:space="preserve"> Pitti bikeştı osyndai küige jetkızuge qalaişa </t>
    </r>
    <r>
      <rPr>
        <b/>
        <sz val="11"/>
        <color theme="1"/>
        <rFont val="Arial"/>
      </rPr>
      <t>ūialmaisyñdar</t>
    </r>
    <r>
      <rPr>
        <sz val="11"/>
        <color theme="1"/>
        <rFont val="Arial"/>
      </rPr>
      <t xml:space="preserve">, jas hanymdar, ...
</t>
    </r>
    <r>
      <rPr>
        <b/>
        <sz val="11"/>
        <color theme="1"/>
        <rFont val="Arial"/>
      </rPr>
      <t>TRANSLATION:</t>
    </r>
    <r>
      <rPr>
        <sz val="11"/>
        <color theme="1"/>
        <rFont val="Arial"/>
      </rPr>
      <t xml:space="preserve"> How can you not be </t>
    </r>
    <r>
      <rPr>
        <b/>
        <sz val="11"/>
        <color theme="1"/>
        <rFont val="Arial"/>
      </rPr>
      <t>ashamed</t>
    </r>
    <r>
      <rPr>
        <sz val="11"/>
        <color theme="1"/>
        <rFont val="Arial"/>
      </rPr>
      <t>, young ladies, of bringing Miss Pitty to such a condition,...</t>
    </r>
  </si>
  <si>
    <t>Scarlett reasons about Ashley’s feelings – but it is unclear if shame refers to his feelings following exposure, to the societal verdict or to both</t>
  </si>
  <si>
    <t>She could not go on this way any longer, wondering what his feelings toward her were now, wondering if all his love had died in shame since the dreadful night of Melanie's party. In the course of business she could find many opportune times for conversations without it appearing to anyone that she was seeking him out. And, given time, she knew she could gain back whatever ground she had lost in his heart. But if she sold the mills—</t>
  </si>
  <si>
    <t>TERM: styda (стыда) — shame (genitive) [ORD] (lemma: стыд)
PASSAGE: Не может она дольше так жить, не зная, что он теперь к ней испытывает, не зная, сгорела ли его любовь от стыда после того страшного вечера, когда Мелани устроила прием.
TRANS: Ne mozhet ona dol'she tak zhit', ne znaya, chto on teper' k ney ispytyvaet, ne znaya, sgorela li ego lyubov' ot styda posle togo strashnogo vechera, kogda Melani ustroila priem.
TRANSLATION: She could not go on living like this, not knowing what he now feels toward her, not knowing whether his love had burned out from shame after that terrible evening when Melanie hosted the reception.</t>
  </si>
  <si>
    <r>
      <rPr>
        <b/>
        <sz val="11"/>
        <color theme="1"/>
        <rFont val="Arial"/>
      </rPr>
      <t>PASSAGE:</t>
    </r>
    <r>
      <rPr>
        <sz val="11"/>
        <color theme="1"/>
        <rFont val="Arial"/>
      </rPr>
      <t xml:space="preserve"> Бұдан әрі белгісіздікте, өзіне деген сезімінің бар-жоғын білмей, Мелани салтанатты қабылдау ұйымдастырған сол бір сұмдық кештен кейін махаббаты өшіп қалды ма, жоқ па деген сұрақтың жетегінде жүре алмайды екен.
</t>
    </r>
    <r>
      <rPr>
        <b/>
        <sz val="11"/>
        <color theme="1"/>
        <rFont val="Arial"/>
      </rPr>
      <t>TRANS:</t>
    </r>
    <r>
      <rPr>
        <sz val="11"/>
        <color theme="1"/>
        <rFont val="Arial"/>
      </rPr>
      <t xml:space="preserve"> Būdan ärı belgısızdıkte, özıne degen sezımınıñ bar-joğyn bılmei, Melani saltanatty qabyldau ūiymdastyrğan sol bır sūmdyq keşten keiın mahabbaty öşıp qaldy ma, joq pa degen sūraqtyñ jetegınde jüre almaidy eken.
</t>
    </r>
    <r>
      <rPr>
        <b/>
        <sz val="11"/>
        <color theme="1"/>
        <rFont val="Arial"/>
      </rPr>
      <t>TRANSLATION:</t>
    </r>
    <r>
      <rPr>
        <sz val="11"/>
        <color theme="1"/>
        <rFont val="Arial"/>
      </rPr>
      <t xml:space="preserve"> She could not go on in uncertainty, not knowing whether his feelings for her existed or not, dragged along by the question of whether his love had been extinguished or not after that horrible evening when Melanie organized the gala reception.</t>
    </r>
  </si>
  <si>
    <t>"Times never change when there's a need for honest work to be done," stated the sharp-eyed old lady, refusing to be soothed. "And I'm ashamed for your mother, Scarlett, to hear you stand there and talk as though honest work made white trash out of nice people. 'When Adam delved and Eve span'—"</t>
  </si>
  <si>
    <t>Grandma Fontaine</t>
  </si>
  <si>
    <t>PASSAGE: Послушала бы твоя маменька, Скарлетт, как ты стоишь тут и заявляешь, что честный труд — это не для порядочных людей, а для белой голытьбы!
TRANS: Poslushala by tvoya mamen'ka, Skarlett, kak ty stoish' tut i zayavlyaesh', chto chestnyy trud — eto ne dlya poryadochnykh lyudey, a dlya beloy golyt'by!
TRANSLATION: If your mother could hear, Scarlett, you standing here and declaring that honest work is not for decent people but for white trash!</t>
  </si>
  <si>
    <r>
      <rPr>
        <b/>
        <sz val="11"/>
        <color theme="1"/>
        <rFont val="Arial"/>
      </rPr>
      <t>PASSAGE:</t>
    </r>
    <r>
      <rPr>
        <sz val="11"/>
        <color theme="1"/>
        <rFont val="Arial"/>
      </rPr>
      <t xml:space="preserve"> Скарлетт, сенің анаң осы жерде адал еңбек ету әдепті адамдардың қолы емес, ақ жарлы-жақыбайлардың міндеті деп құр жар салып жатқаныңды естісе ғой!
</t>
    </r>
    <r>
      <rPr>
        <b/>
        <sz val="11"/>
        <color theme="1"/>
        <rFont val="Arial"/>
      </rPr>
      <t>TRANS:</t>
    </r>
    <r>
      <rPr>
        <sz val="11"/>
        <color theme="1"/>
        <rFont val="Arial"/>
      </rPr>
      <t xml:space="preserve"> Skarlett, senıñ anañ osy jerde adal eñbek etu ädeptı adamdardyñ qoly emes, aq jarly-jaqybailardyñ mındetı dep qūr jar salyp jatqanyñdy estıse ğoi!
</t>
    </r>
    <r>
      <rPr>
        <b/>
        <sz val="11"/>
        <color theme="1"/>
        <rFont val="Arial"/>
      </rPr>
      <t>TRANSLATION:</t>
    </r>
    <r>
      <rPr>
        <sz val="11"/>
        <color theme="1"/>
        <rFont val="Arial"/>
      </rPr>
      <t xml:space="preserve"> Scarlett, if your mother could hear how you are standing here and proclaiming that honest work is not the hand of polite people but the duty of poor white scum!</t>
    </r>
  </si>
  <si>
    <t>shame directed at another — performative speech act (verdict / directive) for behaving unladylike</t>
  </si>
  <si>
    <t>"You are a brave little woman," he pronounced, "but I won't have you do this sort of thing. Your family would die of shame."</t>
  </si>
  <si>
    <t>TERM: styda (стыда) — shame (genitive) [ORD] (lemma: стыд)
PASSAGE: Да ваша семья умрет со стыда.
TRANS: Da vasha sem'ya umret so styda.
TRANSLATION: Why, your family will die of shame.</t>
  </si>
  <si>
    <r>
      <rPr>
        <b/>
        <sz val="11"/>
        <color theme="1"/>
        <rFont val="Arial"/>
      </rPr>
      <t>TERM:</t>
    </r>
    <r>
      <rPr>
        <sz val="11"/>
        <color theme="1"/>
        <rFont val="Arial"/>
      </rPr>
      <t xml:space="preserve"> ŪİAT (ҰЯТ) — shame; disgrace; sense of decency (also: that which is improper) [KED, SZK]
</t>
    </r>
    <r>
      <rPr>
        <b/>
        <sz val="11"/>
        <color theme="1"/>
        <rFont val="Arial"/>
      </rPr>
      <t>PASSAGE: Ұяттан отбасыңыз елдің бетіне қарай алмай қалады.
TRANS: Ūiattan otbasyñyz eldıñ betıne qarai almai qalady.
TRANSLATION: From shame, your family will not be able to look people in the face.</t>
    </r>
  </si>
  <si>
    <t>You kain sen' me ter Tara ness Ah wants ter go. Ah is free," said Mammy heatedly. "An' Ah is gwine ter stay right hyah. Git back in dat baid. Does you want ter ketch pneumony jes' now? Put down dem stays! Put dem down, honey. Now, Miss Scarlett, you ain' gwine nowhars in dis wedder. Lawd God! But you sho look lak yo' pa! Git back in baid—Ah kain go buyin' no paint! Ah die of shame, eve'ybody knowin 'it wud fer mah chile! Miss Scarlett, you is so sweet an' pretty lookin' you doan need no paint. Honey, doan nobody but bad womens use dat stuff."</t>
  </si>
  <si>
    <t>Mammy</t>
  </si>
  <si>
    <t>TERM: styda (стыда) — shame (genitive) [ORD] (lemma: стыд)
PASSAGE: Да я со стыда умру, как люди узнают, что это для моей деточки!
TRANS: Da ya so styda umru, kak lyudi uznayut, chto eto dlya moey detochki!
TRANSLATION: Why, I will die of shame when people learn that this is for my little baby!</t>
  </si>
  <si>
    <r>
      <rPr>
        <b/>
        <sz val="11"/>
        <color theme="1"/>
        <rFont val="Arial"/>
      </rPr>
      <t>TERM:</t>
    </r>
    <r>
      <rPr>
        <sz val="11"/>
        <color theme="1"/>
        <rFont val="Arial"/>
      </rPr>
      <t xml:space="preserve"> ŪİAT (ҰЯТ) — shame; disgrace; sense of decency (also: that which is improper) [KED, SZK]
</t>
    </r>
    <r>
      <rPr>
        <b/>
        <sz val="11"/>
        <color theme="1"/>
        <rFont val="Arial"/>
      </rPr>
      <t>PASSAGE:</t>
    </r>
    <r>
      <rPr>
        <sz val="11"/>
        <color theme="1"/>
        <rFont val="Arial"/>
      </rPr>
      <t xml:space="preserve"> Балама бояу алып жүргенімді ел білсе, </t>
    </r>
    <r>
      <rPr>
        <b/>
        <sz val="11"/>
        <color theme="1"/>
        <rFont val="Arial"/>
      </rPr>
      <t>ұяттан</t>
    </r>
    <r>
      <rPr>
        <sz val="11"/>
        <color theme="1"/>
        <rFont val="Arial"/>
      </rPr>
      <t xml:space="preserve"> өлмеймін бе!
</t>
    </r>
    <r>
      <rPr>
        <b/>
        <sz val="11"/>
        <color theme="1"/>
        <rFont val="Arial"/>
      </rPr>
      <t>TRANS:</t>
    </r>
    <r>
      <rPr>
        <sz val="11"/>
        <color theme="1"/>
        <rFont val="Arial"/>
      </rPr>
      <t xml:space="preserve"> Balama boiau alyp jürgenımdı el bılse, </t>
    </r>
    <r>
      <rPr>
        <b/>
        <sz val="11"/>
        <color theme="1"/>
        <rFont val="Arial"/>
      </rPr>
      <t>ūiattan</t>
    </r>
    <r>
      <rPr>
        <sz val="11"/>
        <color theme="1"/>
        <rFont val="Arial"/>
      </rPr>
      <t xml:space="preserve"> ölmeimın be!
</t>
    </r>
    <r>
      <rPr>
        <b/>
        <sz val="11"/>
        <color theme="1"/>
        <rFont val="Arial"/>
      </rPr>
      <t>TRANSLATION:</t>
    </r>
    <r>
      <rPr>
        <sz val="11"/>
        <color theme="1"/>
        <rFont val="Arial"/>
      </rPr>
      <t xml:space="preserve"> If people find out that I am carrying paint for my child, won't I die of </t>
    </r>
    <r>
      <rPr>
        <b/>
        <sz val="11"/>
        <color theme="1"/>
        <rFont val="Arial"/>
      </rPr>
      <t>shame</t>
    </r>
    <r>
      <rPr>
        <sz val="11"/>
        <color theme="1"/>
        <rFont val="Arial"/>
      </rPr>
      <t>!</t>
    </r>
  </si>
  <si>
    <t>shame directed at another — performative speech act (verdict / directive) for breaking social conventions</t>
  </si>
  <si>
    <t>"Look here, Renny, why don't you come and work for me? Managing a mill is a sight more respectable than driving a pie wagon. I'd think you'd be ashamed."</t>
  </si>
  <si>
    <t>TERM: stydno (стыдно) — it is shameful; (one) feels ashamed (impersonal predicate) [ORD]
PASSAGE: Я почему-то считаю, что вам стыдно этим заниматься.
TRANS: Ya pochemu-to schitayu, chto vam stydno etim zanimat'sya.
TRANSLATION: I somehow think that you are ashamed to do this.</t>
  </si>
  <si>
    <r>
      <rPr>
        <b/>
        <sz val="11"/>
        <color theme="1"/>
        <rFont val="Arial"/>
      </rPr>
      <t>TERM:</t>
    </r>
    <r>
      <rPr>
        <sz val="11"/>
        <color theme="1"/>
        <rFont val="Arial"/>
      </rPr>
      <t xml:space="preserve"> ŪİAT (ҰЯТ) — shame; disgrace; sense of decency (also: that which is improper) [KED, SZK]
</t>
    </r>
    <r>
      <rPr>
        <b/>
        <sz val="11"/>
        <color theme="1"/>
        <rFont val="Arial"/>
      </rPr>
      <t>PASSAGE:</t>
    </r>
    <r>
      <rPr>
        <sz val="11"/>
        <color theme="1"/>
        <rFont val="Arial"/>
      </rPr>
      <t xml:space="preserve"> Сізге нанмен айналысу </t>
    </r>
    <r>
      <rPr>
        <b/>
        <sz val="11"/>
        <color theme="1"/>
        <rFont val="Arial"/>
      </rPr>
      <t>ұяттау</t>
    </r>
    <r>
      <rPr>
        <sz val="11"/>
        <color theme="1"/>
        <rFont val="Arial"/>
      </rPr>
      <t xml:space="preserve"> ғой деп ойлаймын.
</t>
    </r>
    <r>
      <rPr>
        <b/>
        <sz val="11"/>
        <color theme="1"/>
        <rFont val="Arial"/>
      </rPr>
      <t>TRANS:</t>
    </r>
    <r>
      <rPr>
        <sz val="11"/>
        <color theme="1"/>
        <rFont val="Arial"/>
      </rPr>
      <t xml:space="preserve"> Sızge nanmen ainalysu </t>
    </r>
    <r>
      <rPr>
        <b/>
        <sz val="11"/>
        <color theme="1"/>
        <rFont val="Arial"/>
      </rPr>
      <t>ūiattau</t>
    </r>
    <r>
      <rPr>
        <sz val="11"/>
        <color theme="1"/>
        <rFont val="Arial"/>
      </rPr>
      <t xml:space="preserve"> ğoi dep oilaimyn.
</t>
    </r>
    <r>
      <rPr>
        <b/>
        <sz val="11"/>
        <color theme="1"/>
        <rFont val="Arial"/>
      </rPr>
      <t>TRANSLATION:</t>
    </r>
    <r>
      <rPr>
        <sz val="11"/>
        <color theme="1"/>
        <rFont val="Arial"/>
      </rPr>
      <t xml:space="preserve"> I think it is rather </t>
    </r>
    <r>
      <rPr>
        <b/>
        <sz val="11"/>
        <color theme="1"/>
        <rFont val="Arial"/>
      </rPr>
      <t>shameful</t>
    </r>
    <r>
      <rPr>
        <sz val="11"/>
        <color theme="1"/>
        <rFont val="Arial"/>
      </rPr>
      <t xml:space="preserve"> for you to be busy with bread.</t>
    </r>
  </si>
  <si>
    <t>Shame — Shame as verdict</t>
  </si>
  <si>
    <t>Stigma</t>
  </si>
  <si>
    <t>She, a member of an old and staunchly Confederate family, a planter's family, had gone over to the enemy and by so doing had brought shame on every family in the County.</t>
  </si>
  <si>
    <t>Suellen</t>
  </si>
  <si>
    <t>TERM: pozor (позор) — disgrace; shame; ignominy [ORD]
PASSAGE: навлекла позор на каждую семью в графстве.
TRANS: navlekla pozor na kazhduyu sem'yu v grafstve.
TRANSLATION: brought disgrace upon every family in the county.</t>
  </si>
  <si>
    <r>
      <rPr>
        <b/>
        <sz val="11"/>
        <color theme="1"/>
        <rFont val="Arial"/>
      </rPr>
      <t>TERM:</t>
    </r>
    <r>
      <rPr>
        <sz val="11"/>
        <color theme="1"/>
        <rFont val="Arial"/>
      </rPr>
      <t xml:space="preserve"> KÜİE (КҮЙЕ) — soot; grime (used metaphorically: "stain") [KED, SZK]
</t>
    </r>
    <r>
      <rPr>
        <b/>
        <sz val="11"/>
        <color theme="1"/>
        <rFont val="Arial"/>
      </rPr>
      <t>PASSAGE:</t>
    </r>
    <r>
      <rPr>
        <sz val="11"/>
        <color theme="1"/>
        <rFont val="Arial"/>
      </rPr>
      <t xml:space="preserve"> Конфедерацияға шын берілген, плантатор отбасында туған әйел қас дұшпанға тек өз басын ғана иген жоқ, күллі графтықтардың бетіне </t>
    </r>
    <r>
      <rPr>
        <b/>
        <sz val="11"/>
        <color theme="1"/>
        <rFont val="Arial"/>
      </rPr>
      <t>күйе</t>
    </r>
    <r>
      <rPr>
        <sz val="11"/>
        <color theme="1"/>
        <rFont val="Arial"/>
      </rPr>
      <t xml:space="preserve"> жақты.
</t>
    </r>
    <r>
      <rPr>
        <b/>
        <sz val="11"/>
        <color theme="1"/>
        <rFont val="Arial"/>
      </rPr>
      <t>TRANS:</t>
    </r>
    <r>
      <rPr>
        <sz val="11"/>
        <color theme="1"/>
        <rFont val="Arial"/>
      </rPr>
      <t xml:space="preserve"> onfederasiağa şyn berılgen, plantator otbasynda tuğan äiel qas dūşpanğa tek öz basyn ğana igen joq, küllı graftyqtardyñ betıne </t>
    </r>
    <r>
      <rPr>
        <b/>
        <sz val="11"/>
        <color theme="1"/>
        <rFont val="Arial"/>
      </rPr>
      <t>küie</t>
    </r>
    <r>
      <rPr>
        <sz val="11"/>
        <color theme="1"/>
        <rFont val="Arial"/>
      </rPr>
      <t xml:space="preserve"> jaqty.
</t>
    </r>
    <r>
      <rPr>
        <b/>
        <sz val="11"/>
        <color theme="1"/>
        <rFont val="Arial"/>
      </rPr>
      <t>TRANSLATION:</t>
    </r>
    <r>
      <rPr>
        <sz val="11"/>
        <color theme="1"/>
        <rFont val="Arial"/>
      </rPr>
      <t xml:space="preserve"> A woman who was truly devoted to the Confederacy and born into a planter's family — she did not only bow her head to her arch-enemy, she daubed </t>
    </r>
    <r>
      <rPr>
        <b/>
        <sz val="11"/>
        <color theme="1"/>
        <rFont val="Arial"/>
      </rPr>
      <t>soot</t>
    </r>
    <r>
      <rPr>
        <sz val="11"/>
        <color theme="1"/>
        <rFont val="Arial"/>
      </rPr>
      <t xml:space="preserve"> on the faces of all the counties.</t>
    </r>
  </si>
  <si>
    <t>Suellen has her shame to sustain her and Carreen her God. But you've got nothing to sustain you, have you, child?"</t>
  </si>
  <si>
    <t>TERM: pozore (позоре) — disgrace (prep.) [ORD] (lemma: позор)
PASSAGE: Сьюлин вся в мыслях о своем позоре, а Кэррин — о боге, и это их поддерживает.
TRANS: S'yulin vsya v myslyakh o svoem pozore, a Kerrin — o boge, i eto ikh podderzhivaet.
TRANSLATION: Suellen is wholly absorbed in thoughts of her disgrace, and Carreen in [thoughts of] God, and that supports them.</t>
  </si>
  <si>
    <r>
      <rPr>
        <b/>
        <sz val="11"/>
        <color theme="1"/>
        <rFont val="Arial"/>
      </rPr>
      <t>TERM:</t>
    </r>
    <r>
      <rPr>
        <sz val="11"/>
        <color theme="1"/>
        <rFont val="Arial"/>
      </rPr>
      <t xml:space="preserve"> MASQARA (МАСҚАРА) — disgrace; scandal; outrage (acute) [KED, SZK]
</t>
    </r>
    <r>
      <rPr>
        <b/>
        <sz val="11"/>
        <color theme="1"/>
        <rFont val="Arial"/>
      </rPr>
      <t>PASSAGE:</t>
    </r>
    <r>
      <rPr>
        <sz val="11"/>
        <color theme="1"/>
        <rFont val="Arial"/>
      </rPr>
      <t xml:space="preserve"> Сьюлин өзінің </t>
    </r>
    <r>
      <rPr>
        <b/>
        <sz val="11"/>
        <color theme="1"/>
        <rFont val="Arial"/>
      </rPr>
      <t>масқара</t>
    </r>
    <r>
      <rPr>
        <sz val="11"/>
        <color theme="1"/>
        <rFont val="Arial"/>
      </rPr>
      <t xml:space="preserve"> қылығын еске алса, Кэррин құдайын ойлайды, екеуінің де бас сүйерлері бар.
</t>
    </r>
    <r>
      <rPr>
        <b/>
        <sz val="11"/>
        <color theme="1"/>
        <rFont val="Arial"/>
      </rPr>
      <t>TRANS:</t>
    </r>
    <r>
      <rPr>
        <sz val="11"/>
        <color theme="1"/>
        <rFont val="Arial"/>
      </rPr>
      <t xml:space="preserve"> S'iulin özınıñ </t>
    </r>
    <r>
      <rPr>
        <b/>
        <sz val="11"/>
        <color theme="1"/>
        <rFont val="Arial"/>
      </rPr>
      <t>masqara</t>
    </r>
    <r>
      <rPr>
        <sz val="11"/>
        <color theme="1"/>
        <rFont val="Arial"/>
      </rPr>
      <t xml:space="preserve"> qylyğyn eske alsa, Kerrin qūdaiyn oilaidy, ekeuınıñ de bas süierlerı bar.
</t>
    </r>
    <r>
      <rPr>
        <b/>
        <sz val="11"/>
        <color theme="1"/>
        <rFont val="Arial"/>
      </rPr>
      <t>TRANSLATION:</t>
    </r>
    <r>
      <rPr>
        <sz val="11"/>
        <color theme="1"/>
        <rFont val="Arial"/>
      </rPr>
      <t xml:space="preserve"> If Suellen recalls her own </t>
    </r>
    <r>
      <rPr>
        <b/>
        <sz val="11"/>
        <color theme="1"/>
        <rFont val="Arial"/>
      </rPr>
      <t>shameful</t>
    </r>
    <r>
      <rPr>
        <sz val="11"/>
        <color theme="1"/>
        <rFont val="Arial"/>
      </rPr>
      <t xml:space="preserve"> conduct, Carreen thinks of her God; both have something to lean on.</t>
    </r>
  </si>
  <si>
    <t>Shame — Absent shame</t>
  </si>
  <si>
    <t>Moral shame ABSENT — Rhett as specific witness</t>
  </si>
  <si>
    <t>Now that her first rage at Rhett and his insults had passed, she began to miss him and she missed him more and more as days went by without news of him. Out of the welter of rapture and anger and heartbreak and hurt pride that he had left, depression emerged to sit upon her shoulder like a carrion crow. She missed him, missed his light flippant touch in anecdotes that made her shout with laughter, his sardonic grin that reduced troubles to their proper proportions, missed even his jeers that stung her to angry retort. Most of all she missed having him to tell things to. Rhett was so satisfactory in that respect. She could recount shamelessly and with pride how she had skinned people out of their eyeteeth and he would applaud. And if she even mentioned such things to other people they were shocked.</t>
  </si>
  <si>
    <t>TERM: bez zazreniya sovesti (без зазрения совести) — without a qualm of conscience (set phrase) [ORD] (lemma: зазрение)
PASSAGE: Она могла без зазрения совести, даже с гордостью, рассказывать ему, как ободрала кого-нибудь точно липку, и он лишь аплодировал ей.
TRANS: Ona mogla bez zazreniya sovesti, dazhe s gordost'yu, rasskazyvat' emu, kak obodrala kogo-nibud' tochno lipku, i on lish' aplodiroval ey.
TRANSLATION: She could, without any pang of conscience, even with pride, tell him how she had fleeced someone like a sticky-leaf, and he would only applaud her.</t>
  </si>
  <si>
    <r>
      <rPr>
        <b/>
        <sz val="11"/>
        <color theme="1"/>
        <rFont val="Arial"/>
      </rPr>
      <t>TERM:</t>
    </r>
    <r>
      <rPr>
        <sz val="11"/>
        <color theme="1"/>
        <rFont val="Arial"/>
      </rPr>
      <t xml:space="preserve"> </t>
    </r>
    <r>
      <rPr>
        <b/>
        <sz val="11"/>
        <color theme="1"/>
        <rFont val="Arial"/>
      </rPr>
      <t>QYSYLU</t>
    </r>
    <r>
      <rPr>
        <sz val="11"/>
        <color theme="1"/>
        <rFont val="Arial"/>
      </rPr>
      <t xml:space="preserve"> (ҚЫСЫЛУ) — to feel embarrassed; to feel constrained; to be in difficulty [KED, SZK]
</t>
    </r>
    <r>
      <rPr>
        <b/>
        <sz val="11"/>
        <color theme="1"/>
        <rFont val="Arial"/>
      </rPr>
      <t>PASSAGE:</t>
    </r>
    <r>
      <rPr>
        <sz val="11"/>
        <color theme="1"/>
        <rFont val="Arial"/>
      </rPr>
      <t xml:space="preserve"> Скарлетт еш </t>
    </r>
    <r>
      <rPr>
        <b/>
        <sz val="11"/>
        <color theme="1"/>
        <rFont val="Arial"/>
      </rPr>
      <t>қысылмастан</t>
    </r>
    <r>
      <rPr>
        <sz val="11"/>
        <color theme="1"/>
        <rFont val="Arial"/>
      </rPr>
      <t xml:space="preserve"> кімнің қалтасын қалай қаққанын, қай қыспақтан қалай сытылып шыққанын ұялмай, қайта танау желбезегі дірілдеп отырып, мақтанышпен айтатын, сол кезде алақанын алақанына ұрып, мадақтайтын адамы да сол болатын.
</t>
    </r>
    <r>
      <rPr>
        <b/>
        <sz val="11"/>
        <color theme="1"/>
        <rFont val="Arial"/>
      </rPr>
      <t>TRANS:</t>
    </r>
    <r>
      <rPr>
        <sz val="11"/>
        <color theme="1"/>
        <rFont val="Arial"/>
      </rPr>
      <t xml:space="preserve"> Skarlett eş </t>
    </r>
    <r>
      <rPr>
        <b/>
        <sz val="11"/>
        <color theme="1"/>
        <rFont val="Arial"/>
      </rPr>
      <t>qysylmastan</t>
    </r>
    <r>
      <rPr>
        <sz val="11"/>
        <color theme="1"/>
        <rFont val="Arial"/>
      </rPr>
      <t xml:space="preserve"> kımnıñ qaltasyn qalai qaqqanyn, qai qyspaqtan qalai sytylyp şyqqanyn ūialmai, qaita tanau jelbezegı dırıldep otyryp, maqtanyşpen aitatyn, sol kezde alaqanyn alaqanyna ūryp, madaqtaityn adamy da sol bolatyn.
</t>
    </r>
    <r>
      <rPr>
        <b/>
        <sz val="11"/>
        <color theme="1"/>
        <rFont val="Arial"/>
      </rPr>
      <t>TRANSLATION:</t>
    </r>
    <r>
      <rPr>
        <sz val="11"/>
        <color theme="1"/>
        <rFont val="Arial"/>
      </rPr>
      <t xml:space="preserve"> Scarlett would, without the slightest </t>
    </r>
    <r>
      <rPr>
        <b/>
        <sz val="11"/>
        <color theme="1"/>
        <rFont val="Arial"/>
      </rPr>
      <t>embarrassment</t>
    </r>
    <r>
      <rPr>
        <sz val="11"/>
        <color theme="1"/>
        <rFont val="Arial"/>
      </rPr>
      <t xml:space="preserve"> — indeed with her nostrils trembling with </t>
    </r>
    <r>
      <rPr>
        <b/>
        <sz val="11"/>
        <color theme="1"/>
        <rFont val="Arial"/>
      </rPr>
      <t>pride</t>
    </r>
    <r>
      <rPr>
        <sz val="11"/>
        <color theme="1"/>
        <rFont val="Arial"/>
      </rPr>
      <t xml:space="preserve"> — tell him how she had picked someone's pocket or wriggled out of some squeeze, and he was the very man who would clap his palms in praise.</t>
    </r>
  </si>
  <si>
    <t>constitutive absence of shame — Rhett outside the social shame system</t>
  </si>
  <si>
    <t>His hair was jet black, and his black mustache was small and closely clipped, almost foreign looking compared with the dashing, swooping mustaches of the cavalrymen near by. He looked, and was, a man of lusty and unashamed appetites. He had an air of utter assurance, of displeasing insolence about him, and there was a twinkle of malice in his bold eyes as he stared at Scarlett, until finally, feeling his gaze, she looked toward him.</t>
  </si>
  <si>
    <t>PASSAGE: Лицо человека, наделенного отменным здоровьем и таким же аппетитом, откровенно жадного до всех жизненных утех.
TRANS: Litso cheloveka, nadelennogo otmennym zdorov'em i takim zhe appetitom, otkrovenno zhadnogo do vsekh zhiznennykh utekh.
TRANSLATION: The face of a man endowed with excellent health and an equally good appetite, frankly greedy for all of life's pleasures.</t>
  </si>
  <si>
    <r>
      <rPr>
        <b/>
        <sz val="11"/>
        <color theme="1"/>
        <rFont val="Arial"/>
      </rPr>
      <t>PASSAGE:</t>
    </r>
    <r>
      <rPr>
        <sz val="11"/>
        <color theme="1"/>
        <rFont val="Arial"/>
      </rPr>
      <t xml:space="preserve"> Керемет күш-қуат пен өмірдің барлық ләззаттарына ашкөздікпен қарайтын тәбетке ие адамның бет-әлпеті.
</t>
    </r>
    <r>
      <rPr>
        <b/>
        <sz val="11"/>
        <color theme="1"/>
        <rFont val="Arial"/>
      </rPr>
      <t>TRANS:</t>
    </r>
    <r>
      <rPr>
        <sz val="11"/>
        <color theme="1"/>
        <rFont val="Arial"/>
      </rPr>
      <t xml:space="preserve"> Keremet küş-quat pen ömırdıñ barlyq läzzattaryna aşközdıkpen qaraityn täbetke ie adamnyñ bet-älpetı.
</t>
    </r>
    <r>
      <rPr>
        <b/>
        <sz val="11"/>
        <color theme="1"/>
        <rFont val="Arial"/>
      </rPr>
      <t>TRANSLATION:</t>
    </r>
    <r>
      <rPr>
        <sz val="11"/>
        <color theme="1"/>
        <rFont val="Arial"/>
      </rPr>
      <t xml:space="preserve"> The face of a man possessed of remarkable strength and energy, with an appetite that eyes all the pleasures of life with greed.</t>
    </r>
  </si>
  <si>
    <t>constitutive absence of shame — Rhett outside the social shame system; impossible to incur shame</t>
  </si>
  <si>
    <t>She was helpless before his calm smile and his drawling remarks, for she had never before met anyone who was so completely impregnable. Her weapons of scorn, coldness and abuse blunted in her hands, for nothing she could say would shame him. It had been her experience that the liar was the hottest to defend his veracity, the coward his courage, the ill-bred his gentlemanliness, and the cad his honor. But not Rhett. He admitted everything and laughed and dared her to say more.</t>
  </si>
  <si>
    <t>TERM: Smutit' (Смутить) — to disconcert; to embarrass (perfective) [ORD]
PASSAGE: Смутить его было невозможно.
TRANS: Smutit' ego bylo nevozmozhno.
TRANSLATION: It was impossible to disconcert him.</t>
  </si>
  <si>
    <r>
      <rPr>
        <b/>
        <sz val="11"/>
        <color theme="1"/>
        <rFont val="Arial"/>
      </rPr>
      <t>TERM:</t>
    </r>
    <r>
      <rPr>
        <sz val="11"/>
        <color theme="1"/>
        <rFont val="Arial"/>
      </rPr>
      <t xml:space="preserve"> ŪİALTU (ҰЯЛТУ) — to make (someone) feel ashamed; to disconcert; to embarrass (causative) [KED, SZK]
</t>
    </r>
    <r>
      <rPr>
        <b/>
        <sz val="11"/>
        <color theme="1"/>
        <rFont val="Arial"/>
      </rPr>
      <t>PASSAGE:</t>
    </r>
    <r>
      <rPr>
        <sz val="11"/>
        <color theme="1"/>
        <rFont val="Arial"/>
      </rPr>
      <t xml:space="preserve"> Оны </t>
    </r>
    <r>
      <rPr>
        <b/>
        <sz val="11"/>
        <color theme="1"/>
        <rFont val="Arial"/>
      </rPr>
      <t>ұялту</t>
    </r>
    <r>
      <rPr>
        <sz val="11"/>
        <color theme="1"/>
        <rFont val="Arial"/>
      </rPr>
      <t xml:space="preserve"> мүмкін емес еді.
</t>
    </r>
    <r>
      <rPr>
        <b/>
        <sz val="11"/>
        <color theme="1"/>
        <rFont val="Arial"/>
      </rPr>
      <t>TRANS:</t>
    </r>
    <r>
      <rPr>
        <sz val="11"/>
        <color theme="1"/>
        <rFont val="Arial"/>
      </rPr>
      <t xml:space="preserve"> Ony </t>
    </r>
    <r>
      <rPr>
        <b/>
        <sz val="11"/>
        <color theme="1"/>
        <rFont val="Arial"/>
      </rPr>
      <t>ūialtu</t>
    </r>
    <r>
      <rPr>
        <sz val="11"/>
        <color theme="1"/>
        <rFont val="Arial"/>
      </rPr>
      <t xml:space="preserve"> mümkın emes edı.
</t>
    </r>
    <r>
      <rPr>
        <b/>
        <sz val="11"/>
        <color theme="1"/>
        <rFont val="Arial"/>
      </rPr>
      <t>TRANSLATION:</t>
    </r>
    <r>
      <rPr>
        <sz val="11"/>
        <color theme="1"/>
        <rFont val="Arial"/>
      </rPr>
      <t xml:space="preserve"> It was impossible to make him feel </t>
    </r>
    <r>
      <rPr>
        <b/>
        <sz val="11"/>
        <color theme="1"/>
        <rFont val="Arial"/>
      </rPr>
      <t>ashamed</t>
    </r>
    <r>
      <rPr>
        <sz val="11"/>
        <color theme="1"/>
        <rFont val="Arial"/>
      </rPr>
      <t>.</t>
    </r>
  </si>
  <si>
    <t>He picked up his hat and bowed and she saw in the light of the lamp that his teeth were showing in a smile beneath his mustache. He was not ashamed, he was amused at what she had said, and he was watching her with alert interest.</t>
  </si>
  <si>
    <t>TERM: pristyzhen (пристыжен) — shamed; abashed (short form pass.) [ORD] (lemma: пристыдить)
PASSAGE: Он явно не был пристыжен
TRANS: On yavno ne byl pristyzhen
TRANSLATION: He clearly was not put to shame.</t>
  </si>
  <si>
    <r>
      <rPr>
        <b/>
        <sz val="11"/>
        <color theme="1"/>
        <rFont val="Arial"/>
      </rPr>
      <t>TERM:</t>
    </r>
    <r>
      <rPr>
        <sz val="11"/>
        <color theme="1"/>
        <rFont val="Arial"/>
      </rPr>
      <t xml:space="preserve"> ŪİALU (ҰЯЛУ) — to feel ashamed; to feel shy; to be embarrassed [KED, SZK]
</t>
    </r>
    <r>
      <rPr>
        <b/>
        <sz val="11"/>
        <color theme="1"/>
        <rFont val="Arial"/>
      </rPr>
      <t>PASSAGE:</t>
    </r>
    <r>
      <rPr>
        <sz val="11"/>
        <color theme="1"/>
        <rFont val="Arial"/>
      </rPr>
      <t xml:space="preserve"> Оның </t>
    </r>
    <r>
      <rPr>
        <b/>
        <sz val="11"/>
        <color theme="1"/>
        <rFont val="Arial"/>
      </rPr>
      <t>ұялмағаны</t>
    </r>
    <r>
      <rPr>
        <sz val="11"/>
        <color theme="1"/>
        <rFont val="Arial"/>
      </rPr>
      <t xml:space="preserve"> анық
</t>
    </r>
    <r>
      <rPr>
        <b/>
        <sz val="11"/>
        <color theme="1"/>
        <rFont val="Arial"/>
      </rPr>
      <t>TRANS:</t>
    </r>
    <r>
      <rPr>
        <sz val="11"/>
        <color theme="1"/>
        <rFont val="Arial"/>
      </rPr>
      <t xml:space="preserve"> Onyñ </t>
    </r>
    <r>
      <rPr>
        <b/>
        <sz val="11"/>
        <color theme="1"/>
        <rFont val="Arial"/>
      </rPr>
      <t>ūialmağany</t>
    </r>
    <r>
      <rPr>
        <sz val="11"/>
        <color theme="1"/>
        <rFont val="Arial"/>
      </rPr>
      <t xml:space="preserve"> anyq
</t>
    </r>
    <r>
      <rPr>
        <b/>
        <sz val="11"/>
        <color theme="1"/>
        <rFont val="Arial"/>
      </rPr>
      <t>TRANSLATION:</t>
    </r>
    <r>
      <rPr>
        <sz val="11"/>
        <color theme="1"/>
        <rFont val="Arial"/>
      </rPr>
      <t xml:space="preserve"> It was clear he was not </t>
    </r>
    <r>
      <rPr>
        <b/>
        <sz val="11"/>
        <color theme="1"/>
        <rFont val="Arial"/>
      </rPr>
      <t>embarrassed</t>
    </r>
    <r>
      <rPr>
        <sz val="11"/>
        <color theme="1"/>
        <rFont val="Arial"/>
      </rPr>
      <t>.</t>
    </r>
  </si>
  <si>
    <t>constitutive absence of shame — Rhett outside the social-moral shame system</t>
  </si>
  <si>
    <t>"Shall we let the bugles sing truce?" he smiled down at her, a wide flashing smile that had impudence in it but no shame for his own actions or condemnation for hers. In spite of herself, she had to smile too, but it was a wry, uncomfortable smile.</t>
  </si>
  <si>
    <t>TERM: ne oszhudat' (не осжудать) — not to condemn (typo for не осуждать in source) [ORD] (lemma: осуждать)
PASSAGE: но нисколько не осуждающая ее или себя.
TRANS: no niskol'ko ne osuzhdayushchaya ee ili sebya.
TRANSLATION: but [a smile] not at all condemning her or himself.</t>
  </si>
  <si>
    <r>
      <rPr>
        <b/>
        <sz val="11"/>
        <color theme="1"/>
        <rFont val="Arial"/>
      </rPr>
      <t>TERM:</t>
    </r>
    <r>
      <rPr>
        <sz val="11"/>
        <color theme="1"/>
        <rFont val="Arial"/>
      </rPr>
      <t xml:space="preserve"> KİNÄLAU (КІНӘЛАУ) — to blame; to find guilty [KED, SZK]
</t>
    </r>
    <r>
      <rPr>
        <b/>
        <sz val="11"/>
        <color theme="1"/>
        <rFont val="Arial"/>
      </rPr>
      <t>PASSAGE:</t>
    </r>
    <r>
      <rPr>
        <sz val="11"/>
        <color theme="1"/>
        <rFont val="Arial"/>
      </rPr>
      <t xml:space="preserve"> - Мүмкін татуласармыз? - Жоғарыдан төмен, бұған жадырай қарап тұрған оның күлкісі сондай шуақты соншалықты кеңдік пен аздаған дөрекілікті паш етіп тұрды, өзін де, мұны да ештеңеге </t>
    </r>
    <r>
      <rPr>
        <b/>
        <sz val="11"/>
        <color theme="1"/>
        <rFont val="Arial"/>
      </rPr>
      <t>кінәламайтындай</t>
    </r>
    <r>
      <rPr>
        <sz val="11"/>
        <color theme="1"/>
        <rFont val="Arial"/>
      </rPr>
      <t xml:space="preserve">.
</t>
    </r>
    <r>
      <rPr>
        <b/>
        <sz val="11"/>
        <color theme="1"/>
        <rFont val="Arial"/>
      </rPr>
      <t>TRANS:</t>
    </r>
    <r>
      <rPr>
        <sz val="11"/>
        <color theme="1"/>
        <rFont val="Arial"/>
      </rPr>
      <t xml:space="preserve"> - Mümkın tatulasarmyz? - Joğarydan tömen, būğan jadyrai qarap tūrğan onyñ külkısı sondai şuaqty sonşalyqty keñdık pen azdağan dörekılıktı paş etıp tūrdy, özın de, mūny da eşteñege </t>
    </r>
    <r>
      <rPr>
        <b/>
        <sz val="11"/>
        <color theme="1"/>
        <rFont val="Arial"/>
      </rPr>
      <t>kınälamaityndai</t>
    </r>
    <r>
      <rPr>
        <sz val="11"/>
        <color theme="1"/>
        <rFont val="Arial"/>
      </rPr>
      <t xml:space="preserve">.
</t>
    </r>
    <r>
      <rPr>
        <b/>
        <sz val="11"/>
        <color theme="1"/>
        <rFont val="Arial"/>
      </rPr>
      <t>TRANSLATION:</t>
    </r>
    <r>
      <rPr>
        <sz val="11"/>
        <color theme="1"/>
        <rFont val="Arial"/>
      </rPr>
      <t xml:space="preserve"> "Perhaps we will be reconciled?" — the smile he gave her, looking down at her with such warmth, such breadth and a slight roughness, as if blaming neither himself nor her in the slightest.</t>
    </r>
  </si>
  <si>
    <t>constitutive absence of shame — Rhett outside the moral shame system</t>
  </si>
  <si>
    <t>Dr. Meade fumed into silence and stroked her cheek and then exploded again. "And to be under obligation to that Butler man! Hanging would be easy compared to that. No, not even if I owe him my life, can I be polite to him. His insolence is monumental and his shamelessness about his profiteering makes me boil. To owe my life to a man who never went in the army—"</t>
  </si>
  <si>
    <t>TERM: besstydstva (бесстыдства) — shamelessness; impudence (gen.) [ORD] (lemma: бесстыдство)
PASSAGE: Его наглости нет предела, а от его бесстыдства — ведь он же самый настоящий спекулянт! — я весь киплю.
TRANS: Ego naglosti net predela, a ot ego besstydstva — ved' on zhe samyy nastoyashchiy spekulyant! — ya ves' kiplyu.
TRANSLATION: His insolence has no limit, and from his shamelessness — for he is the most outright speculator! — I am all boiling.</t>
  </si>
  <si>
    <r>
      <rPr>
        <b/>
        <sz val="11"/>
        <color theme="1"/>
        <rFont val="Arial"/>
      </rPr>
      <t>TERM:</t>
    </r>
    <r>
      <rPr>
        <sz val="11"/>
        <color theme="1"/>
        <rFont val="Arial"/>
      </rPr>
      <t xml:space="preserve"> ŪİATSYZDYQ (ҰЯТСЫЗДЫҚ) — shamelessness; impudence [KED, SZK]
</t>
    </r>
    <r>
      <rPr>
        <b/>
        <sz val="11"/>
        <color theme="1"/>
        <rFont val="Arial"/>
      </rPr>
      <t>PASSAGE:</t>
    </r>
    <r>
      <rPr>
        <sz val="11"/>
        <color theme="1"/>
        <rFont val="Arial"/>
      </rPr>
      <t xml:space="preserve"> Оның арсыздығының шегі жоқ, ал </t>
    </r>
    <r>
      <rPr>
        <b/>
        <sz val="11"/>
        <color theme="1"/>
        <rFont val="Arial"/>
      </rPr>
      <t>ұятсыздығы</t>
    </r>
    <r>
      <rPr>
        <sz val="11"/>
        <color theme="1"/>
        <rFont val="Arial"/>
      </rPr>
      <t xml:space="preserve"> сол, ол нағыз саудагер емес пе? Ойлаған сайын күйініп кетемін.
</t>
    </r>
    <r>
      <rPr>
        <b/>
        <sz val="11"/>
        <color theme="1"/>
        <rFont val="Arial"/>
      </rPr>
      <t>TRANS:</t>
    </r>
    <r>
      <rPr>
        <sz val="11"/>
        <color theme="1"/>
        <rFont val="Arial"/>
      </rPr>
      <t xml:space="preserve"> Onyñ arsyzdyğynyñ şegı joq, al </t>
    </r>
    <r>
      <rPr>
        <b/>
        <sz val="11"/>
        <color theme="1"/>
        <rFont val="Arial"/>
      </rPr>
      <t>ūiatsyzdyğy</t>
    </r>
    <r>
      <rPr>
        <sz val="11"/>
        <color theme="1"/>
        <rFont val="Arial"/>
      </rPr>
      <t xml:space="preserve"> sol, ol nağyz saudager emes pe? Oilağan saiyn küiınıp ketemın.
</t>
    </r>
    <r>
      <rPr>
        <b/>
        <sz val="11"/>
        <color theme="1"/>
        <rFont val="Arial"/>
      </rPr>
      <t>TRANSLATION:</t>
    </r>
    <r>
      <rPr>
        <sz val="11"/>
        <color theme="1"/>
        <rFont val="Arial"/>
      </rPr>
      <t xml:space="preserve"> His insolence has no limit, and his </t>
    </r>
    <r>
      <rPr>
        <b/>
        <sz val="11"/>
        <color theme="1"/>
        <rFont val="Arial"/>
      </rPr>
      <t>shamelessness</t>
    </r>
    <r>
      <rPr>
        <sz val="11"/>
        <color theme="1"/>
        <rFont val="Arial"/>
      </rPr>
      <t xml:space="preserve"> lies in this — is he not a real merchant? Every time I think of it I am incensed.</t>
    </r>
  </si>
  <si>
    <t>They even stood Rhett, a more difficult matter, for Rhett saw through them and they knew it. He had no hesitation about stripping them verbally, even under his own roof, always in a manner that left them no reply. Unashamed of how he came by his fortune, he pretended that they, too, were unashamed of their beginnings and he seldom missed an opportunity to remark upon matters which, by common consent, everyone felt were better left in polite obscurity.</t>
  </si>
  <si>
    <t>TERM: Ne stesnyayas' (Не стесняясь) — without being embarrassed (gerund neg.) [ORD] (lemma: стесняться)
PASSAGE: Не стесняясь того, какими путями он сам пришел к богатству, он делал вид,
TRANS: Ne stesnyayas' togo, kakimi putyami on sam prishel k bogatstvu, on delal vid,
TRANSLATION: Not embarrassed by the ways he himself had come to his wealth, he made out as though...</t>
  </si>
  <si>
    <r>
      <rPr>
        <b/>
        <sz val="11"/>
        <color theme="1"/>
        <rFont val="Arial"/>
      </rPr>
      <t>TERM:</t>
    </r>
    <r>
      <rPr>
        <sz val="11"/>
        <color theme="1"/>
        <rFont val="Arial"/>
      </rPr>
      <t xml:space="preserve"> ŪİALU (ҰЯЛУ) — to feel ashamed; to feel shy; to be embarrassed [KED, SZK]
</t>
    </r>
    <r>
      <rPr>
        <b/>
        <sz val="11"/>
        <color theme="1"/>
        <rFont val="Arial"/>
      </rPr>
      <t>PASSAGE:</t>
    </r>
    <r>
      <rPr>
        <sz val="11"/>
        <color theme="1"/>
        <rFont val="Arial"/>
      </rPr>
      <t xml:space="preserve"> Өзінің бұл байлыққа қол жеткізу жолын жасырмайтын да </t>
    </r>
    <r>
      <rPr>
        <b/>
        <sz val="11"/>
        <color theme="1"/>
        <rFont val="Arial"/>
      </rPr>
      <t>ұялмайтын</t>
    </r>
    <r>
      <rPr>
        <sz val="11"/>
        <color theme="1"/>
        <rFont val="Arial"/>
      </rPr>
      <t xml:space="preserve"> болған соң,
</t>
    </r>
    <r>
      <rPr>
        <b/>
        <sz val="11"/>
        <color theme="1"/>
        <rFont val="Arial"/>
      </rPr>
      <t>TRANS:</t>
    </r>
    <r>
      <rPr>
        <sz val="11"/>
        <color theme="1"/>
        <rFont val="Arial"/>
      </rPr>
      <t xml:space="preserve">  Özınıñ būl bailyqqa qol jetkızu jolyn jasyrmaityn da </t>
    </r>
    <r>
      <rPr>
        <b/>
        <sz val="11"/>
        <color theme="1"/>
        <rFont val="Arial"/>
      </rPr>
      <t>ūialmaityn</t>
    </r>
    <r>
      <rPr>
        <sz val="11"/>
        <color theme="1"/>
        <rFont val="Arial"/>
      </rPr>
      <t xml:space="preserve"> bolğan soñ,
</t>
    </r>
    <r>
      <rPr>
        <b/>
        <sz val="11"/>
        <color theme="1"/>
        <rFont val="Arial"/>
      </rPr>
      <t>TRANSLATION:</t>
    </r>
    <r>
      <rPr>
        <sz val="11"/>
        <color theme="1"/>
        <rFont val="Arial"/>
      </rPr>
      <t xml:space="preserve"> Since he neither hid nor was </t>
    </r>
    <r>
      <rPr>
        <b/>
        <sz val="11"/>
        <color theme="1"/>
        <rFont val="Arial"/>
      </rPr>
      <t>ashamed</t>
    </r>
    <r>
      <rPr>
        <sz val="11"/>
        <color theme="1"/>
        <rFont val="Arial"/>
      </rPr>
      <t xml:space="preserve"> of the path by which he had come to this wealth,...</t>
    </r>
  </si>
  <si>
    <t>constitutive absence of shame — Rhett outside the social shame system (social conventions)</t>
  </si>
  <si>
    <t>From the moment his daughter was born, Rhett's conduct was puzzling to all observers and he upset many settled notions about himself, notions which both the town and Scarlett were loath to surrender. Whoever would have thought that he of all people would be so shamelessly, so openly proud of fatherhood? Especially in view of the embarrassing circumstance that his first-born was a girl and not a boy.</t>
  </si>
  <si>
    <t>TERM: besstydno (бесстыдно) — shamelessly (adv.) [ORD]
PASSAGE: Ну, кто бы мог подумать, что из всех людей именно он будет столь открыто, столь бесстыдно гордиться своим отцовством?
TRANS: Nu, kto by mog podumat', chto iz vsekh lyudey imenno on budet stol' otkryto, stol' besstydno gordit'sya svoim ottsovstvom?
TRANSLATION: Now, who would have thought that of all people, it would be precisely he who would be so openly, so shamelessly proud of his fatherhood?</t>
  </si>
  <si>
    <r>
      <rPr>
        <b/>
        <sz val="11"/>
        <color theme="1"/>
        <rFont val="Arial"/>
      </rPr>
      <t>TERM:</t>
    </r>
    <r>
      <rPr>
        <sz val="11"/>
        <color theme="1"/>
        <rFont val="Arial"/>
      </rPr>
      <t xml:space="preserve"> QYMSYNU (ҚЫМСЫНУ) — to feel awkward; to feel embarrassed [KED, SZK]
</t>
    </r>
    <r>
      <rPr>
        <b/>
        <sz val="11"/>
        <color theme="1"/>
        <rFont val="Arial"/>
      </rPr>
      <t>PASSAGE:</t>
    </r>
    <r>
      <rPr>
        <sz val="11"/>
        <color theme="1"/>
        <rFont val="Arial"/>
      </rPr>
      <t xml:space="preserve"> Мына дүниедегі қаптаған адамдардың ішінен тап осы еркек өзін осыншама дардай етіп, елдің құлағын да әбден сарсытып, ашықтан-ашық, еш </t>
    </r>
    <r>
      <rPr>
        <b/>
        <sz val="11"/>
        <color theme="1"/>
        <rFont val="Arial"/>
      </rPr>
      <t>қымсынбастан</t>
    </r>
    <r>
      <rPr>
        <sz val="11"/>
        <color theme="1"/>
        <rFont val="Arial"/>
      </rPr>
      <t xml:space="preserve"> әке болғанына жатпай-тұрмай мақтанады деп кім ойлаған?
</t>
    </r>
    <r>
      <rPr>
        <b/>
        <sz val="11"/>
        <color theme="1"/>
        <rFont val="Arial"/>
      </rPr>
      <t>TRANS:</t>
    </r>
    <r>
      <rPr>
        <sz val="11"/>
        <color theme="1"/>
        <rFont val="Arial"/>
      </rPr>
      <t xml:space="preserve"> Myna düniedegı qaptağan adamdardyñ ışınen tap osy erkek özın osynşama dardai etıp, eldıñ qūlağyn da äbden sarsytyp, aşyqtan-aşyq, eş </t>
    </r>
    <r>
      <rPr>
        <b/>
        <sz val="11"/>
        <color theme="1"/>
        <rFont val="Arial"/>
      </rPr>
      <t>qymsynbastan</t>
    </r>
    <r>
      <rPr>
        <sz val="11"/>
        <color theme="1"/>
        <rFont val="Arial"/>
      </rPr>
      <t xml:space="preserve"> äke bolğanyna jatpai-tūrmai maqtanady dep kım oilağan?
</t>
    </r>
    <r>
      <rPr>
        <b/>
        <sz val="11"/>
        <color theme="1"/>
        <rFont val="Arial"/>
      </rPr>
      <t>TRANSLATION:</t>
    </r>
    <r>
      <rPr>
        <sz val="11"/>
        <color theme="1"/>
        <rFont val="Arial"/>
      </rPr>
      <t xml:space="preserve"> Of all the men in this world, who would have thought that this very man — making such a grand show of himself, wearing out everyone's ears — would, openly and without the slightest </t>
    </r>
    <r>
      <rPr>
        <b/>
        <sz val="11"/>
        <color theme="1"/>
        <rFont val="Arial"/>
      </rPr>
      <t>embarrassment</t>
    </r>
    <r>
      <rPr>
        <sz val="11"/>
        <color theme="1"/>
        <rFont val="Arial"/>
      </rPr>
      <t>, boast indefatigably of his fatherhood?</t>
    </r>
  </si>
  <si>
    <t>"Scarlett, understand this. If you and your bed still held any charms for me, no looks and no entreaties could keep me away. And I would have no sense of shame for anything I did, for I made a bargain with you—a bargain which I have kept and you are now breaking. Keep your chaste bed, my dear."</t>
  </si>
  <si>
    <t>TERM: stydno (стыдно) — it is shameful; (one) feels ashamed (impersonal predicate) [ORD]
PASSAGE: И мне не было бы стыдно, так как мы с тобой заключили сделку — сделку, которой я верен и которую ты сейчас нарушаешь.
TRANS: I mne ne bylo by stydno, tak kak my s toboy zaklyuchili sdelku — sdelku, kotoroy ya veren i kotoruyu ty seychas narushaesh'.
TRANSLATION: And I would not be ashamed, since you and I made a bargain — a bargain to which I have been faithful and which you are now breaking.</t>
  </si>
  <si>
    <r>
      <rPr>
        <b/>
        <sz val="11"/>
        <color theme="1"/>
        <rFont val="Arial"/>
      </rPr>
      <t>TERM:</t>
    </r>
    <r>
      <rPr>
        <sz val="11"/>
        <color theme="1"/>
        <rFont val="Arial"/>
      </rPr>
      <t xml:space="preserve"> ŪİALU (ҰЯЛУ) — to feel ashamed; to feel shy; to be embarrassed [KED, SZK]
</t>
    </r>
    <r>
      <rPr>
        <b/>
        <sz val="11"/>
        <color theme="1"/>
        <rFont val="Arial"/>
      </rPr>
      <t>PASSAGE:</t>
    </r>
    <r>
      <rPr>
        <sz val="11"/>
        <color theme="1"/>
        <rFont val="Arial"/>
      </rPr>
      <t xml:space="preserve"> Екеуміз жасасқан келісімге мен қиянат қылмай, осы уақытқа дейін адал боп келгендіктен, ештеңеден </t>
    </r>
    <r>
      <rPr>
        <b/>
        <sz val="11"/>
        <color theme="1"/>
        <rFont val="Arial"/>
      </rPr>
      <t>ұялар</t>
    </r>
    <r>
      <rPr>
        <sz val="11"/>
        <color theme="1"/>
        <rFont val="Arial"/>
      </rPr>
      <t xml:space="preserve"> жайым жоқ, бәрін бұзған өзіңнен көрмесең.
</t>
    </r>
    <r>
      <rPr>
        <b/>
        <sz val="11"/>
        <color theme="1"/>
        <rFont val="Arial"/>
      </rPr>
      <t>TRANS:</t>
    </r>
    <r>
      <rPr>
        <sz val="11"/>
        <color theme="1"/>
        <rFont val="Arial"/>
      </rPr>
      <t xml:space="preserve"> Ekeumız jasasqan kelısımge men qianat qylmai, osy uaqytqa deiın adal bop kelgendıkten, eşteñeden </t>
    </r>
    <r>
      <rPr>
        <b/>
        <sz val="11"/>
        <color theme="1"/>
        <rFont val="Arial"/>
      </rPr>
      <t>ūialar</t>
    </r>
    <r>
      <rPr>
        <sz val="11"/>
        <color theme="1"/>
        <rFont val="Arial"/>
      </rPr>
      <t xml:space="preserve"> jaiym joq, bärın būzğan özıñnen körmeseñ.
</t>
    </r>
    <r>
      <rPr>
        <b/>
        <sz val="11"/>
        <color theme="1"/>
        <rFont val="Arial"/>
      </rPr>
      <t>TRANSLATION:</t>
    </r>
    <r>
      <rPr>
        <sz val="11"/>
        <color theme="1"/>
        <rFont val="Arial"/>
      </rPr>
      <t xml:space="preserve"> Since I have been faithful all this while to the agreement we two made — not betraying it — I have nothing to be </t>
    </r>
    <r>
      <rPr>
        <b/>
        <sz val="11"/>
        <color theme="1"/>
        <rFont val="Arial"/>
      </rPr>
      <t>ashamed</t>
    </r>
    <r>
      <rPr>
        <sz val="11"/>
        <color theme="1"/>
        <rFont val="Arial"/>
      </rPr>
      <t xml:space="preserve"> of: for breaking it all you have only yourself to look to.</t>
    </r>
  </si>
  <si>
    <t>"Ashamed! Pooh! They're both cut out of the same piece of cloth. Where did you ever get such a silly notion?"</t>
  </si>
  <si>
    <t>TERM: Styditsya (Стыдится) — feels ashamed (3sg) [ORD] (lemma: стыдиться)
PASSAGE: Стыдится?! Ерунда!
TRANS: Styditsya?! Erunda!
TRANSLATION: Ashamed?! Nonsense!</t>
  </si>
  <si>
    <r>
      <rPr>
        <b/>
        <sz val="11"/>
        <color theme="1"/>
        <rFont val="Arial"/>
      </rPr>
      <t>TERM:</t>
    </r>
    <r>
      <rPr>
        <sz val="11"/>
        <color theme="1"/>
        <rFont val="Arial"/>
      </rPr>
      <t xml:space="preserve"> ŪİALU (ҰЯЛУ) — to feel ashamed; to feel shy; to be embarrassed [KED, SZK]
</t>
    </r>
    <r>
      <rPr>
        <b/>
        <sz val="11"/>
        <color theme="1"/>
        <rFont val="Arial"/>
      </rPr>
      <t>PASSAGE:</t>
    </r>
    <r>
      <rPr>
        <sz val="11"/>
        <color theme="1"/>
        <rFont val="Arial"/>
      </rPr>
      <t xml:space="preserve"> </t>
    </r>
    <r>
      <rPr>
        <b/>
        <sz val="11"/>
        <color theme="1"/>
        <rFont val="Arial"/>
      </rPr>
      <t>Ұялады</t>
    </r>
    <r>
      <rPr>
        <sz val="11"/>
        <color theme="1"/>
        <rFont val="Arial"/>
      </rPr>
      <t xml:space="preserve"> деймісіз? Қайдан?
</t>
    </r>
    <r>
      <rPr>
        <b/>
        <sz val="11"/>
        <color theme="1"/>
        <rFont val="Arial"/>
      </rPr>
      <t>TRANS:</t>
    </r>
    <r>
      <rPr>
        <sz val="11"/>
        <color theme="1"/>
        <rFont val="Arial"/>
      </rPr>
      <t xml:space="preserve"> </t>
    </r>
    <r>
      <rPr>
        <b/>
        <sz val="11"/>
        <color theme="1"/>
        <rFont val="Arial"/>
      </rPr>
      <t>Ūialady</t>
    </r>
    <r>
      <rPr>
        <sz val="11"/>
        <color theme="1"/>
        <rFont val="Arial"/>
      </rPr>
      <t xml:space="preserve"> deimısız? Qaidan?
</t>
    </r>
    <r>
      <rPr>
        <b/>
        <sz val="11"/>
        <color theme="1"/>
        <rFont val="Arial"/>
      </rPr>
      <t>TRANSLATION:</t>
    </r>
    <r>
      <rPr>
        <sz val="11"/>
        <color theme="1"/>
        <rFont val="Arial"/>
      </rPr>
      <t xml:space="preserve"> You say he is </t>
    </r>
    <r>
      <rPr>
        <b/>
        <sz val="11"/>
        <color theme="1"/>
        <rFont val="Arial"/>
      </rPr>
      <t>ashamed</t>
    </r>
    <r>
      <rPr>
        <sz val="11"/>
        <color theme="1"/>
        <rFont val="Arial"/>
      </rPr>
      <t>? From where?</t>
    </r>
  </si>
  <si>
    <t>absence of social shame from moral integrity — Melanie</t>
  </si>
  <si>
    <t>"But it's true," answered Melanie and she began to cry softly. "And I'm not ashamed that he thinks that way. He thinks the war is all wrong but he's willing to fight and die anyway, and that takes lots more courage than fighting for something you think is right."</t>
  </si>
  <si>
    <t>TERM: ne styzhus' (не стыжусь) — I am not ashamed (1sg neg.) [ORD] (lemma: стыдиться)
PASSAGE: И я нисколько не стыжусь того, что он так думает.
TRANS: I ya niskol'ko ne styzhus' togo, chto on tak dumaet.
TRANSLATION: And I am not in the least ashamed that he thinks so.</t>
  </si>
  <si>
    <r>
      <rPr>
        <b/>
        <sz val="11"/>
        <color theme="1"/>
        <rFont val="Arial"/>
      </rPr>
      <t>TERM:</t>
    </r>
    <r>
      <rPr>
        <sz val="11"/>
        <color theme="1"/>
        <rFont val="Arial"/>
      </rPr>
      <t xml:space="preserve"> ŪİALU (ҰЯЛУ) — to feel ashamed; to feel shy; to be embarrassed [KED, SZK]
</t>
    </r>
    <r>
      <rPr>
        <b/>
        <sz val="11"/>
        <color theme="1"/>
        <rFont val="Arial"/>
      </rPr>
      <t>PASSAGE:</t>
    </r>
    <r>
      <rPr>
        <sz val="11"/>
        <color theme="1"/>
        <rFont val="Arial"/>
      </rPr>
      <t xml:space="preserve"> Ал мен оның солай ойлайтыны үшін еш </t>
    </r>
    <r>
      <rPr>
        <b/>
        <sz val="11"/>
        <color theme="1"/>
        <rFont val="Arial"/>
      </rPr>
      <t>ұялмаймын</t>
    </r>
    <r>
      <rPr>
        <sz val="11"/>
        <color theme="1"/>
        <rFont val="Arial"/>
      </rPr>
      <t xml:space="preserve">.
</t>
    </r>
    <r>
      <rPr>
        <b/>
        <sz val="11"/>
        <color theme="1"/>
        <rFont val="Arial"/>
      </rPr>
      <t>TRANS:</t>
    </r>
    <r>
      <rPr>
        <sz val="11"/>
        <color theme="1"/>
        <rFont val="Arial"/>
      </rPr>
      <t xml:space="preserve"> Al men onyñ solai oilaityny üşın eş </t>
    </r>
    <r>
      <rPr>
        <b/>
        <sz val="11"/>
        <color theme="1"/>
        <rFont val="Arial"/>
      </rPr>
      <t>ūialmaimyn</t>
    </r>
    <r>
      <rPr>
        <sz val="11"/>
        <color theme="1"/>
        <rFont val="Arial"/>
      </rPr>
      <t xml:space="preserve">.
</t>
    </r>
    <r>
      <rPr>
        <b/>
        <sz val="11"/>
        <color theme="1"/>
        <rFont val="Arial"/>
      </rPr>
      <t>TRANSLATION:</t>
    </r>
    <r>
      <rPr>
        <sz val="11"/>
        <color theme="1"/>
        <rFont val="Arial"/>
      </rPr>
      <t xml:space="preserve"> And I am not at all </t>
    </r>
    <r>
      <rPr>
        <b/>
        <sz val="11"/>
        <color theme="1"/>
        <rFont val="Arial"/>
      </rPr>
      <t>ashamed</t>
    </r>
    <r>
      <rPr>
        <sz val="11"/>
        <color theme="1"/>
        <rFont val="Arial"/>
      </rPr>
      <t xml:space="preserve"> that he thinks so.</t>
    </r>
  </si>
  <si>
    <t>absence of social shame from moral integrity and true love — Melanie</t>
  </si>
  <si>
    <t>If only she had the right to sit there beside him, her arm through his! If only she could pat his sleeve every few minutes to make sure he was really there, hold his hand and use his handkerchief to wipe away her tears of joy. For Melanie was doing all these things, unashamedly. Too happy to be shy and reserved, she hung on her husband's arm and adored him openly with her eyes, with her smiles, her tears.</t>
  </si>
  <si>
    <t>TERM: ne stydyas' (не стыдясь) — without being ashamed (gerund) [ORD] (lemma: стыдиться)
PASSAGE: делать все то, что Мелани, не стыдясь, проделывала при всех.
TRANS: delat' vse to, chto Melani, ne stydyas', prodelyvala pri vsekh.
TRANSLATION: do everything that Melanie did in front of everyone without being ashamed.</t>
  </si>
  <si>
    <r>
      <rPr>
        <b/>
        <sz val="11"/>
        <color theme="1"/>
        <rFont val="Arial"/>
      </rPr>
      <t>TERM:</t>
    </r>
    <r>
      <rPr>
        <sz val="11"/>
        <color theme="1"/>
        <rFont val="Arial"/>
      </rPr>
      <t xml:space="preserve"> QYSYLU (ҚЫСЫЛУ) — to feel embarrassed; to feel constrained; to be in difficulty [KED, SZK]
</t>
    </r>
    <r>
      <rPr>
        <b/>
        <sz val="11"/>
        <color theme="1"/>
        <rFont val="Arial"/>
      </rPr>
      <t>PASSAGE:</t>
    </r>
    <r>
      <rPr>
        <sz val="11"/>
        <color theme="1"/>
        <rFont val="Arial"/>
      </rPr>
      <t xml:space="preserve"> Мелани сияқты ешкімнен </t>
    </r>
    <r>
      <rPr>
        <b/>
        <sz val="11"/>
        <color theme="1"/>
        <rFont val="Arial"/>
      </rPr>
      <t>қысылмай</t>
    </r>
    <r>
      <rPr>
        <sz val="11"/>
        <color theme="1"/>
        <rFont val="Arial"/>
      </rPr>
      <t xml:space="preserve">, бәрінің көзінше жасар еді.
</t>
    </r>
    <r>
      <rPr>
        <b/>
        <sz val="11"/>
        <color theme="1"/>
        <rFont val="Arial"/>
      </rPr>
      <t>TRANS:</t>
    </r>
    <r>
      <rPr>
        <sz val="11"/>
        <color theme="1"/>
        <rFont val="Arial"/>
      </rPr>
      <t xml:space="preserve"> Melani siaqty eşkımnen </t>
    </r>
    <r>
      <rPr>
        <b/>
        <sz val="11"/>
        <color theme="1"/>
        <rFont val="Arial"/>
      </rPr>
      <t>qysylmai</t>
    </r>
    <r>
      <rPr>
        <sz val="11"/>
        <color theme="1"/>
        <rFont val="Arial"/>
      </rPr>
      <t xml:space="preserve">, bärınıñ közınşe jasar edı.
</t>
    </r>
    <r>
      <rPr>
        <b/>
        <sz val="11"/>
        <color theme="1"/>
        <rFont val="Arial"/>
      </rPr>
      <t>TRANSLATION:</t>
    </r>
    <r>
      <rPr>
        <sz val="11"/>
        <color theme="1"/>
        <rFont val="Arial"/>
      </rPr>
      <t xml:space="preserve"> She would do, like Melanie, in front of everyone's eyes, without being </t>
    </r>
    <r>
      <rPr>
        <b/>
        <sz val="11"/>
        <color theme="1"/>
        <rFont val="Arial"/>
      </rPr>
      <t>embarrassed</t>
    </r>
    <r>
      <rPr>
        <sz val="11"/>
        <color theme="1"/>
        <rFont val="Arial"/>
      </rPr>
      <t xml:space="preserve"> by anyone.</t>
    </r>
  </si>
  <si>
    <t>Shame — Performed / ironic shame</t>
  </si>
  <si>
    <t>shame PERFORMED, SUPPOSED or cited ironically</t>
  </si>
  <si>
    <t>"Why?" he laughed jauntily. "Because, perhaps, of the betraying sentimentality that lurks in all of us Southerners. Perhaps— perhaps because I am ashamed. Who knows?"</t>
  </si>
  <si>
    <t>TERM: stydno (стыдно) — it is shameful; (one) feels ashamed (impersonal predicate) [ORD]
PASSAGE: А возможно… возможно, потому, что мне стыдно.
TRANS: A vozmozhno… vozmozhno, potomu, chto mne stydno.
TRANSLATION: And perhaps... perhaps because I am ashamed.</t>
  </si>
  <si>
    <r>
      <rPr>
        <b/>
        <sz val="11"/>
        <color theme="1"/>
        <rFont val="Arial"/>
      </rPr>
      <t>TERM:</t>
    </r>
    <r>
      <rPr>
        <sz val="11"/>
        <color theme="1"/>
        <rFont val="Arial"/>
      </rPr>
      <t xml:space="preserve"> ŪİALU (ҰЯЛУ) — to feel ashamed; to feel shy; to be embarrassed [KED, SZK]
</t>
    </r>
    <r>
      <rPr>
        <b/>
        <sz val="11"/>
        <color theme="1"/>
        <rFont val="Arial"/>
      </rPr>
      <t>PASSAGE:</t>
    </r>
    <r>
      <rPr>
        <sz val="11"/>
        <color theme="1"/>
        <rFont val="Arial"/>
      </rPr>
      <t xml:space="preserve"> Мүмкін... </t>
    </r>
    <r>
      <rPr>
        <b/>
        <sz val="11"/>
        <color theme="1"/>
        <rFont val="Arial"/>
      </rPr>
      <t>ұялғанымнан</t>
    </r>
    <r>
      <rPr>
        <sz val="11"/>
        <color theme="1"/>
        <rFont val="Arial"/>
      </rPr>
      <t xml:space="preserve"> шығар
</t>
    </r>
    <r>
      <rPr>
        <b/>
        <sz val="11"/>
        <color theme="1"/>
        <rFont val="Arial"/>
      </rPr>
      <t>TRANS:</t>
    </r>
    <r>
      <rPr>
        <sz val="11"/>
        <color theme="1"/>
        <rFont val="Arial"/>
      </rPr>
      <t xml:space="preserve"> Mümkın... </t>
    </r>
    <r>
      <rPr>
        <b/>
        <sz val="11"/>
        <color theme="1"/>
        <rFont val="Arial"/>
      </rPr>
      <t>ūialğanymnan</t>
    </r>
    <r>
      <rPr>
        <sz val="11"/>
        <color theme="1"/>
        <rFont val="Arial"/>
      </rPr>
      <t xml:space="preserve"> şyğar
</t>
    </r>
    <r>
      <rPr>
        <b/>
        <sz val="11"/>
        <color theme="1"/>
        <rFont val="Arial"/>
      </rPr>
      <t>TRANSLATION:</t>
    </r>
    <r>
      <rPr>
        <sz val="11"/>
        <color theme="1"/>
        <rFont val="Arial"/>
      </rPr>
      <t xml:space="preserve"> Perhaps... it must be because I am </t>
    </r>
    <r>
      <rPr>
        <b/>
        <sz val="11"/>
        <color theme="1"/>
        <rFont val="Arial"/>
      </rPr>
      <t>ashamed</t>
    </r>
    <r>
      <rPr>
        <sz val="11"/>
        <color theme="1"/>
        <rFont val="Arial"/>
      </rPr>
      <t>.</t>
    </r>
  </si>
  <si>
    <t>shame PERFORMED or cited ironically — not genuinely felt</t>
  </si>
  <si>
    <t>"Scarlett, spare me! I am always overcome with shame when I think about it."</t>
  </si>
  <si>
    <t>TERM: sgorat' so styda! (сгорать со стыда!) = burn with shame
PASSAGE: Я от стыда сгораю, думая об этом.
TRANS: Ya ot styda sgorayu, dumaya ob etom.
TRANSLATION: I burn with shame whenever I think about it.</t>
  </si>
  <si>
    <r>
      <rPr>
        <b/>
        <sz val="11"/>
        <color theme="1"/>
        <rFont val="Arial"/>
      </rPr>
      <t>TERM:</t>
    </r>
    <r>
      <rPr>
        <sz val="11"/>
        <color theme="1"/>
        <rFont val="Arial"/>
      </rPr>
      <t xml:space="preserve"> ŪİAT (ҰЯТ) — shame; disgrace; sense of decency (also: that which is improper) [KED, SZK]
</t>
    </r>
    <r>
      <rPr>
        <b/>
        <sz val="11"/>
        <color theme="1"/>
        <rFont val="Arial"/>
      </rPr>
      <t>PASSAGE:</t>
    </r>
    <r>
      <rPr>
        <sz val="11"/>
        <color theme="1"/>
        <rFont val="Arial"/>
      </rPr>
      <t xml:space="preserve"> Соны ойласам, </t>
    </r>
    <r>
      <rPr>
        <b/>
        <sz val="11"/>
        <color theme="1"/>
        <rFont val="Arial"/>
      </rPr>
      <t>ұяттан</t>
    </r>
    <r>
      <rPr>
        <sz val="11"/>
        <color theme="1"/>
        <rFont val="Arial"/>
      </rPr>
      <t xml:space="preserve"> өліп кете жаздаймын.
</t>
    </r>
    <r>
      <rPr>
        <b/>
        <sz val="11"/>
        <color theme="1"/>
        <rFont val="Arial"/>
      </rPr>
      <t>TRANS:</t>
    </r>
    <r>
      <rPr>
        <sz val="11"/>
        <color theme="1"/>
        <rFont val="Arial"/>
      </rPr>
      <t xml:space="preserve"> Sony oilasam, </t>
    </r>
    <r>
      <rPr>
        <b/>
        <sz val="11"/>
        <color theme="1"/>
        <rFont val="Arial"/>
      </rPr>
      <t>ūiattan</t>
    </r>
    <r>
      <rPr>
        <sz val="11"/>
        <color theme="1"/>
        <rFont val="Arial"/>
      </rPr>
      <t xml:space="preserve"> ölıp kete jazdaimyn.
</t>
    </r>
    <r>
      <rPr>
        <b/>
        <sz val="11"/>
        <color theme="1"/>
        <rFont val="Arial"/>
      </rPr>
      <t>TRANSLATION:</t>
    </r>
    <r>
      <rPr>
        <sz val="11"/>
        <color theme="1"/>
        <rFont val="Arial"/>
      </rPr>
      <t xml:space="preserve"> When I think of it, I almost die of </t>
    </r>
    <r>
      <rPr>
        <b/>
        <sz val="11"/>
        <color theme="1"/>
        <rFont val="Arial"/>
      </rPr>
      <t>shame</t>
    </r>
    <r>
      <rPr>
        <sz val="11"/>
        <color theme="1"/>
        <rFont val="Arial"/>
      </rPr>
      <t>.</t>
    </r>
  </si>
  <si>
    <t>Fake shame about serving in the army – for complying with societal ideas of honor</t>
  </si>
  <si>
    <t>Then, there was that Butler man. His frequent calls at Aunt Pitty's house were the greatest humiliation of all. Frank had always disliked him, even when he had done business with him before the war. He often cursed the day he had brought Rhett to Twelve Oaks and introduced him to his friends. He despised him for the cold-blooded way he had acted in his speculations during the war and for the fact that he had not been in the army. Rhett's eight months' service with the Confederacy was known only to Scarlett, for Rhett had begged her, with mock fear, not to reveal his "shame" to anyone. Most of all Frank had contempt for him for holding on to the Confederate gold, when honest men like Admiral Bulloch and others confronted with the same situation had turned back thousands to the Federal treasury. But whether Frank liked it or not, Rhett was a frequent caller.</t>
  </si>
  <si>
    <t>TERM: pozore (позоре) — disgrace (prep.) [ORD] (lemma: позор)
PASSAGE: ибо Ретт с наигранным ужасом умолял ее никому не говорить об этом его «позоре».
TRANS: ibo Rett s naigrannym uzhasom umolyal ee nikomu ne govorit' ob etom ego «pozore».
TRANSLATION: for Rhett with feigned horror had implored her not to tell anyone about this "disgrace" of his.</t>
  </si>
  <si>
    <r>
      <rPr>
        <b/>
        <sz val="11"/>
        <color theme="1"/>
        <rFont val="Arial"/>
      </rPr>
      <t>TERM:</t>
    </r>
    <r>
      <rPr>
        <sz val="11"/>
        <color theme="1"/>
        <rFont val="Arial"/>
      </rPr>
      <t xml:space="preserve"> ŪİATTY (ҰЯТТЫ) — shameful; indecent (adj.) [KED, SZK]
</t>
    </r>
    <r>
      <rPr>
        <b/>
        <sz val="11"/>
        <color theme="1"/>
        <rFont val="Arial"/>
      </rPr>
      <t>PASSAGE:</t>
    </r>
    <r>
      <rPr>
        <sz val="11"/>
        <color theme="1"/>
        <rFont val="Arial"/>
      </rPr>
      <t xml:space="preserve"> Реттің сегіз ай бойы конфедераттармен бірге болғанын жалғыз Скарлетт қана білетін, өйткені ол "</t>
    </r>
    <r>
      <rPr>
        <b/>
        <sz val="11"/>
        <color theme="1"/>
        <rFont val="Arial"/>
      </rPr>
      <t>ұятты</t>
    </r>
    <r>
      <rPr>
        <sz val="11"/>
        <color theme="1"/>
        <rFont val="Arial"/>
      </rPr>
      <t xml:space="preserve"> іс" туралы ешкімге тіс жармауын жалған қорқақтың кейпіне еніп тұрып сұраған-ды.
</t>
    </r>
    <r>
      <rPr>
        <b/>
        <sz val="11"/>
        <color theme="1"/>
        <rFont val="Arial"/>
      </rPr>
      <t>TRANS:</t>
    </r>
    <r>
      <rPr>
        <sz val="11"/>
        <color theme="1"/>
        <rFont val="Arial"/>
      </rPr>
      <t xml:space="preserve"> Rettıñ segız ai boiy konfederattarmen bırge bolğanyn jalğyz Skarlett qana bıletın, öitkenı ol "</t>
    </r>
    <r>
      <rPr>
        <b/>
        <sz val="11"/>
        <color theme="1"/>
        <rFont val="Arial"/>
      </rPr>
      <t>ūiatty</t>
    </r>
    <r>
      <rPr>
        <sz val="11"/>
        <color theme="1"/>
        <rFont val="Arial"/>
      </rPr>
      <t xml:space="preserve"> ıs" turaly eşkımge tıs jarmauyn jalğan qorqaqtyñ keipıne enıp tūryp sūrağan-dy.
</t>
    </r>
    <r>
      <rPr>
        <b/>
        <sz val="11"/>
        <color theme="1"/>
        <rFont val="Arial"/>
      </rPr>
      <t>TRANSLATION:</t>
    </r>
    <r>
      <rPr>
        <sz val="11"/>
        <color theme="1"/>
        <rFont val="Arial"/>
      </rPr>
      <t xml:space="preserve"> Only Scarlett knew that Rhett had been with the Confederates for eight months, because he had asked her, donning the mask of feigned cowardice, not to breathe a word about that "</t>
    </r>
    <r>
      <rPr>
        <b/>
        <sz val="11"/>
        <color theme="1"/>
        <rFont val="Arial"/>
      </rPr>
      <t>shameful</t>
    </r>
    <r>
      <rPr>
        <sz val="11"/>
        <color theme="1"/>
        <rFont val="Arial"/>
      </rPr>
      <t xml:space="preserve"> business".</t>
    </r>
  </si>
  <si>
    <t>Rhett pretends to feel moral shame at Yankee association</t>
  </si>
  <si>
    <t>I know what I'm talking about, for I'm hand in glove with the Yankees. Shameful to state, they treat me as one of them and I hear them talk openly.</t>
  </si>
  <si>
    <t>TERM: Stydno (Стыдно) — it is shameful; (one) feels ashamed (impersonal predicate) [ORD]
PASSAGE: Стыдно признаться, но они смотрят на меня, как на своего, и открыто говорят при мне обо всем.
TRANS: Stydno priznat'sya, no oni smotryat na menya, kak na svoego, i otkryto govoryat pri mne obo vsem.
TRANSLATION: It's shameful to admit, but they look at me as one of their own and openly talk about everything in my presence.</t>
  </si>
  <si>
    <r>
      <rPr>
        <b/>
        <sz val="11"/>
        <color theme="1"/>
        <rFont val="Arial"/>
      </rPr>
      <t>TERM:</t>
    </r>
    <r>
      <rPr>
        <sz val="11"/>
        <color theme="1"/>
        <rFont val="Arial"/>
      </rPr>
      <t xml:space="preserve"> ŪİAT (ҰЯТ) — shame; disgrace; sense of decency (also: that which is improper) [KED, SZK]
</t>
    </r>
    <r>
      <rPr>
        <b/>
        <sz val="11"/>
        <color theme="1"/>
        <rFont val="Arial"/>
      </rPr>
      <t>PASSAGE:</t>
    </r>
    <r>
      <rPr>
        <sz val="11"/>
        <color theme="1"/>
        <rFont val="Arial"/>
      </rPr>
      <t xml:space="preserve"> Мұны айтуым </t>
    </r>
    <r>
      <rPr>
        <b/>
        <sz val="11"/>
        <color theme="1"/>
        <rFont val="Arial"/>
      </rPr>
      <t>ұят</t>
    </r>
    <r>
      <rPr>
        <sz val="11"/>
        <color theme="1"/>
        <rFont val="Arial"/>
      </rPr>
      <t xml:space="preserve"> шығар, бірақ ол байғұстар мені өз адамдарындай көріп, мен бар жерде барлығын ашық жоспарлай береді.
</t>
    </r>
    <r>
      <rPr>
        <b/>
        <sz val="11"/>
        <color theme="1"/>
        <rFont val="Arial"/>
      </rPr>
      <t>TRANS:</t>
    </r>
    <r>
      <rPr>
        <sz val="11"/>
        <color theme="1"/>
        <rFont val="Arial"/>
      </rPr>
      <t xml:space="preserve"> Mūny aituym </t>
    </r>
    <r>
      <rPr>
        <b/>
        <sz val="11"/>
        <color theme="1"/>
        <rFont val="Arial"/>
      </rPr>
      <t>ūiat</t>
    </r>
    <r>
      <rPr>
        <sz val="11"/>
        <color theme="1"/>
        <rFont val="Arial"/>
      </rPr>
      <t xml:space="preserve"> şyğar, bıraq ol baiğūstar menı öz adamdaryndai körıp, men bar jerde barlyğyn aşyq josparlai beredı.
</t>
    </r>
    <r>
      <rPr>
        <b/>
        <sz val="11"/>
        <color theme="1"/>
        <rFont val="Arial"/>
      </rPr>
      <t>TRANSLATION:</t>
    </r>
    <r>
      <rPr>
        <sz val="11"/>
        <color theme="1"/>
        <rFont val="Arial"/>
      </rPr>
      <t xml:space="preserve"> Saying this may be </t>
    </r>
    <r>
      <rPr>
        <b/>
        <sz val="11"/>
        <color theme="1"/>
        <rFont val="Arial"/>
      </rPr>
      <t>shameful</t>
    </r>
    <r>
      <rPr>
        <sz val="11"/>
        <color theme="1"/>
        <rFont val="Arial"/>
      </rPr>
      <t>, but those poor souls regard me as one of their own people and openly plan everything when I am there.</t>
    </r>
  </si>
  <si>
    <t>"I thought you were ashamed of your war record," she said. "Didn't you tell me to keep it quiet?"</t>
  </si>
  <si>
    <t>TERM: stydites' (стыдитесь) — feel ashamed (imperative pl./formal sg.) [ORD] (lemma: стыдиться)
PASSAGE: А я-то полагала, что вы стыдитесь своего участия в войне,
TRANS: A ya-to polagala, chto vy stydites' svoego uchastiya v voyne,
TRANSLATION: And I had assumed you were ashamed of your participation in the war,</t>
  </si>
  <si>
    <r>
      <rPr>
        <b/>
        <sz val="11"/>
        <color theme="1"/>
        <rFont val="Arial"/>
      </rPr>
      <t>TERM:</t>
    </r>
    <r>
      <rPr>
        <sz val="11"/>
        <color theme="1"/>
        <rFont val="Arial"/>
      </rPr>
      <t xml:space="preserve"> ŪİALU (ҰЯЛУ) — to feel ashamed; to feel shy; to be embarrassed [KED, SZK]
</t>
    </r>
    <r>
      <rPr>
        <b/>
        <sz val="11"/>
        <color theme="1"/>
        <rFont val="Arial"/>
      </rPr>
      <t>PASSAGE:</t>
    </r>
    <r>
      <rPr>
        <sz val="11"/>
        <color theme="1"/>
        <rFont val="Arial"/>
      </rPr>
      <t xml:space="preserve"> Мен сізді соғысқа қатысқаныңызға </t>
    </r>
    <r>
      <rPr>
        <b/>
        <sz val="11"/>
        <color theme="1"/>
        <rFont val="Arial"/>
      </rPr>
      <t>ұялып</t>
    </r>
    <r>
      <rPr>
        <sz val="11"/>
        <color theme="1"/>
        <rFont val="Arial"/>
      </rPr>
      <t xml:space="preserve"> жүр екен десем.
</t>
    </r>
    <r>
      <rPr>
        <b/>
        <sz val="11"/>
        <color theme="1"/>
        <rFont val="Arial"/>
      </rPr>
      <t>TRANS:</t>
    </r>
    <r>
      <rPr>
        <sz val="11"/>
        <color theme="1"/>
        <rFont val="Arial"/>
      </rPr>
      <t xml:space="preserve"> Men sızdı soğysqa qatysqanyñyzğa </t>
    </r>
    <r>
      <rPr>
        <b/>
        <sz val="11"/>
        <color theme="1"/>
        <rFont val="Arial"/>
      </rPr>
      <t>ūialyp</t>
    </r>
    <r>
      <rPr>
        <sz val="11"/>
        <color theme="1"/>
        <rFont val="Arial"/>
      </rPr>
      <t xml:space="preserve"> jür eken desem.
</t>
    </r>
    <r>
      <rPr>
        <b/>
        <sz val="11"/>
        <color theme="1"/>
        <rFont val="Arial"/>
      </rPr>
      <t>TRANSLATION:</t>
    </r>
    <r>
      <rPr>
        <sz val="11"/>
        <color theme="1"/>
        <rFont val="Arial"/>
      </rPr>
      <t xml:space="preserve"> Whereas I had thought you were </t>
    </r>
    <r>
      <rPr>
        <b/>
        <sz val="11"/>
        <color theme="1"/>
        <rFont val="Arial"/>
      </rPr>
      <t>ashamed</t>
    </r>
    <r>
      <rPr>
        <sz val="11"/>
        <color theme="1"/>
        <rFont val="Arial"/>
      </rPr>
      <t xml:space="preserve"> of having taken part in the war.</t>
    </r>
  </si>
  <si>
    <t>"Well!" said Mrs. Elsing, confused. If he had been in the army then she was wrong. She had made many sharp remarks about his cowardice and the memory of them made her feel guilty. "Well! And why haven't you ever told anybody about your service? You act as though you were ashamed of it."</t>
  </si>
  <si>
    <t>TERM: stesnyaetes' (стесняетесь) — (you) are shy; feel awkward (2pl.) [ORD] (lemma: стесняться)
PASSAGE: Можно подумать, что вы стесняетесь этого
TRANS: Mozhno podumat', chto vy stesnyaetes' etogo
TRANSLATION: One might think you were embarrassed by it</t>
  </si>
  <si>
    <r>
      <rPr>
        <b/>
        <sz val="11"/>
        <color theme="1"/>
        <rFont val="Arial"/>
      </rPr>
      <t>TERM:</t>
    </r>
    <r>
      <rPr>
        <sz val="11"/>
        <color theme="1"/>
        <rFont val="Arial"/>
      </rPr>
      <t xml:space="preserve"> ŪİALU (ҰЯЛУ) — to feel ashamed; to feel shy; to be embarrassed [KED, SZK]
</t>
    </r>
    <r>
      <rPr>
        <b/>
        <sz val="11"/>
        <color theme="1"/>
        <rFont val="Arial"/>
      </rPr>
      <t>PASSAGE:</t>
    </r>
    <r>
      <rPr>
        <sz val="11"/>
        <color theme="1"/>
        <rFont val="Arial"/>
      </rPr>
      <t xml:space="preserve"> Тіпті сізді сол қызметі үшін ұялады деуге де болатындай.
</t>
    </r>
    <r>
      <rPr>
        <b/>
        <sz val="11"/>
        <color theme="1"/>
        <rFont val="Arial"/>
      </rPr>
      <t>TRANS:</t>
    </r>
    <r>
      <rPr>
        <sz val="11"/>
        <color theme="1"/>
        <rFont val="Arial"/>
      </rPr>
      <t xml:space="preserve"> Tıptı sızdı sol qyzmetı üşın </t>
    </r>
    <r>
      <rPr>
        <b/>
        <sz val="11"/>
        <color theme="1"/>
        <rFont val="Arial"/>
      </rPr>
      <t>ūialady</t>
    </r>
    <r>
      <rPr>
        <sz val="11"/>
        <color theme="1"/>
        <rFont val="Arial"/>
      </rPr>
      <t xml:space="preserve"> deuge de bolatyndai.
</t>
    </r>
    <r>
      <rPr>
        <b/>
        <sz val="11"/>
        <color theme="1"/>
        <rFont val="Arial"/>
      </rPr>
      <t>TRANSLATION:</t>
    </r>
    <r>
      <rPr>
        <sz val="11"/>
        <color theme="1"/>
        <rFont val="Arial"/>
      </rPr>
      <t xml:space="preserve"> One could even say you were </t>
    </r>
    <r>
      <rPr>
        <b/>
        <sz val="11"/>
        <color theme="1"/>
        <rFont val="Arial"/>
      </rPr>
      <t>ashamed</t>
    </r>
    <r>
      <rPr>
        <sz val="11"/>
        <color theme="1"/>
        <rFont val="Arial"/>
      </rPr>
      <t xml:space="preserve"> of that service.</t>
    </r>
  </si>
  <si>
    <t>shame PERFORMED — not genuinely felt</t>
  </si>
  <si>
    <t>"I was ashamed to speak of it, in the light of—of some of my former actions."</t>
  </si>
  <si>
    <t>TERM: stydno (стыдно) — it is shameful; (one) feels ashamed (impersonal predicate) [ORD]
PASSAGE: Как-то стыдно мне было говорить об этом в свете… в свете некоторых моих тогдашних поступков.
TRANS: Kak-to stydno mne bylo govorit' ob etom v svete… v svete nekotorykh moikh togdashnikh postupkov.
TRANSLATION: It was somehow shameful for me to talk about it in the light of... in the light of certain of my actions back then.</t>
  </si>
  <si>
    <r>
      <rPr>
        <b/>
        <sz val="11"/>
        <color theme="1"/>
        <rFont val="Arial"/>
      </rPr>
      <t>TERM:</t>
    </r>
    <r>
      <rPr>
        <sz val="11"/>
        <color theme="1"/>
        <rFont val="Arial"/>
      </rPr>
      <t xml:space="preserve"> yñğaisyz (ыңғайсыз) — awkward; uncomfortable [KED, SZK]
</t>
    </r>
    <r>
      <rPr>
        <b/>
        <sz val="11"/>
        <color theme="1"/>
        <rFont val="Arial"/>
      </rPr>
      <t>PASSAGE:</t>
    </r>
    <r>
      <rPr>
        <sz val="11"/>
        <color theme="1"/>
        <rFont val="Arial"/>
      </rPr>
      <t xml:space="preserve"> Оның адам мақтанарлық ештеңесі жоқ секілді ғой. Оның үстіне көпшілік ортада өзімнің әлгіндей... қылықтарымнан кейін бірдеңе деп мақтанудың өзі </t>
    </r>
    <r>
      <rPr>
        <b/>
        <sz val="11"/>
        <color theme="1"/>
        <rFont val="Arial"/>
      </rPr>
      <t>ыңғайсыз</t>
    </r>
    <r>
      <rPr>
        <sz val="11"/>
        <color theme="1"/>
        <rFont val="Arial"/>
      </rPr>
      <t xml:space="preserve"> секілді.
</t>
    </r>
    <r>
      <rPr>
        <b/>
        <sz val="11"/>
        <color theme="1"/>
        <rFont val="Arial"/>
      </rPr>
      <t>TRANS:</t>
    </r>
    <r>
      <rPr>
        <sz val="11"/>
        <color theme="1"/>
        <rFont val="Arial"/>
      </rPr>
      <t xml:space="preserve"> Onyñ adam maqtanarlyq eşteñesı joq sekıldı ğoi. Onyñ üstıne köpşılık ortada özımnıñ älgındei... qylyqtarymnan keiın bırdeñe dep maqtanudyñ özı </t>
    </r>
    <r>
      <rPr>
        <b/>
        <sz val="11"/>
        <color theme="1"/>
        <rFont val="Arial"/>
      </rPr>
      <t>yñğaisyz</t>
    </r>
    <r>
      <rPr>
        <sz val="11"/>
        <color theme="1"/>
        <rFont val="Arial"/>
      </rPr>
      <t xml:space="preserve"> sekıldı.
</t>
    </r>
    <r>
      <rPr>
        <b/>
        <sz val="11"/>
        <color theme="1"/>
        <rFont val="Arial"/>
      </rPr>
      <t>TRANSLATION:</t>
    </r>
    <r>
      <rPr>
        <sz val="11"/>
        <color theme="1"/>
        <rFont val="Arial"/>
      </rPr>
      <t xml:space="preserve"> There seems to be nothing in it for one to boast of. Besides, in public, after my own such... behavior, even saying anything boastful seems awkward.</t>
    </r>
  </si>
  <si>
    <t>shame PERFORMED  — not genuinely felt</t>
  </si>
  <si>
    <t>"And, Dolly, I give you my word that when he said that about being ashamed, tears came into his eyes! Yes, tears! I nearly cried myself."</t>
  </si>
  <si>
    <t>TERM: stydno (стыдно) — it is shameful; (one) feels ashamed (impersonal predicate) [ORD]
PASSAGE: И даю слово, Долли, он сказал, что ему стыдно, со слезами на глазах!
TRANS: I dayu slovo, Dolli, on skazal, chto emu stydno, so slezami na glazakh!
TRANSLATION: And I give you my word, Dolly, he said he was ashamed, with tears in his eyes!</t>
  </si>
  <si>
    <r>
      <rPr>
        <b/>
        <sz val="11"/>
        <color theme="1"/>
        <rFont val="Arial"/>
      </rPr>
      <t>TERM:</t>
    </r>
    <r>
      <rPr>
        <sz val="11"/>
        <color theme="1"/>
        <rFont val="Arial"/>
      </rPr>
      <t xml:space="preserve"> ŪİAT (ҰЯТ) — shame; disgrace; sense of decency (also: that which is improper) [KED, SZK]
</t>
    </r>
    <r>
      <rPr>
        <b/>
        <sz val="11"/>
        <color theme="1"/>
        <rFont val="Arial"/>
      </rPr>
      <t>PASSAGE:</t>
    </r>
    <r>
      <rPr>
        <sz val="11"/>
        <color theme="1"/>
        <rFont val="Arial"/>
      </rPr>
      <t xml:space="preserve"> Шынымен де оның </t>
    </r>
    <r>
      <rPr>
        <b/>
        <sz val="11"/>
        <color theme="1"/>
        <rFont val="Arial"/>
      </rPr>
      <t>ұяты</t>
    </r>
    <r>
      <rPr>
        <sz val="11"/>
        <color theme="1"/>
        <rFont val="Arial"/>
      </rPr>
      <t xml:space="preserve"> бар екен, Долли, көзіне жас алып тұрды.
</t>
    </r>
    <r>
      <rPr>
        <b/>
        <sz val="11"/>
        <color theme="1"/>
        <rFont val="Arial"/>
      </rPr>
      <t>TRANS:</t>
    </r>
    <r>
      <rPr>
        <sz val="11"/>
        <color theme="1"/>
        <rFont val="Arial"/>
      </rPr>
      <t xml:space="preserve"> Şynymen de onyñ </t>
    </r>
    <r>
      <rPr>
        <b/>
        <sz val="11"/>
        <color theme="1"/>
        <rFont val="Arial"/>
      </rPr>
      <t>ūiaty</t>
    </r>
    <r>
      <rPr>
        <sz val="11"/>
        <color theme="1"/>
        <rFont val="Arial"/>
      </rPr>
      <t xml:space="preserve"> bar eken, Dolli, közıne jas alyp tūrdy.
</t>
    </r>
    <r>
      <rPr>
        <b/>
        <sz val="11"/>
        <color theme="1"/>
        <rFont val="Arial"/>
      </rPr>
      <t>TRANSLATION:</t>
    </r>
    <r>
      <rPr>
        <sz val="11"/>
        <color theme="1"/>
        <rFont val="Arial"/>
      </rPr>
      <t xml:space="preserve"> He really did have </t>
    </r>
    <r>
      <rPr>
        <b/>
        <sz val="11"/>
        <color theme="1"/>
        <rFont val="Arial"/>
      </rPr>
      <t>shame</t>
    </r>
    <r>
      <rPr>
        <sz val="11"/>
        <color theme="1"/>
        <rFont val="Arial"/>
      </rPr>
      <t>, Dolly — he had tears in his eyes.</t>
    </r>
  </si>
  <si>
    <t>shame PERFORMED   — not genuinely felt</t>
  </si>
  <si>
    <t>"Somehow," said Mrs. Elsing uncertainly, "somehow, I don't think he's so bad. A man who fought for the Confederacy can't be all bad. It's Scarlett who is the bad one. Do you know, Dolly, I really believe that he—well, he's ashamed of Scarlett but is too much of a gentleman to let on."</t>
  </si>
  <si>
    <t>TERM: styditsya (стыдится) — feels ashamed (3sg) [ORD] (lemma: стыдиться)
PASSAGE: Знаете, Долли, мне в самом деле кажется, что он… ну, словом, что он стыдится Скарлетт, но, будучи джентльменом, не показывает этого.
TRANS: Znaete, Dolli, mne v samom dele kazhetsya, chto on… nu, slovom, chto on styditsya Skarlett, no, buduchi dzhentl'menom, ne pokazyvaet etogo.
TRANSLATION: You know, Dolly, it really seems to me that he... well, that he is ashamed of Scarlett, but being a gentleman, he does not show it.</t>
  </si>
  <si>
    <r>
      <rPr>
        <b/>
        <sz val="11"/>
        <color theme="1"/>
        <rFont val="Arial"/>
      </rPr>
      <t>TERM:</t>
    </r>
    <r>
      <rPr>
        <sz val="11"/>
        <color theme="1"/>
        <rFont val="Arial"/>
      </rPr>
      <t xml:space="preserve"> ŪİALU (ҰЯЛУ) — to feel ashamed; to feel shy; to be embarrassed [KED, SZK]
</t>
    </r>
    <r>
      <rPr>
        <b/>
        <sz val="11"/>
        <color theme="1"/>
        <rFont val="Arial"/>
      </rPr>
      <t>PASSAGE:</t>
    </r>
    <r>
      <rPr>
        <sz val="11"/>
        <color theme="1"/>
        <rFont val="Arial"/>
      </rPr>
      <t xml:space="preserve"> Байқайсыз ба, Долли, сірә, ол Скарлетт үшін </t>
    </r>
    <r>
      <rPr>
        <b/>
        <sz val="11"/>
        <color theme="1"/>
        <rFont val="Arial"/>
      </rPr>
      <t>ұялатын</t>
    </r>
    <r>
      <rPr>
        <sz val="11"/>
        <color theme="1"/>
        <rFont val="Arial"/>
      </rPr>
      <t xml:space="preserve"> тәрізді ме, қалай? Тек онысын байқатпайтын сияқты. Қанша дегенмен мырза емес пе?
</t>
    </r>
    <r>
      <rPr>
        <b/>
        <sz val="11"/>
        <color theme="1"/>
        <rFont val="Arial"/>
      </rPr>
      <t>TRANS:</t>
    </r>
    <r>
      <rPr>
        <sz val="11"/>
        <color theme="1"/>
        <rFont val="Arial"/>
      </rPr>
      <t xml:space="preserve"> Baiqaisyz ba, Dolli, sırä, ol Skarlett üşın </t>
    </r>
    <r>
      <rPr>
        <b/>
        <sz val="11"/>
        <color theme="1"/>
        <rFont val="Arial"/>
      </rPr>
      <t>ūialatyn</t>
    </r>
    <r>
      <rPr>
        <sz val="11"/>
        <color theme="1"/>
        <rFont val="Arial"/>
      </rPr>
      <t xml:space="preserve"> tärızdı me, qalai? Tek onysyn baiqatpaityn siaqty. Qanşa degenmen myrza emes pe?
</t>
    </r>
    <r>
      <rPr>
        <b/>
        <sz val="11"/>
        <color theme="1"/>
        <rFont val="Arial"/>
      </rPr>
      <t>TRANSLATION:</t>
    </r>
    <r>
      <rPr>
        <sz val="11"/>
        <color theme="1"/>
        <rFont val="Arial"/>
      </rPr>
      <t xml:space="preserve"> Don't you notice, Dolly — it seems perhaps he is </t>
    </r>
    <r>
      <rPr>
        <b/>
        <sz val="11"/>
        <color theme="1"/>
        <rFont val="Arial"/>
      </rPr>
      <t>ashamed</t>
    </r>
    <r>
      <rPr>
        <sz val="11"/>
        <color theme="1"/>
        <rFont val="Arial"/>
      </rPr>
      <t xml:space="preserve"> for Scarlett's sake, no? But he doesn't let it show. After all, isn't he a gentleman?</t>
    </r>
  </si>
  <si>
    <t>GUILT DOMAIN</t>
  </si>
  <si>
    <t>Guilt — Felt guilt</t>
  </si>
  <si>
    <t>strong felt guilt; inner moral accusation; presence of the person wronged actualizes felt guilt</t>
  </si>
  <si>
    <t>Since the day of the speaking, Stuart had been uncomfortable in India's presence. Not that India ever reproached him or even indicated by look or gesture that she was aware of his abruptly changed allegiance. She was too much of a lady. But Stuart felt guilty and ill at ease with her. He knew he had made India love him and he knew that she still loved him and, deep in his heart, he had the feeling that he had not played the gentleman.</t>
  </si>
  <si>
    <t>Stuart Tarleton</t>
  </si>
  <si>
    <t>TERM: chuvstva viny (чувства вины) — feeling of guilt (gen.) [ORD] (lemma: вина)
PASSAGE: Но Стюарт не мог избавиться от чувства вины и испытывал поэтому неловкость.
TRANS: No Styuart ne mog izbavit'sya ot chuvstva viny i ispytyval poetomu nelovkost'.
TRANSLATION: But Stuart could not rid himself of the feeling of guilt and as a result felt awkward.</t>
  </si>
  <si>
    <r>
      <rPr>
        <b/>
        <sz val="10"/>
        <color theme="1"/>
        <rFont val="Arial"/>
      </rPr>
      <t>TERM:</t>
    </r>
    <r>
      <rPr>
        <sz val="10"/>
        <color theme="1"/>
        <rFont val="Arial"/>
      </rPr>
      <t xml:space="preserve"> KİNÄLY (КІНӘЛЫ) — guilty; at fault [KED, SZK] (lemma: кінәлі)
</t>
    </r>
    <r>
      <rPr>
        <b/>
        <sz val="10"/>
        <color theme="1"/>
        <rFont val="Arial"/>
      </rPr>
      <t>PASSAGE:</t>
    </r>
    <r>
      <rPr>
        <sz val="10"/>
        <color theme="1"/>
        <rFont val="Arial"/>
      </rPr>
      <t xml:space="preserve"> Бірақ Стюарт оның алдында өзін кінәлі сезінгендіктен ыңғайсыздықтан арыла алмады.
</t>
    </r>
    <r>
      <rPr>
        <b/>
        <sz val="10"/>
        <color theme="1"/>
        <rFont val="Arial"/>
      </rPr>
      <t>TRANS:</t>
    </r>
    <r>
      <rPr>
        <sz val="10"/>
        <color theme="1"/>
        <rFont val="Arial"/>
      </rPr>
      <t xml:space="preserve"> Biraq Styuart onyñ aldynda özin kinäli sezingendikten yñğaysyzdyqtan aryla almady.
</t>
    </r>
    <r>
      <rPr>
        <b/>
        <sz val="10"/>
        <color theme="1"/>
        <rFont val="Arial"/>
      </rPr>
      <t>TRANSLATION:</t>
    </r>
    <r>
      <rPr>
        <sz val="10"/>
        <color theme="1"/>
        <rFont val="Arial"/>
      </rPr>
      <t xml:space="preserve"> But Stuart could not rid himself of the awkwardness of feeling </t>
    </r>
    <r>
      <rPr>
        <b/>
        <sz val="10"/>
        <color theme="1"/>
        <rFont val="Arial"/>
      </rPr>
      <t>guilty</t>
    </r>
    <r>
      <rPr>
        <sz val="10"/>
        <color theme="1"/>
        <rFont val="Arial"/>
      </rPr>
      <t xml:space="preserve"> before her.</t>
    </r>
  </si>
  <si>
    <t>Guilt — Felt guilt (guilty pleasure)</t>
  </si>
  <si>
    <t>mild guilty pleasure — impropriety felt as pleasurable; no moral weight; Ellen as superego</t>
  </si>
  <si>
    <t>Scarlett had no awe of her father and felt him more her contemporary than her sisters, for jumping fences and keeping it a secret from his wife gave him a boyish pride and guilty glee that matched her own pleasure in outwitting Mammy. She rose from her seat to watch him.</t>
  </si>
  <si>
    <t>Gerald O’Hara</t>
  </si>
  <si>
    <t>PASSAGE: Он был как бы ее сверстником — даже больше, чем сестры, — ведь Джералд, словно мальчишка, любил втайне от жены скакать по полям напрямик, а Скарлетт — тоже большая охотница до всяких эскапад — была его верной союзницей против Мамушки.
TRANS: On byl kak by ee sverstnikom — dazhe bol'she, chem sestry, — ved' Dzherald, slovno mal'chishka, lyubil vtayne ot zheny skakat' po polyam napryamik, a Skarlett — tozhe bol'shaya okhotnitsa do vsyakikh eskapad — byla ego vernoy soyuznitsey protiv Mamushki.
TRANSLATION: He was, as it were, her contemporary — even more so than her sisters — for Gerald, like a boy, loved to gallop straight across the fields out of his wife's sight, and Scarlett — herself a great enthusiast of escapades — was his loyal ally against Mammy.</t>
  </si>
  <si>
    <r>
      <rPr>
        <b/>
        <sz val="11"/>
        <color theme="1"/>
        <rFont val="Arial"/>
      </rPr>
      <t>PASSAGE:</t>
    </r>
    <r>
      <rPr>
        <sz val="11"/>
        <color theme="1"/>
        <rFont val="Arial"/>
      </rPr>
      <t xml:space="preserve"> -
</t>
    </r>
    <r>
      <rPr>
        <b/>
        <sz val="11"/>
        <color theme="1"/>
        <rFont val="Arial"/>
      </rPr>
      <t>TRANS:</t>
    </r>
    <r>
      <rPr>
        <sz val="11"/>
        <color theme="1"/>
        <rFont val="Arial"/>
      </rPr>
      <t xml:space="preserve"> -
</t>
    </r>
    <r>
      <rPr>
        <b/>
        <sz val="11"/>
        <color theme="1"/>
        <rFont val="Arial"/>
      </rPr>
      <t>TRANSLATION: -</t>
    </r>
  </si>
  <si>
    <t>strong felt guilt; inner moral accusation; Ellen (internalized superego)</t>
  </si>
  <si>
    <t>"Ah-ah-hum," said Gerald, suddenly and guiltily aware that the conversation, a most interesting and entirely proper one to him, would seem quite otherwise to Ellen. In fact, he knew she would never recover should she learn that her daughters had been exposed to so frank a conversation. But Mrs. Tarleton was, as usual, deaf to all other ideas when pursuing her favorite topic, breeding, whether it be horses or humans.</t>
  </si>
  <si>
    <t>TERM: smushchenno (смущенно) — in embarrassment; awkwardly (adv.) [ORD]
PASSAGE: — Хм, да, да, — смущенно пробормотал Джералд, до сознания которого вдруг дошло, что этот чрезвычайно интересный и вполне, на его взгляд, приличный разговор, вероятно, показался бы совсем неуместным его жене
TRANS: — Khm, da, da, — smushchenno probormotal Dzherald, do soznaniya kotorogo vdrug doshlo, chto etot chrezvychayno interesnyy i vpolne, na ego vzglyad, prilichnyy razgovor, veroyatno, pokazalsya by sovsem neumestnym ego zhene
TRANSLATION: "Hm, yes, yes," Gerald muttered in embarrassment, suddenly realizing that this conversation, extremely interesting and, in his view, perfectly proper, would probably appear utterly inappropriate to his wife</t>
  </si>
  <si>
    <r>
      <rPr>
        <b/>
        <sz val="11"/>
        <color theme="1"/>
        <rFont val="Arial"/>
      </rPr>
      <t>TERM:</t>
    </r>
    <r>
      <rPr>
        <sz val="11"/>
        <color theme="1"/>
        <rFont val="Arial"/>
      </rPr>
      <t xml:space="preserve"> ŪİALU (ҰЯЛУ) — to feel ashamed; to feel shy; to be embarrassed [KED, SZK]
</t>
    </r>
    <r>
      <rPr>
        <b/>
        <sz val="11"/>
        <color theme="1"/>
        <rFont val="Arial"/>
      </rPr>
      <t>PASSAGE:</t>
    </r>
    <r>
      <rPr>
        <sz val="11"/>
        <color theme="1"/>
        <rFont val="Arial"/>
      </rPr>
      <t xml:space="preserve"> ... Джералд </t>
    </r>
    <r>
      <rPr>
        <b/>
        <sz val="11"/>
        <color theme="1"/>
        <rFont val="Arial"/>
      </rPr>
      <t>ұялғаннан</t>
    </r>
    <r>
      <rPr>
        <sz val="11"/>
        <color theme="1"/>
        <rFont val="Arial"/>
      </rPr>
      <t xml:space="preserve"> күбірлеп, ол кенет өзінің ойынша өте қызықты әрі әжептәуір әңгіме әйеліме мүлдем орынсыз болып көрінер еді деп ойлады.
</t>
    </r>
    <r>
      <rPr>
        <b/>
        <sz val="11"/>
        <color theme="1"/>
        <rFont val="Arial"/>
      </rPr>
      <t>TRANS:</t>
    </r>
    <r>
      <rPr>
        <sz val="11"/>
        <color theme="1"/>
        <rFont val="Arial"/>
      </rPr>
      <t xml:space="preserve"> ... Jerald </t>
    </r>
    <r>
      <rPr>
        <b/>
        <sz val="11"/>
        <color theme="1"/>
        <rFont val="Arial"/>
      </rPr>
      <t>ūialğannan</t>
    </r>
    <r>
      <rPr>
        <sz val="11"/>
        <color theme="1"/>
        <rFont val="Arial"/>
      </rPr>
      <t xml:space="preserve"> kübırlep, ol kenet özınıñ oiynşa öte qyzyqty ärı äjeptäuır äñgıme äielıme müldem orynsyz bolyp körıner edı dep oilady.
</t>
    </r>
    <r>
      <rPr>
        <b/>
        <sz val="11"/>
        <color theme="1"/>
        <rFont val="Arial"/>
      </rPr>
      <t>TRANSLATION:</t>
    </r>
    <r>
      <rPr>
        <sz val="11"/>
        <color theme="1"/>
        <rFont val="Arial"/>
      </rPr>
      <t xml:space="preserve"> ... Gerald murmured in </t>
    </r>
    <r>
      <rPr>
        <b/>
        <sz val="11"/>
        <color theme="1"/>
        <rFont val="Arial"/>
      </rPr>
      <t>embarrassment</t>
    </r>
    <r>
      <rPr>
        <sz val="11"/>
        <color theme="1"/>
        <rFont val="Arial"/>
      </rPr>
      <t>, suddenly thinking that the conversation he found very interesting and respectable would seem entirely improper to his wife.</t>
    </r>
  </si>
  <si>
    <t>mild guilty pleasure — relief mixed with guilt about feeling relief at the absence of her moral superego (Ellen) and her social conscience (Mammy)</t>
  </si>
  <si>
    <t>As the carriage bore her down the red road toward the Wilkes plantation, Scarlett had a feeling of guilty pleasure that neither her mother nor Mammy was with the party. There would be no one at the barbecue who, by delicately lifted brows or out-thrust underlip, could interfere with her plan of action.</t>
  </si>
  <si>
    <t>TERM: ne bez nekotorykh ugryzeniy sovesti (не без некоторых угрызений совести) — not without some pangs of conscience [ORD] (lemma: угрызение)
PASSAGE: Пока коляска, поднимая красную пыль, катилась по дороге к Двенадцати Дубам, Скарлетт, не без некоторых угрызений совести, радовалась тому, что ни Эллин, ни Мамушка не будут присутствовать на барбекю.
TRANS: Poka kolyaska, podnimaya krasnuyu pyl', katilas' po doroge k Dvenadtsati Dubam, Skarlett, ne bez nekotorykh ugryzeniy sovesti, radovalas' tomu, chto ni Ellin, ni Mamushka ne budut prisutstvovat' na barbekyu.
TRANSLATION: As the carriage rolled along the road to Twelve Oaks raising red dust, Scarlett, not without some pangs of conscience, was glad that neither Ellen nor Mammy would be present at the barbecue.</t>
  </si>
  <si>
    <r>
      <rPr>
        <b/>
        <sz val="11"/>
        <color theme="1"/>
        <rFont val="Arial"/>
      </rPr>
      <t>TERM:</t>
    </r>
    <r>
      <rPr>
        <sz val="11"/>
        <color theme="1"/>
        <rFont val="Arial"/>
      </rPr>
      <t xml:space="preserve"> AR (АР) — honour; conscience; inalienable inner moral principle [KED, SZK]
</t>
    </r>
    <r>
      <rPr>
        <b/>
        <sz val="11"/>
        <color theme="1"/>
        <rFont val="Arial"/>
      </rPr>
      <t>PASSAGE:</t>
    </r>
    <r>
      <rPr>
        <sz val="11"/>
        <color theme="1"/>
        <rFont val="Arial"/>
      </rPr>
      <t xml:space="preserve"> Скарлетт аздап </t>
    </r>
    <r>
      <rPr>
        <b/>
        <sz val="11"/>
        <color theme="1"/>
        <rFont val="Arial"/>
      </rPr>
      <t>ары</t>
    </r>
    <r>
      <rPr>
        <sz val="11"/>
        <color theme="1"/>
        <rFont val="Arial"/>
      </rPr>
      <t xml:space="preserve"> мазаласа да, барбекюде Эллиннің де, Үлкен шешейдің де болмайтынына қуанды.
</t>
    </r>
    <r>
      <rPr>
        <b/>
        <sz val="11"/>
        <color theme="1"/>
        <rFont val="Arial"/>
      </rPr>
      <t>TRANS:</t>
    </r>
    <r>
      <rPr>
        <sz val="11"/>
        <color theme="1"/>
        <rFont val="Arial"/>
      </rPr>
      <t xml:space="preserve"> Skarlett azdap </t>
    </r>
    <r>
      <rPr>
        <b/>
        <sz val="11"/>
        <color theme="1"/>
        <rFont val="Arial"/>
      </rPr>
      <t>ary</t>
    </r>
    <r>
      <rPr>
        <sz val="11"/>
        <color theme="1"/>
        <rFont val="Arial"/>
      </rPr>
      <t xml:space="preserve"> mazalasa da, barbeküde Elinnıñ de, Ülken şeşeidıñ de bolmaitynyna quandy
</t>
    </r>
    <r>
      <rPr>
        <b/>
        <sz val="11"/>
        <color theme="1"/>
        <rFont val="Arial"/>
      </rPr>
      <t>TRANSLATION:</t>
    </r>
    <r>
      <rPr>
        <sz val="11"/>
        <color theme="1"/>
        <rFont val="Arial"/>
      </rPr>
      <t xml:space="preserve"> Although Scarlett's </t>
    </r>
    <r>
      <rPr>
        <b/>
        <sz val="11"/>
        <color theme="1"/>
        <rFont val="Arial"/>
      </rPr>
      <t>conscience</t>
    </r>
    <r>
      <rPr>
        <sz val="11"/>
        <color theme="1"/>
        <rFont val="Arial"/>
      </rPr>
      <t xml:space="preserve"> troubled her a little, she rejoiced that neither Ellen nor Mammy would be at the barbecue.</t>
    </r>
  </si>
  <si>
    <t>Guilt — Guilt as tormentor</t>
  </si>
  <si>
    <t>felt guilt; inner moral accusation; Ellen (internalized superego); guilt about Ellen’s pain, not about scandalous conduct</t>
  </si>
  <si>
    <t>A cold qualm of guilt assailed Scarlett at the thought of Ellen's consternation, should she ever learn of her daughter's scandalous conduct. But she took heart at the thought of the twenty-five miles between Atlanta and Tara. Miss Pitty certainly wouldn't tell Ellen. It would put her in such a bad light as a chaperon. And if Pitty didn't tattle, she was safe.</t>
  </si>
  <si>
    <t>TERM: raskayanie (раскаяние) — repentance; remorse [ORD]
PASSAGE: Скарлетт похолодела и в душе у нее пробудилось раскаяние.
TRANS: Skarlett pokholodela i v dushe u nee probudilos' raskayanie.
TRANSLATION: Scarlett went cold and remorse awakened in her soul.</t>
  </si>
  <si>
    <r>
      <rPr>
        <b/>
        <sz val="11"/>
        <color theme="1"/>
        <rFont val="Arial"/>
      </rPr>
      <t>TERM:</t>
    </r>
    <r>
      <rPr>
        <sz val="11"/>
        <color theme="1"/>
        <rFont val="Arial"/>
      </rPr>
      <t xml:space="preserve"> ÖKİNİSH (ӨКІНІШ) — regret; repentance [KED, SZK]
</t>
    </r>
    <r>
      <rPr>
        <b/>
        <sz val="11"/>
        <color theme="1"/>
        <rFont val="Arial"/>
      </rPr>
      <t>PASSAGE:</t>
    </r>
    <r>
      <rPr>
        <sz val="11"/>
        <color theme="1"/>
        <rFont val="Arial"/>
      </rPr>
      <t xml:space="preserve"> Скарлетт суып сала берді де, оның жан дүниесінде </t>
    </r>
    <r>
      <rPr>
        <b/>
        <sz val="11"/>
        <color theme="1"/>
        <rFont val="Arial"/>
      </rPr>
      <t>өкініш</t>
    </r>
    <r>
      <rPr>
        <sz val="11"/>
        <color theme="1"/>
        <rFont val="Arial"/>
      </rPr>
      <t xml:space="preserve"> пайда болды.
</t>
    </r>
    <r>
      <rPr>
        <b/>
        <sz val="11"/>
        <color theme="1"/>
        <rFont val="Arial"/>
      </rPr>
      <t>TRANS:</t>
    </r>
    <r>
      <rPr>
        <sz val="11"/>
        <color theme="1"/>
        <rFont val="Arial"/>
      </rPr>
      <t xml:space="preserve"> Skarlett suyp sala berdı de, onyñ jan düniesınde </t>
    </r>
    <r>
      <rPr>
        <b/>
        <sz val="11"/>
        <color theme="1"/>
        <rFont val="Arial"/>
      </rPr>
      <t>ökınış</t>
    </r>
    <r>
      <rPr>
        <sz val="11"/>
        <color theme="1"/>
        <rFont val="Arial"/>
      </rPr>
      <t xml:space="preserve"> paida boldy.
</t>
    </r>
    <r>
      <rPr>
        <b/>
        <sz val="11"/>
        <color theme="1"/>
        <rFont val="Arial"/>
      </rPr>
      <t>TRANSLATION:</t>
    </r>
    <r>
      <rPr>
        <sz val="11"/>
        <color theme="1"/>
        <rFont val="Arial"/>
      </rPr>
      <t xml:space="preserve"> Scarlett grew cold, and </t>
    </r>
    <r>
      <rPr>
        <b/>
        <sz val="11"/>
        <color theme="1"/>
        <rFont val="Arial"/>
      </rPr>
      <t>remorse</t>
    </r>
    <r>
      <rPr>
        <sz val="11"/>
        <color theme="1"/>
        <rFont val="Arial"/>
      </rPr>
      <t xml:space="preserve"> arose in her inner being.</t>
    </r>
  </si>
  <si>
    <t>felt guilt; child-like emotion; Ellen (internalized superego)</t>
  </si>
  <si>
    <t>There was more in the same vein but Scarlett did not finish it. For once, she was thoroughly frightened. She did not feel reckless and defiant now. She felt as young and guilty as when she was ten and had thrown a buttered biscuit at Suellen at the table. To think of her gentle mother reproving her so harshly and her father coming to town to talk to Captain Butler. The real seriousness of the matter grew on her. Gerald was going to be severe. This was one time when she knew she couldn't wiggle out of her punishment by sitting on his knee and being sweet and pert.</t>
  </si>
  <si>
    <t>TERM: provinivshiysya (провинившийся) — the one at fault; one who has done wrong (active part.) [ORD] (lemma: провиниться)
PASSAGE: Она чувствовала себя словно провинившийся ребенок — совсем как в десять лет, когда как-то раз за столом запустила в Сьюлин печеньем.
TRANS: Ona chuvstvovala sebya slovno provinivshiysya rebenok — sovsem kak v desyat' let, kogda kak-to raz za stolom zapustila v S'yulin pechen'em.
TRANSLATION: She felt as though she were a guilty child — exactly as at age ten, when she once threw a cookie at Suellen at the table.</t>
  </si>
  <si>
    <r>
      <rPr>
        <b/>
        <sz val="11"/>
        <color theme="1"/>
        <rFont val="Arial"/>
      </rPr>
      <t>TERM:</t>
    </r>
    <r>
      <rPr>
        <sz val="11"/>
        <color theme="1"/>
        <rFont val="Arial"/>
      </rPr>
      <t xml:space="preserve"> JAZYQTY (ЖАЗЫҚТЫ) — at fault; guilty [KED, SZK]
</t>
    </r>
    <r>
      <rPr>
        <b/>
        <sz val="11"/>
        <color theme="1"/>
        <rFont val="Arial"/>
      </rPr>
      <t>PASSAGE:</t>
    </r>
    <r>
      <rPr>
        <sz val="11"/>
        <color theme="1"/>
        <rFont val="Arial"/>
      </rPr>
      <t xml:space="preserve"> Сьюлинге тоқаш лақтырған кездегі </t>
    </r>
    <r>
      <rPr>
        <b/>
        <sz val="11"/>
        <color theme="1"/>
        <rFont val="Arial"/>
      </rPr>
      <t>жазықты</t>
    </r>
    <r>
      <rPr>
        <sz val="11"/>
        <color theme="1"/>
        <rFont val="Arial"/>
      </rPr>
      <t xml:space="preserve"> болған он жасар жасөспірім кезіндегідей сезінді.
</t>
    </r>
    <r>
      <rPr>
        <b/>
        <sz val="11"/>
        <color theme="1"/>
        <rFont val="Arial"/>
      </rPr>
      <t>TRANS:</t>
    </r>
    <r>
      <rPr>
        <sz val="11"/>
        <color theme="1"/>
        <rFont val="Arial"/>
      </rPr>
      <t xml:space="preserve"> S'iulinge toqaş laqtyrğan kezdegı </t>
    </r>
    <r>
      <rPr>
        <b/>
        <sz val="11"/>
        <color theme="1"/>
        <rFont val="Arial"/>
      </rPr>
      <t>jazyqty</t>
    </r>
    <r>
      <rPr>
        <sz val="11"/>
        <color theme="1"/>
        <rFont val="Arial"/>
      </rPr>
      <t xml:space="preserve"> bolğan on jasar jasöspırım kezındegıdei sezındı.
</t>
    </r>
    <r>
      <rPr>
        <b/>
        <sz val="11"/>
        <color theme="1"/>
        <rFont val="Arial"/>
      </rPr>
      <t>TRANSLATION:</t>
    </r>
    <r>
      <rPr>
        <sz val="11"/>
        <color theme="1"/>
        <rFont val="Arial"/>
      </rPr>
      <t xml:space="preserve"> She felt as if she were a ten-year-old who had thrown a roll at Suellen — like a </t>
    </r>
    <r>
      <rPr>
        <b/>
        <sz val="11"/>
        <color theme="1"/>
        <rFont val="Arial"/>
      </rPr>
      <t>guilty</t>
    </r>
    <r>
      <rPr>
        <sz val="11"/>
        <color theme="1"/>
        <rFont val="Arial"/>
      </rPr>
      <t xml:space="preserve"> youngster.</t>
    </r>
  </si>
  <si>
    <t>felt guilt mixed with panic; fear of discovery</t>
  </si>
  <si>
    <t>"Mother of God!" thought Scarlett, in a panic of guilt. "'Concealing his real thoughts.' Can Melly have read his mind? Or my mind? Does she suspect that he and I—"</t>
  </si>
  <si>
    <t>TERM: sovest' (совесть) — conscience; the inner moral faculty [ORD]
PASSAGE: в испуге подумала Скарлетт, так как, совесть ее, разумеется, была нечиста.
TRANS: v ispuge podumala Skarlett, tak kak, sovest' ee, razumeetsya, byla nechista.
TRANSLATION: Scarlett thought in fright, since her conscience was, of course, not clean.</t>
  </si>
  <si>
    <r>
      <rPr>
        <b/>
        <sz val="11"/>
        <color theme="1"/>
        <rFont val="Arial"/>
      </rPr>
      <t>TERM:</t>
    </r>
    <r>
      <rPr>
        <sz val="11"/>
        <color theme="1"/>
        <rFont val="Arial"/>
      </rPr>
      <t xml:space="preserve"> AR-OJDAN (АР-ОЖДАН) — conscience (compound from Arabic wijdān): the inalienable inner tribunal [KED, SZK]
</t>
    </r>
    <r>
      <rPr>
        <b/>
        <sz val="11"/>
        <color theme="1"/>
        <rFont val="Arial"/>
      </rPr>
      <t>PASSAGE:</t>
    </r>
    <r>
      <rPr>
        <sz val="11"/>
        <color theme="1"/>
        <rFont val="Arial"/>
      </rPr>
      <t xml:space="preserve"> ... осылай ойлаған Скарлетт шошып кетті, өйткені оның </t>
    </r>
    <r>
      <rPr>
        <b/>
        <sz val="11"/>
        <color theme="1"/>
        <rFont val="Arial"/>
      </rPr>
      <t>ар-ұжданы</t>
    </r>
    <r>
      <rPr>
        <sz val="11"/>
        <color theme="1"/>
        <rFont val="Arial"/>
      </rPr>
      <t xml:space="preserve">, әрине, таза емес еді.
</t>
    </r>
    <r>
      <rPr>
        <b/>
        <sz val="11"/>
        <color theme="1"/>
        <rFont val="Arial"/>
      </rPr>
      <t>TRANS:</t>
    </r>
    <r>
      <rPr>
        <sz val="11"/>
        <color theme="1"/>
        <rFont val="Arial"/>
      </rPr>
      <t xml:space="preserve"> ... osylai oilağan Skarlett şoşyp kettı, öitkenı onyñ </t>
    </r>
    <r>
      <rPr>
        <b/>
        <sz val="11"/>
        <color theme="1"/>
        <rFont val="Arial"/>
      </rPr>
      <t>ar-ūjdany</t>
    </r>
    <r>
      <rPr>
        <sz val="11"/>
        <color theme="1"/>
        <rFont val="Arial"/>
      </rPr>
      <t xml:space="preserve">, ärine, taza emes edı.
</t>
    </r>
    <r>
      <rPr>
        <b/>
        <sz val="11"/>
        <color theme="1"/>
        <rFont val="Arial"/>
      </rPr>
      <t>TRANSLATION:</t>
    </r>
    <r>
      <rPr>
        <sz val="11"/>
        <color theme="1"/>
        <rFont val="Arial"/>
      </rPr>
      <t xml:space="preserve"> ... thinking thus, Scarlett took fright, for her ar-ujdan [</t>
    </r>
    <r>
      <rPr>
        <b/>
        <sz val="11"/>
        <color theme="1"/>
        <rFont val="Arial"/>
      </rPr>
      <t>conscience</t>
    </r>
    <r>
      <rPr>
        <sz val="11"/>
        <color theme="1"/>
        <rFont val="Arial"/>
      </rPr>
      <t>] was, of course, not clean.</t>
    </r>
  </si>
  <si>
    <t>felt guilt; inner moral accusation; Ellen (internalized superego); pain at deceiving her mother and abusing her trust, not at the actual misdeeds</t>
  </si>
  <si>
    <t>"I'm always your little girl," Scarlett would say and bury her head upon Ellen's breast, her guilt rising up to accuse her. She did not tell her mother that it was the dancing and the beaux which drew her back to Atlanta and not the service of the Confederacy. There were many things she kept from her mother these days. But, most of all, she kept secret the fact that Rhett Butler called frequently at Aunt Pittypat's house.</t>
  </si>
  <si>
    <t>TERM: ugryzeniya sovesti. (угрызения совести.) = pangs of conscience
PASSAGE: — Я всегда, всегда буду вашей маленькой дочуркой, — говорила Скарлетт и прятала лицо на груди Эллин, чувствуя внезапно вспыхнувшие угрызения совести.
TRANS: — Ya vsegda, vsegda budu vashey malen'koy dochurkoy, — govorila Skarlett i pryatala litso na grudi Ellin, chuvstvuya vnezapno vspykhnuvshie ugryzeniya sovesti.
TRANSLATION: "I will always, always be your little daughter," said Scarlett, hiding her face on Ellen's breast, feeling suddenly flaring pangs of conscience.</t>
  </si>
  <si>
    <r>
      <rPr>
        <b/>
        <sz val="11"/>
        <color theme="1"/>
        <rFont val="Arial"/>
      </rPr>
      <t>TERM:</t>
    </r>
    <r>
      <rPr>
        <sz val="11"/>
        <color theme="1"/>
        <rFont val="Arial"/>
      </rPr>
      <t xml:space="preserve"> QYSYLU (ҚЫСЫЛУ) — to feel embarrassed; to feel constrained; to be in difficulty [KED, SZK]
</t>
    </r>
    <r>
      <rPr>
        <b/>
        <sz val="11"/>
        <color theme="1"/>
        <rFont val="Arial"/>
      </rPr>
      <t>PASSAGE:</t>
    </r>
    <r>
      <rPr>
        <sz val="11"/>
        <color theme="1"/>
        <rFont val="Arial"/>
      </rPr>
      <t xml:space="preserve"> - Мен әрқашан сенің кішкентай қызың боламын, - деді Скарлетт өзінің </t>
    </r>
    <r>
      <rPr>
        <b/>
        <sz val="11"/>
        <color theme="1"/>
        <rFont val="Arial"/>
      </rPr>
      <t>ұжданы</t>
    </r>
    <r>
      <rPr>
        <sz val="11"/>
        <color theme="1"/>
        <rFont val="Arial"/>
      </rPr>
      <t xml:space="preserve"> алдында қысылған жүзін Эллиннің кеудесіне жасырып.
</t>
    </r>
    <r>
      <rPr>
        <b/>
        <sz val="11"/>
        <color theme="1"/>
        <rFont val="Arial"/>
      </rPr>
      <t>TRANS:</t>
    </r>
    <r>
      <rPr>
        <sz val="11"/>
        <color theme="1"/>
        <rFont val="Arial"/>
      </rPr>
      <t xml:space="preserve"> Men ärqaşan senıñ kışkentai qyzyñ bolamyn, - dedı Skarlett özınıñ </t>
    </r>
    <r>
      <rPr>
        <b/>
        <sz val="11"/>
        <color theme="1"/>
        <rFont val="Arial"/>
      </rPr>
      <t>ūjdany</t>
    </r>
    <r>
      <rPr>
        <sz val="11"/>
        <color theme="1"/>
        <rFont val="Arial"/>
      </rPr>
      <t xml:space="preserve"> aldynda qysylğan jüzın Elinnıñ keudesıne jasyryp.
</t>
    </r>
    <r>
      <rPr>
        <b/>
        <sz val="11"/>
        <color theme="1"/>
        <rFont val="Arial"/>
      </rPr>
      <t>TRANSLATION:</t>
    </r>
    <r>
      <rPr>
        <sz val="11"/>
        <color theme="1"/>
        <rFont val="Arial"/>
      </rPr>
      <t xml:space="preserve"> "I will always be your little girl," said Scarlett, hiding her face — </t>
    </r>
    <r>
      <rPr>
        <b/>
        <sz val="11"/>
        <color theme="1"/>
        <rFont val="Arial"/>
      </rPr>
      <t>embarrassed</t>
    </r>
    <r>
      <rPr>
        <sz val="11"/>
        <color theme="1"/>
        <rFont val="Arial"/>
      </rPr>
      <t xml:space="preserve"> before her own </t>
    </r>
    <r>
      <rPr>
        <b/>
        <sz val="11"/>
        <color theme="1"/>
        <rFont val="Arial"/>
      </rPr>
      <t>conscience</t>
    </r>
    <r>
      <rPr>
        <sz val="11"/>
        <color theme="1"/>
        <rFont val="Arial"/>
      </rPr>
      <t xml:space="preserve"> [</t>
    </r>
    <r>
      <rPr>
        <b/>
        <sz val="11"/>
        <color theme="1"/>
        <rFont val="Arial"/>
      </rPr>
      <t>ūjdan</t>
    </r>
    <r>
      <rPr>
        <sz val="11"/>
        <color theme="1"/>
        <rFont val="Arial"/>
      </rPr>
      <t>] — on Ellen's breast.</t>
    </r>
  </si>
  <si>
    <t>Guilt — Felt guilt (guilty conscience)</t>
  </si>
  <si>
    <t>guilty conscience — guilt and conscience fused</t>
  </si>
  <si>
    <t>Scarlett's guilty conscience stirred as she tried to recall what Ashley might have written that would lead Melanie to make such a statement, but most of the letters she had read had gone out of her head as soon as she finished reading them. She believed Melanie had simply taken leave of her senses.</t>
  </si>
  <si>
    <t>TERM: sovesti (совести) — conscience (gen./dat./prep.) [ORD] (lemma: совесть)
PASSAGE: Скарлетт, испытывая легкий укол совести, старалась вспомнить, что же было такого в письмах Эшли, что заставило Мелани сделать подобное заявление, но содержание писем почти мгновенно улетучивалось у нее из головы, как только она кончала читать.
TRANS: Skarlett, ispytyvaya legkiy ukol sovesti, staralas' vspomnit', chto zhe bylo takogo v pis'makh Eshli, chto zastavilo Melani sdelat' podobnoe zayavlenie, no soderzhanie pisem pochti mgnovenno uletuchivalos' u nee iz golovy, kak tol'ko ona konchala chitat'.
TRANSLATION: Scarlett, feeling a slight prick of conscience, tried to recall what was in Ashley's letters that would make Melanie make such a statement, but the contents of the letters almost instantly evaporated from her head as soon as she finished reading.</t>
  </si>
  <si>
    <r>
      <rPr>
        <b/>
        <sz val="11"/>
        <color theme="1"/>
        <rFont val="Arial"/>
      </rPr>
      <t>TERM:</t>
    </r>
    <r>
      <rPr>
        <sz val="11"/>
        <color theme="1"/>
        <rFont val="Arial"/>
      </rPr>
      <t xml:space="preserve"> ūial- (ұял-) — be ashamed (verbal stem) [KED, SZK] (lemma: ұялу)
</t>
    </r>
    <r>
      <rPr>
        <b/>
        <sz val="11"/>
        <color theme="1"/>
        <rFont val="Arial"/>
      </rPr>
      <t>PASSAGE:</t>
    </r>
    <r>
      <rPr>
        <sz val="11"/>
        <color theme="1"/>
        <rFont val="Arial"/>
      </rPr>
      <t xml:space="preserve"> Скарлетт аздап </t>
    </r>
    <r>
      <rPr>
        <b/>
        <sz val="11"/>
        <color theme="1"/>
        <rFont val="Arial"/>
      </rPr>
      <t>ұялыс</t>
    </r>
    <r>
      <rPr>
        <sz val="11"/>
        <color theme="1"/>
        <rFont val="Arial"/>
      </rPr>
      <t xml:space="preserve"> сезініп, Эшлидің хаттарындағы Меланиді осындай мәлімдеме жасауға итермелеген жолдарды еске түсіруге тырысты, ...
</t>
    </r>
    <r>
      <rPr>
        <b/>
        <sz val="11"/>
        <color theme="1"/>
        <rFont val="Arial"/>
      </rPr>
      <t>TRANS:</t>
    </r>
    <r>
      <rPr>
        <sz val="11"/>
        <color theme="1"/>
        <rFont val="Arial"/>
      </rPr>
      <t xml:space="preserve"> Skarlett azdap </t>
    </r>
    <r>
      <rPr>
        <b/>
        <sz val="11"/>
        <color theme="1"/>
        <rFont val="Arial"/>
      </rPr>
      <t>ūialys</t>
    </r>
    <r>
      <rPr>
        <sz val="11"/>
        <color theme="1"/>
        <rFont val="Arial"/>
      </rPr>
      <t xml:space="preserve"> sezınıp, Eşlidıñ hattaryndağy Melanidı osyndai mälımdeme jasauğa itermelegen joldardy eske tüsıruge tyrysty, ....
</t>
    </r>
    <r>
      <rPr>
        <b/>
        <sz val="11"/>
        <color theme="1"/>
        <rFont val="Arial"/>
      </rPr>
      <t>TRANSLATION:</t>
    </r>
    <r>
      <rPr>
        <sz val="11"/>
        <color theme="1"/>
        <rFont val="Arial"/>
      </rPr>
      <t xml:space="preserve"> Feeling a slight twinge of </t>
    </r>
    <r>
      <rPr>
        <b/>
        <sz val="11"/>
        <color theme="1"/>
        <rFont val="Arial"/>
      </rPr>
      <t>shame</t>
    </r>
    <r>
      <rPr>
        <sz val="11"/>
        <color theme="1"/>
        <rFont val="Arial"/>
      </rPr>
      <t>, Scarlett tried to recall the lines in Ashley's letters that had pushed Melanie to make such a statement,...</t>
    </r>
  </si>
  <si>
    <t>overwhelming felt guilt; inner moral accusation; no specific audience</t>
  </si>
  <si>
    <t>"Jealous—of me?" cried Scarlett, stricken with guilt.</t>
  </si>
  <si>
    <t>TERM: sovesti (совести) — conscience (gen./dat./prep.) [ORD] (lemma: совесть)
PASSAGE: — Завидуешь мне? — воскликнула Скарлетт, чувствуя легкий укол совести.
TRANS: — Zaviduesh' mne? — voskliknula Skarlett, chuvstvuya legkiy ukol sovesti.
TRANSLATION: "You're jealous of me?" exclaimed Scarlett, feeling a slight prick of conscience.</t>
  </si>
  <si>
    <r>
      <rPr>
        <b/>
        <sz val="11"/>
        <color theme="1"/>
        <rFont val="Arial"/>
      </rPr>
      <t>TERM:</t>
    </r>
    <r>
      <rPr>
        <sz val="11"/>
        <color theme="1"/>
        <rFont val="Arial"/>
      </rPr>
      <t xml:space="preserve"> AR-OJDAN (АР-ОЖДАН) — conscience (compound from Arabic wijdān): the inalienable inner tribunal [KED, SZK]
</t>
    </r>
    <r>
      <rPr>
        <b/>
        <sz val="11"/>
        <color theme="1"/>
        <rFont val="Arial"/>
      </rPr>
      <t>PASSAGE:</t>
    </r>
    <r>
      <rPr>
        <sz val="11"/>
        <color theme="1"/>
        <rFont val="Arial"/>
      </rPr>
      <t xml:space="preserve"> - Сен менен қызғанасың ба? - деп айқайлады Скарлетт </t>
    </r>
    <r>
      <rPr>
        <b/>
        <sz val="11"/>
        <color theme="1"/>
        <rFont val="Arial"/>
      </rPr>
      <t>ар-ұжданы</t>
    </r>
    <r>
      <rPr>
        <sz val="11"/>
        <color theme="1"/>
        <rFont val="Arial"/>
      </rPr>
      <t xml:space="preserve"> ептеп мазалап.
</t>
    </r>
    <r>
      <rPr>
        <b/>
        <sz val="11"/>
        <color theme="1"/>
        <rFont val="Arial"/>
      </rPr>
      <t>TRANS:</t>
    </r>
    <r>
      <rPr>
        <sz val="11"/>
        <color theme="1"/>
        <rFont val="Arial"/>
      </rPr>
      <t xml:space="preserve"> - Sen menen qyzğanasyñ ba? - dep aiqailady Skarlett </t>
    </r>
    <r>
      <rPr>
        <b/>
        <sz val="11"/>
        <color theme="1"/>
        <rFont val="Arial"/>
      </rPr>
      <t xml:space="preserve">ar-ūjdany </t>
    </r>
    <r>
      <rPr>
        <sz val="11"/>
        <color theme="1"/>
        <rFont val="Arial"/>
      </rPr>
      <t xml:space="preserve">eptep mazalap.
</t>
    </r>
    <r>
      <rPr>
        <b/>
        <sz val="11"/>
        <color theme="1"/>
        <rFont val="Arial"/>
      </rPr>
      <t>TRANSLATION:</t>
    </r>
    <r>
      <rPr>
        <sz val="11"/>
        <color theme="1"/>
        <rFont val="Arial"/>
      </rPr>
      <t xml:space="preserve"> "Are you jealous of me?" — Scarlett cried out, her ar-ujdan [</t>
    </r>
    <r>
      <rPr>
        <b/>
        <sz val="11"/>
        <color theme="1"/>
        <rFont val="Arial"/>
      </rPr>
      <t>conscience</t>
    </r>
    <r>
      <rPr>
        <sz val="11"/>
        <color theme="1"/>
        <rFont val="Arial"/>
      </rPr>
      <t>] slightly troubling her.</t>
    </r>
  </si>
  <si>
    <t>felt guilt at intended conduct – preventative function; activated by Mammy</t>
  </si>
  <si>
    <t>Mammy looked at her piercingly, just as she had done when Scarlett was small and had tried unsuccessfully to palm off plausible excuses for misdeeds. She seemed to be reading her mind and Scarlett dropped her eyes unwillingly, the first feeling of guilt at her intended conduct creeping over her.</t>
  </si>
  <si>
    <t>TERM: sovesti (совести) — conscience (gen./dat./prep.) [ORD] (lemma: совесть)
PASSAGE: Казалось, Мамушка без труда читала в ее мыслях, и Скарлетт невольно опустила глаза, впервые почувствовав укол совести из-за своей затеи.
TRANS: Kazalos', Mamushka bez truda chitala v ee myslyakh, i Skarlett nevol'no opustila glaza, vpervye pochuvstvovav ukol sovesti iz-za svoey zatei.
TRANSLATION: It seemed that Mammy could read her thoughts without difficulty, and Scarlett involuntarily lowered her eyes, for the first time feeling a prick of conscience because of her scheme.</t>
  </si>
  <si>
    <r>
      <rPr>
        <b/>
        <sz val="11"/>
        <color theme="1"/>
        <rFont val="Arial"/>
      </rPr>
      <t>TERM:</t>
    </r>
    <r>
      <rPr>
        <sz val="11"/>
        <color theme="1"/>
        <rFont val="Arial"/>
      </rPr>
      <t xml:space="preserve"> ŪİAT (ҰЯТ) — shame; disgrace; sense of decency (also: that which is improper) [KED, SZK]
</t>
    </r>
    <r>
      <rPr>
        <b/>
        <sz val="11"/>
        <color theme="1"/>
        <rFont val="Arial"/>
      </rPr>
      <t>PASSAGE:</t>
    </r>
    <r>
      <rPr>
        <sz val="11"/>
        <color theme="1"/>
        <rFont val="Arial"/>
      </rPr>
      <t xml:space="preserve"> Скарлетт </t>
    </r>
    <r>
      <rPr>
        <b/>
        <sz val="11"/>
        <color theme="1"/>
        <rFont val="Arial"/>
      </rPr>
      <t>ұяттың</t>
    </r>
    <r>
      <rPr>
        <sz val="11"/>
        <color theme="1"/>
        <rFont val="Arial"/>
      </rPr>
      <t xml:space="preserve"> салмағынан ауыр тартқандай болған кірпіктерін төмен түсіре қойды.
</t>
    </r>
    <r>
      <rPr>
        <b/>
        <sz val="11"/>
        <color theme="1"/>
        <rFont val="Arial"/>
      </rPr>
      <t>TRANS:</t>
    </r>
    <r>
      <rPr>
        <sz val="11"/>
        <color theme="1"/>
        <rFont val="Arial"/>
      </rPr>
      <t xml:space="preserve"> Skarlett </t>
    </r>
    <r>
      <rPr>
        <b/>
        <sz val="11"/>
        <color theme="1"/>
        <rFont val="Arial"/>
      </rPr>
      <t>ūiattyñ</t>
    </r>
    <r>
      <rPr>
        <sz val="11"/>
        <color theme="1"/>
        <rFont val="Arial"/>
      </rPr>
      <t xml:space="preserve"> salmağynan auyr tartqandai bolğan kırpıkterın tömen tüsıre qoidy.
</t>
    </r>
    <r>
      <rPr>
        <b/>
        <sz val="11"/>
        <color theme="1"/>
        <rFont val="Arial"/>
      </rPr>
      <t>TRANSLATION:</t>
    </r>
    <r>
      <rPr>
        <sz val="11"/>
        <color theme="1"/>
        <rFont val="Arial"/>
      </rPr>
      <t xml:space="preserve"> Scarlett, as though her eyelids had grown heavy from the weight of </t>
    </r>
    <r>
      <rPr>
        <b/>
        <sz val="11"/>
        <color theme="1"/>
        <rFont val="Arial"/>
      </rPr>
      <t>shame</t>
    </r>
    <r>
      <rPr>
        <sz val="11"/>
        <color theme="1"/>
        <rFont val="Arial"/>
      </rPr>
      <t>, lowered them.</t>
    </r>
  </si>
  <si>
    <t>Guilt not of the lie, but at the thought of Ellen; accompanied by discomfort</t>
  </si>
  <si>
    <t>The first time Scarlett lied in this fashion she felt disconcerted and guilty—disconcerted because the lie sprang so easily and naturally to her lips, guilty because the thought flashed into her mind: What would Mother say?</t>
  </si>
  <si>
    <t>TERM: stydno (стыдно) — it is shameful; (one) feels ashamed (impersonal predicate) [ORD]
PASSAGE: Когда Скарлетт впервые решилась на такую ложь, ей потом стало стыдно и очень не по себе —
TRANS: Kogda Skarlett vpervye reshilas' na takuyu lozh', ey potom stalo stydno i ochen' ne po sebe —
TRANSLATION: When Scarlett had first decided on such a lie, she afterward felt ashamed and very ill at ease —</t>
  </si>
  <si>
    <r>
      <rPr>
        <b/>
        <sz val="11"/>
        <color theme="1"/>
        <rFont val="Arial"/>
      </rPr>
      <t>TERM:</t>
    </r>
    <r>
      <rPr>
        <sz val="11"/>
        <color theme="1"/>
        <rFont val="Arial"/>
      </rPr>
      <t xml:space="preserve"> QYSYLU (ҚЫСЫЛУ) — to feel embarrassed; to feel constrained; to be in difficulty [KED, SZK]
</t>
    </r>
    <r>
      <rPr>
        <b/>
        <sz val="11"/>
        <color theme="1"/>
        <rFont val="Arial"/>
      </rPr>
      <t>PASSAGE:</t>
    </r>
    <r>
      <rPr>
        <sz val="11"/>
        <color theme="1"/>
        <rFont val="Arial"/>
      </rPr>
      <t xml:space="preserve"> Осы өтірік айтуға ең алғаш бел байлағанында, әрине, </t>
    </r>
    <r>
      <rPr>
        <b/>
        <sz val="11"/>
        <color theme="1"/>
        <rFont val="Arial"/>
      </rPr>
      <t>қысылған</t>
    </r>
    <r>
      <rPr>
        <sz val="11"/>
        <color theme="1"/>
        <rFont val="Arial"/>
      </rPr>
      <t xml:space="preserve"> еді.
</t>
    </r>
    <r>
      <rPr>
        <b/>
        <sz val="11"/>
        <color theme="1"/>
        <rFont val="Arial"/>
      </rPr>
      <t>TRANS:</t>
    </r>
    <r>
      <rPr>
        <sz val="11"/>
        <color theme="1"/>
        <rFont val="Arial"/>
      </rPr>
      <t xml:space="preserve"> Osy ötırık aituğa eñ alğaş bel bailağanynda, ärine, </t>
    </r>
    <r>
      <rPr>
        <b/>
        <sz val="11"/>
        <color theme="1"/>
        <rFont val="Arial"/>
      </rPr>
      <t>qysylğan</t>
    </r>
    <r>
      <rPr>
        <sz val="11"/>
        <color theme="1"/>
        <rFont val="Arial"/>
      </rPr>
      <t xml:space="preserve"> edı.
</t>
    </r>
    <r>
      <rPr>
        <b/>
        <sz val="11"/>
        <color theme="1"/>
        <rFont val="Arial"/>
      </rPr>
      <t>TRANSLATION:</t>
    </r>
    <r>
      <rPr>
        <sz val="11"/>
        <color theme="1"/>
        <rFont val="Arial"/>
      </rPr>
      <t xml:space="preserve"> When she first resolved to tell this lie, of course, she had been </t>
    </r>
    <r>
      <rPr>
        <b/>
        <sz val="11"/>
        <color theme="1"/>
        <rFont val="Arial"/>
      </rPr>
      <t>embarrassed</t>
    </r>
    <r>
      <rPr>
        <sz val="11"/>
        <color theme="1"/>
        <rFont val="Arial"/>
      </rPr>
      <t>.</t>
    </r>
  </si>
  <si>
    <t>Guilty sense of pleasure, pleasure that Melanie cannot be intimate with Ashley, guilt at knowing it is bad</t>
  </si>
  <si>
    <t>Melanie wanted another baby badly, but both Dr. Meade and Dr. Fontaine had said another child would cost her her life. So, only half resigned to her fate, she spent most of her time with Scarlett, vicariously enjoying a pregnancy not her own. To Scarlett, scarcely wanting her coming child and irritated at its untimeliness, this attitude seemed the height of sentimental stupidity. But she had a guilty sense of pleasure that the doctors' edict had made impossible any real intimacy between Ashley and his wife.</t>
  </si>
  <si>
    <t>PASSAGE: Радовало ее лишь то, что вердикт врачей не допускал близости между Эшли и его женой.
TRANS: Radovalo ee lish' to, chto verdikt vrachey ne dopuskal blizosti mezhdu Eshli i ego zhenoy.
TRANSLATION: The only thing that pleased her was that the doctors' verdict did not allow intimacy between Ashley and his wife.</t>
  </si>
  <si>
    <r>
      <rPr>
        <b/>
        <sz val="11"/>
        <color theme="1"/>
        <rFont val="Arial"/>
      </rPr>
      <t>PASSAGE:</t>
    </r>
    <r>
      <rPr>
        <sz val="11"/>
        <color theme="1"/>
        <rFont val="Arial"/>
      </rPr>
      <t xml:space="preserve"> Дәрігерлердің үкімі Эшли мен әйелінің арасындағы жақындасуды болдырмайтынына бұл қуанатын.
</t>
    </r>
    <r>
      <rPr>
        <b/>
        <sz val="11"/>
        <color theme="1"/>
        <rFont val="Arial"/>
      </rPr>
      <t>TRANS:</t>
    </r>
    <r>
      <rPr>
        <sz val="11"/>
        <color theme="1"/>
        <rFont val="Arial"/>
      </rPr>
      <t xml:space="preserve"> Därıgerlerdıñ ükımı Eşli men äielınıñ arasyndağy jaqyndasudy boldyrmaitynyna būl quanatyn.
</t>
    </r>
    <r>
      <rPr>
        <b/>
        <sz val="11"/>
        <color theme="1"/>
        <rFont val="Arial"/>
      </rPr>
      <t>TRANSLATION:</t>
    </r>
    <r>
      <rPr>
        <sz val="11"/>
        <color theme="1"/>
        <rFont val="Arial"/>
      </rPr>
      <t xml:space="preserve"> She rejoiced that the doctors' verdict prevented intimacy between Ashley and his wife.</t>
    </r>
  </si>
  <si>
    <t>Guilt and conscience close, guilt is mixed with fear of retribution from Rhett – so causes other feelings</t>
  </si>
  <si>
    <t>He had been away from Atlanta for months, since just after Gerald died, since long before Ella Lorena was born. She had missed him but she now wished ardently that there was some way to avoid seeing him. In fact, the sight of his dark face brought a feeling of guilty panic to her breast. A matter in which Ashley was concerned lay on her conscience and she did not wish to discuss it with Rhett, but she knew he would force the discussion, no matter how disinclined she might be.</t>
  </si>
  <si>
    <t>PASSAGE: По правде говоря, при виде его смуглого лица ее охватила паника и чувство вины.
TRANS: Po pravde govorya, pri vide ego smuglogo litsa ee okhvatila panika i chuvstvo viny.
TRANSLATION: To tell the truth, at the sight of his swarthy face she was overcome with panic and a feeling of guilt.</t>
  </si>
  <si>
    <r>
      <rPr>
        <b/>
        <sz val="11"/>
        <color theme="1"/>
        <rFont val="Arial"/>
      </rPr>
      <t>TERM:</t>
    </r>
    <r>
      <rPr>
        <sz val="11"/>
        <color theme="1"/>
        <rFont val="Arial"/>
      </rPr>
      <t xml:space="preserve"> KİNÄLY (КІНӘЛЫ) — guilty; at fault [KED, SZK] (lemma: кінәлі)
</t>
    </r>
    <r>
      <rPr>
        <b/>
        <sz val="11"/>
        <color theme="1"/>
        <rFont val="Arial"/>
      </rPr>
      <t>PASSAGE:</t>
    </r>
    <r>
      <rPr>
        <sz val="11"/>
        <color theme="1"/>
        <rFont val="Arial"/>
      </rPr>
      <t xml:space="preserve"> Ашығын айтқанда, оның күреңіткен жүзін көргенде сасқалақтап, өзін </t>
    </r>
    <r>
      <rPr>
        <b/>
        <sz val="11"/>
        <color theme="1"/>
        <rFont val="Arial"/>
      </rPr>
      <t>кінәлі</t>
    </r>
    <r>
      <rPr>
        <sz val="11"/>
        <color theme="1"/>
        <rFont val="Arial"/>
      </rPr>
      <t xml:space="preserve"> сезінгендіктен де бүгежектей бастады.
</t>
    </r>
    <r>
      <rPr>
        <b/>
        <sz val="11"/>
        <color theme="1"/>
        <rFont val="Arial"/>
      </rPr>
      <t>TRANS:</t>
    </r>
    <r>
      <rPr>
        <sz val="11"/>
        <color theme="1"/>
        <rFont val="Arial"/>
      </rPr>
      <t xml:space="preserve"> Aşyğyn aitqanda, onyñ küreñıtken jüzın körgende sasqalaqtap, özın </t>
    </r>
    <r>
      <rPr>
        <b/>
        <sz val="11"/>
        <color theme="1"/>
        <rFont val="Arial"/>
      </rPr>
      <t>kınälı</t>
    </r>
    <r>
      <rPr>
        <sz val="11"/>
        <color theme="1"/>
        <rFont val="Arial"/>
      </rPr>
      <t xml:space="preserve"> sezıngendıkten de bügejektei bastady.
</t>
    </r>
    <r>
      <rPr>
        <b/>
        <sz val="11"/>
        <color theme="1"/>
        <rFont val="Arial"/>
      </rPr>
      <t>TRANSLATION:</t>
    </r>
    <r>
      <rPr>
        <sz val="11"/>
        <color theme="1"/>
        <rFont val="Arial"/>
      </rPr>
      <t xml:space="preserve"> To tell the truth, when she saw his darkened face, she became flustered and, feeling </t>
    </r>
    <r>
      <rPr>
        <b/>
        <sz val="11"/>
        <color theme="1"/>
        <rFont val="Arial"/>
      </rPr>
      <t>guilty</t>
    </r>
    <r>
      <rPr>
        <sz val="11"/>
        <color theme="1"/>
        <rFont val="Arial"/>
      </rPr>
      <t>, began to cower.</t>
    </r>
  </si>
  <si>
    <t>Guilt — Guilt as weight</t>
  </si>
  <si>
    <t>Guilt and fear at causing death (Frank); cannot confess to Ashley for fear of losing his love</t>
  </si>
  <si>
    <t>If there were only someone who could comfort her, quiet her fears, explain to her just what were these confused fears which made her heart sink with such cold sickness! If only Ashley—but she shrank from the thought. She had almost killed Ashley, just as she had killed Frank. And if Ashley ever knew the real truth about how she lied to Frank to get him, knew how mean she had been to Frank, he could never love her any more. Ashley was so honorable, so truthful, so kind and he saw so straightly, so clearly. If he knew the whole truth, he would understand. Oh, yes, he would understand only too well! But he would never love her any more. So he must never know the truth because he must keep on loving her. How could she live if that secret source of her strength, his love, were taken from her? But what a relief it would be to put her head on his shoulder and cry and unburden her guilty heart!</t>
  </si>
  <si>
    <t>TERM: greshnaya dusha (грешная душа) — a sinful soul [ORD] (lemma: грешный)
PASSAGE: Хотя ей стало бы намного легче, если бы она могла уткнуться головой ему в плечо, расплакаться и облегчить свою грешную душу!
TRANS: Khotya ey stalo by namnogo legche, esli by ona mogla utknut'sya golovoy emu v plecho, rasplakat'sya i oblegchit' svoyu greshnuyu dushu!
TRANSLATION: Although she would feel much better if she could bury her head in his shoulder, weep, and unburden her sinful soul!</t>
  </si>
  <si>
    <r>
      <rPr>
        <b/>
        <sz val="11"/>
        <color theme="1"/>
        <rFont val="Arial"/>
      </rPr>
      <t>TERM:</t>
    </r>
    <r>
      <rPr>
        <sz val="11"/>
        <color theme="1"/>
        <rFont val="Arial"/>
      </rPr>
      <t xml:space="preserve"> kökiregindegi zapyranyn (көкірегіндегі запыранын) — the bile in his/her chest (set image: deep bitterness/grief) [KED, SZK] (lemma: запыран)
</t>
    </r>
    <r>
      <rPr>
        <b/>
        <sz val="11"/>
        <color theme="1"/>
        <rFont val="Arial"/>
      </rPr>
      <t>PASSAGE:</t>
    </r>
    <r>
      <rPr>
        <sz val="11"/>
        <color theme="1"/>
        <rFont val="Arial"/>
      </rPr>
      <t xml:space="preserve"> Әйтсе де соның иығына басын сүйеп қойып, егіліп жыласа, бар ақиқатты, басынан кешкендерін ақтарып, </t>
    </r>
    <r>
      <rPr>
        <b/>
        <sz val="11"/>
        <color theme="1"/>
        <rFont val="Arial"/>
      </rPr>
      <t>көкірегіндегі запыранын</t>
    </r>
    <r>
      <rPr>
        <sz val="11"/>
        <color theme="1"/>
        <rFont val="Arial"/>
      </rPr>
      <t xml:space="preserve"> төгіп, мың батпан қасіретінен айрылса, жеңілдеп те қалар еді-ау
</t>
    </r>
    <r>
      <rPr>
        <b/>
        <sz val="11"/>
        <color theme="1"/>
        <rFont val="Arial"/>
      </rPr>
      <t>TRANS:</t>
    </r>
    <r>
      <rPr>
        <sz val="11"/>
        <color theme="1"/>
        <rFont val="Arial"/>
      </rPr>
      <t xml:space="preserve"> Äitse de sonyñ iyğyna basyn süiep qoiyp, egılıp jylasa, bar aqiqatty, basynan keşkenderın aqtaryp, </t>
    </r>
    <r>
      <rPr>
        <b/>
        <sz val="11"/>
        <color theme="1"/>
        <rFont val="Arial"/>
      </rPr>
      <t>kökıregındegı zapyranyn</t>
    </r>
    <r>
      <rPr>
        <sz val="11"/>
        <color theme="1"/>
        <rFont val="Arial"/>
      </rPr>
      <t xml:space="preserve"> tögıp, myñ batpan qasıretınen airylsa, jeñıldep te qalar edı-au
</t>
    </r>
    <r>
      <rPr>
        <b/>
        <sz val="11"/>
        <color theme="1"/>
        <rFont val="Arial"/>
      </rPr>
      <t>TRANSLATION:</t>
    </r>
    <r>
      <rPr>
        <sz val="11"/>
        <color theme="1"/>
        <rFont val="Arial"/>
      </rPr>
      <t xml:space="preserve"> And yet if she could lean her head on his shoulder and weep her heart out, pour out the whole truth, all she had been through, vent the </t>
    </r>
    <r>
      <rPr>
        <b/>
        <sz val="11"/>
        <color theme="1"/>
        <rFont val="Arial"/>
      </rPr>
      <t>bitterness from her chest</t>
    </r>
    <r>
      <rPr>
        <sz val="11"/>
        <color theme="1"/>
        <rFont val="Arial"/>
      </rPr>
      <t>, and rid herself of a thousand-pud weight of grief, she might feel relief.</t>
    </r>
  </si>
  <si>
    <t>strong felt guilt; inner moral accusation; Ashley as object of guilt</t>
  </si>
  <si>
    <t>"Oh," breathed Scarlett, guilt struggling with joy that Ashley should feel so deeply about her, should still think her sweet. Thank God, he thought Rhett to blame for her penny-pinching ways. Of course, Rhett had nothing to do with it and the guilt was hers but, after all, another black mark on Rhett could do him no harm.</t>
  </si>
  <si>
    <t>TERM: chuvstvo viny (чувство вины) — feeling of guilt [ORD] (lemma: вина)
PASSAGE: — О! — выдохнула Скарлетт: чувство вины боролось в ней с чувством радости оттого, что Эшли неравнодушен к ней, что она ему по-прежнему мила.
TRANS: — O! — vydokhnula Skarlett: chuvstvo viny borolos' v ney s chuvstvom radosti ottogo, chto Eshli neravnodushen k ney, chto ona emu po-prezhnemu mila.
TRANSLATION: "Oh!" Scarlett exhaled: a feeling of guilt struggled within her with the joy that Ashley was not indifferent to her, that she was still dear to him.</t>
  </si>
  <si>
    <r>
      <rPr>
        <b/>
        <sz val="11"/>
        <color theme="1"/>
        <rFont val="Arial"/>
      </rPr>
      <t>TERM:</t>
    </r>
    <r>
      <rPr>
        <sz val="11"/>
        <color theme="1"/>
        <rFont val="Arial"/>
      </rPr>
      <t xml:space="preserve"> KİNÄLAU (КІНӘЛАУ) — to blame; to find guilty [KED, SZK]
</t>
    </r>
    <r>
      <rPr>
        <b/>
        <sz val="11"/>
        <color theme="1"/>
        <rFont val="Arial"/>
      </rPr>
      <t>PASSAGE:</t>
    </r>
    <r>
      <rPr>
        <sz val="11"/>
        <color theme="1"/>
        <rFont val="Arial"/>
      </rPr>
      <t xml:space="preserve"> Эшлидің өзіне бейжай қарамайтынына көзі жеткеннен көңілі сергексіп, өзін іштей </t>
    </r>
    <r>
      <rPr>
        <b/>
        <sz val="11"/>
        <color theme="1"/>
        <rFont val="Arial"/>
      </rPr>
      <t>кінәлау</t>
    </r>
    <r>
      <rPr>
        <sz val="11"/>
        <color theme="1"/>
        <rFont val="Arial"/>
      </rPr>
      <t xml:space="preserve"> сезімін қуанышы жеңе бастағандай.
</t>
    </r>
    <r>
      <rPr>
        <b/>
        <sz val="11"/>
        <color theme="1"/>
        <rFont val="Arial"/>
      </rPr>
      <t>TRANS:</t>
    </r>
    <r>
      <rPr>
        <sz val="11"/>
        <color theme="1"/>
        <rFont val="Arial"/>
      </rPr>
      <t xml:space="preserve"> Eşlidıñ özıne beijai qaramaitynyna közı jetkennen köñılı sergeksıp, özın ıştei </t>
    </r>
    <r>
      <rPr>
        <b/>
        <sz val="11"/>
        <color theme="1"/>
        <rFont val="Arial"/>
      </rPr>
      <t>kınälau</t>
    </r>
    <r>
      <rPr>
        <sz val="11"/>
        <color theme="1"/>
        <rFont val="Arial"/>
      </rPr>
      <t xml:space="preserve"> sezımın quanyşy jeñe bastağandai.
</t>
    </r>
    <r>
      <rPr>
        <b/>
        <sz val="11"/>
        <color theme="1"/>
        <rFont val="Arial"/>
      </rPr>
      <t>TRANSLATION:</t>
    </r>
    <r>
      <rPr>
        <sz val="11"/>
        <color theme="1"/>
        <rFont val="Arial"/>
      </rPr>
      <t xml:space="preserve"> When she became convinced that Ashley was not indifferent toward her, her spirits revived, and joy began to overcome the feeling of </t>
    </r>
    <r>
      <rPr>
        <b/>
        <sz val="11"/>
        <color theme="1"/>
        <rFont val="Arial"/>
      </rPr>
      <t>guilt</t>
    </r>
    <r>
      <rPr>
        <sz val="11"/>
        <color theme="1"/>
        <rFont val="Arial"/>
      </rPr>
      <t xml:space="preserve"> within her.</t>
    </r>
  </si>
  <si>
    <t>Melanie as one wronged and as moral mirror</t>
  </si>
  <si>
    <t>Oh, she could stand the cuts, the slights, the covert smiles, anything the town might say, if she had to stand them—but not Melanie! Oh, not Melanie! She did not know why she should mind Melanie knowing, more than anyone else. She was too frightened and weighed down by a sense of past guilt to try to understand it. But she burst into tears at the thought of what would be in Melanie's eyes when India told her that she had caught Ashley fondling Scarlett.</t>
  </si>
  <si>
    <t>TERM: viny (вины) — guilt; fault (gen.) [ORD] (lemma: вина)
PASSAGE: Слишком она была испугана и подавлена сознанием вины за прошлое, чтобы пытаться это понять.
TRANS: Slishkom ona byla ispugana i podavlena soznaniem viny za proshloe, chtoby pytat'sya eto ponyat'.
TRANSLATION: She was too frightened and overwhelmed by the consciousness of guilt for the past to try to understand it.</t>
  </si>
  <si>
    <r>
      <rPr>
        <b/>
        <sz val="11"/>
        <color theme="1"/>
        <rFont val="Arial"/>
      </rPr>
      <t>PASSAGE:</t>
    </r>
    <r>
      <rPr>
        <sz val="11"/>
        <color theme="1"/>
        <rFont val="Arial"/>
      </rPr>
      <t xml:space="preserve"> Өткендерді қайта сезінудің машақатынан налып, әрі қатты қорыққандығы сондай, ештеңенің байыбына бара алмады.
</t>
    </r>
    <r>
      <rPr>
        <b/>
        <sz val="11"/>
        <color theme="1"/>
        <rFont val="Arial"/>
      </rPr>
      <t>TRANS:</t>
    </r>
    <r>
      <rPr>
        <sz val="11"/>
        <color theme="1"/>
        <rFont val="Arial"/>
      </rPr>
      <t xml:space="preserve"> Ötkenderdı qaita sezınudıñ maşaqatynan nalyp, ärı qatty qoryqqandyğy sondai, eşteñenıñ baiybyna bara almady.
</t>
    </r>
    <r>
      <rPr>
        <b/>
        <sz val="11"/>
        <color theme="1"/>
        <rFont val="Arial"/>
      </rPr>
      <t>TRANSLATION:</t>
    </r>
    <r>
      <rPr>
        <sz val="11"/>
        <color theme="1"/>
        <rFont val="Arial"/>
      </rPr>
      <t xml:space="preserve"> Worn out from the labor of feeling the past again, and so frightened was she that she could not get to the bottom of anything.</t>
    </r>
  </si>
  <si>
    <t>guilty conscience — guilt and conscience fused; interpersonal harm – Melanie, Ashley, Rhett</t>
  </si>
  <si>
    <t>She heard the servants come back as night fell and it seemed to her that they were very silent as they moved about preparing supper. Or was it her guilty conscience? Mammy came to the door and knocked but Scarlett sent her away, saying she did not want any supper.</t>
  </si>
  <si>
    <t>TERM: nechistoy sovesti (нечистой совести) — an unclean conscience (gen.) [ORD] (lemma: совесть)
PASSAGE: Или, быть может, так ей казалось из-за нечистой совести?
TRANS: Ili, byt' mozhet, tak ey kazalos' iz-za nechistoy sovesti?
TRANSLATION: Or perhaps it seemed so to her because of her unclean conscience?</t>
  </si>
  <si>
    <r>
      <rPr>
        <b/>
        <sz val="11"/>
        <color theme="1"/>
        <rFont val="Arial"/>
      </rPr>
      <t>PASSAGE:</t>
    </r>
    <r>
      <rPr>
        <sz val="11"/>
        <color theme="1"/>
        <rFont val="Arial"/>
      </rPr>
      <t xml:space="preserve"> Әлде өзінің </t>
    </r>
    <r>
      <rPr>
        <b/>
        <sz val="11"/>
        <color theme="1"/>
        <rFont val="Arial"/>
      </rPr>
      <t>ұяты</t>
    </r>
    <r>
      <rPr>
        <sz val="11"/>
        <color theme="1"/>
        <rFont val="Arial"/>
      </rPr>
      <t xml:space="preserve"> таза болмаған соң да солай көрінді ме екен?
</t>
    </r>
    <r>
      <rPr>
        <b/>
        <sz val="11"/>
        <color theme="1"/>
        <rFont val="Arial"/>
      </rPr>
      <t>TRANS:</t>
    </r>
    <r>
      <rPr>
        <sz val="11"/>
        <color theme="1"/>
        <rFont val="Arial"/>
      </rPr>
      <t xml:space="preserve"> Älde özınıñ </t>
    </r>
    <r>
      <rPr>
        <b/>
        <sz val="11"/>
        <color theme="1"/>
        <rFont val="Arial"/>
      </rPr>
      <t>ūiaty</t>
    </r>
    <r>
      <rPr>
        <sz val="11"/>
        <color theme="1"/>
        <rFont val="Arial"/>
      </rPr>
      <t xml:space="preserve"> taza bolmağan soñ da solai körındı me eken?
</t>
    </r>
    <r>
      <rPr>
        <b/>
        <sz val="11"/>
        <color theme="1"/>
        <rFont val="Arial"/>
      </rPr>
      <t>TRANSLATION:</t>
    </r>
    <r>
      <rPr>
        <sz val="11"/>
        <color theme="1"/>
        <rFont val="Arial"/>
      </rPr>
      <t xml:space="preserve"> Or did it seem so to her because her own </t>
    </r>
    <r>
      <rPr>
        <b/>
        <sz val="11"/>
        <color theme="1"/>
        <rFont val="Arial"/>
      </rPr>
      <t>conscience</t>
    </r>
    <r>
      <rPr>
        <sz val="11"/>
        <color theme="1"/>
        <rFont val="Arial"/>
      </rPr>
      <t xml:space="preserve"> was not clean? </t>
    </r>
  </si>
  <si>
    <t>strong felt guilt; inner moral accusation; Melanie as moral mirror</t>
  </si>
  <si>
    <t>Rhett had left town the hour before with Bonnie and Prissy, and desolation was added to Scarlett's shame and anger. The additional burden of her guilt with Ashley and Melanie's defense was more than she could bear. Had Melanie believed India and Archie, cut her at the reception or even greeted her frigidly, then she could have held her head high and fought back with every weapon in her armory. But now, with the memory of Melanie standing between her and social ruin, standing like a thin, shining blade, with trust and a fighting light in her eyes, there seemed nothing honest to do but</t>
  </si>
  <si>
    <t>TERM: vinovataya (виноватая) — guilty; at fault (fem.) [ORD] (lemma: виноватый)
PASSAGE: А сейчас, когда Мелани стала ее защищать, тогда как сама она, Скарлетт, чувствовала себя глубоко виноватой, — этого она и вовсе не в состоянии была вынести.
TRANS: A seychas, kogda Melani stala ee zashchishchat', togda kak sama ona, Skarlett, chuvstvovala sebya gluboko vinovatoy, — etogo ona i vovse ne v sostoyanii byla vynesti.
TRANSLATION: And now, when Melanie began to defend her, while she herself, Scarlett, felt deeply guilty — this she was simply unable to bear.</t>
  </si>
  <si>
    <r>
      <rPr>
        <b/>
        <sz val="11"/>
        <color theme="1"/>
        <rFont val="Arial"/>
      </rPr>
      <t>TERM:</t>
    </r>
    <r>
      <rPr>
        <sz val="11"/>
        <color theme="1"/>
        <rFont val="Arial"/>
      </rPr>
      <t xml:space="preserve"> künä (күнә) — sin (religious register; from Persian gunāh) [KED, SZK]
</t>
    </r>
    <r>
      <rPr>
        <b/>
        <sz val="11"/>
        <color theme="1"/>
        <rFont val="Arial"/>
      </rPr>
      <t>PASSAGE:</t>
    </r>
    <r>
      <rPr>
        <sz val="11"/>
        <color theme="1"/>
        <rFont val="Arial"/>
      </rPr>
      <t xml:space="preserve"> Өзінің соншалық </t>
    </r>
    <r>
      <rPr>
        <b/>
        <sz val="11"/>
        <color theme="1"/>
        <rFont val="Arial"/>
      </rPr>
      <t>күнәға</t>
    </r>
    <r>
      <rPr>
        <sz val="11"/>
        <color theme="1"/>
        <rFont val="Arial"/>
      </rPr>
      <t xml:space="preserve"> батқан қазіргі жағдайында Меланидің өлердей сеніп, шыр-пыр боп, қорғаштағаны жанына тіпті қатты батып тұр
</t>
    </r>
    <r>
      <rPr>
        <b/>
        <sz val="11"/>
        <color theme="1"/>
        <rFont val="Arial"/>
      </rPr>
      <t>TRANS:</t>
    </r>
    <r>
      <rPr>
        <sz val="11"/>
        <color theme="1"/>
        <rFont val="Arial"/>
      </rPr>
      <t xml:space="preserve"> Özınıñ sonşalyq </t>
    </r>
    <r>
      <rPr>
        <b/>
        <sz val="11"/>
        <color theme="1"/>
        <rFont val="Arial"/>
      </rPr>
      <t>künäğa</t>
    </r>
    <r>
      <rPr>
        <sz val="11"/>
        <color theme="1"/>
        <rFont val="Arial"/>
      </rPr>
      <t xml:space="preserve"> batqan qazırgı jağdaiynda Melanidıñ ölerdei senıp, şyr-pyr bop, qorğaştağany janyna tıptı qatty batyp tūr
</t>
    </r>
    <r>
      <rPr>
        <b/>
        <sz val="11"/>
        <color theme="1"/>
        <rFont val="Arial"/>
      </rPr>
      <t>TRANSLATION:</t>
    </r>
    <r>
      <rPr>
        <sz val="11"/>
        <color theme="1"/>
        <rFont val="Arial"/>
      </rPr>
      <t xml:space="preserve"> In her present situation, having </t>
    </r>
    <r>
      <rPr>
        <b/>
        <sz val="11"/>
        <color theme="1"/>
        <rFont val="Arial"/>
      </rPr>
      <t>sinned</t>
    </r>
    <r>
      <rPr>
        <sz val="11"/>
        <color theme="1"/>
        <rFont val="Arial"/>
      </rPr>
      <t xml:space="preserve"> so deeply, Melanie's believing in her to the death and bustling about to protect her sat very heavily on her soul.</t>
    </r>
  </si>
  <si>
    <t>Some of Rhett's taunting words of contempt came back to her and she wondered if indeed Ashley had played the manly part in this mess. And, for the first time, some of the bright glow which had enveloped him since the first day she fell in love with him began to fade imperceptibly. The tarnish of shame and guilt that enveloped her spread to him as well. Resolutely she tried to fight off this thought but it only made her cry harder.</t>
  </si>
  <si>
    <t>TERM: pozora (позора) — disgrace (gen.) [ORD] (lemma: позор)
PASSAGE: Черное пятно позора и вины, лежавшее на ней, переползло и на него.
TRANS: Chernoe pyatno pozora i viny, lezhavshee na ney, perepolzlo i na nego.
TRANSLATION: The black stain of disgrace and guilt that lay upon her crept onto him as well.</t>
  </si>
  <si>
    <r>
      <rPr>
        <b/>
        <sz val="11"/>
        <color theme="1"/>
        <rFont val="Arial"/>
      </rPr>
      <t>TERM:</t>
    </r>
    <r>
      <rPr>
        <sz val="11"/>
        <color theme="1"/>
        <rFont val="Arial"/>
      </rPr>
      <t xml:space="preserve"> kınä men künä (кінә мен күнә) — guilt and sin (set phrase combining secular and religious registers) [KED, SZK] (lemma: кінә)
</t>
    </r>
    <r>
      <rPr>
        <b/>
        <sz val="11"/>
        <color theme="1"/>
        <rFont val="Arial"/>
      </rPr>
      <t>PASSAGE:</t>
    </r>
    <r>
      <rPr>
        <sz val="11"/>
        <color theme="1"/>
        <rFont val="Arial"/>
      </rPr>
      <t xml:space="preserve"> Осы уақытқа дейін өз арқасына басқан </t>
    </r>
    <r>
      <rPr>
        <b/>
        <sz val="11"/>
        <color theme="1"/>
        <rFont val="Arial"/>
      </rPr>
      <t>кінә мен күнәнің</t>
    </r>
    <r>
      <rPr>
        <sz val="11"/>
        <color theme="1"/>
        <rFont val="Arial"/>
      </rPr>
      <t xml:space="preserve"> қап-қара нүктесі жылыстап, Эшлиге қарай ауып бара жатты.
</t>
    </r>
    <r>
      <rPr>
        <b/>
        <sz val="11"/>
        <color theme="1"/>
        <rFont val="Arial"/>
      </rPr>
      <t>TRANS:</t>
    </r>
    <r>
      <rPr>
        <sz val="11"/>
        <color theme="1"/>
        <rFont val="Arial"/>
      </rPr>
      <t xml:space="preserve"> Osy uaqytqa deiın öz arqasyna basqan </t>
    </r>
    <r>
      <rPr>
        <b/>
        <sz val="11"/>
        <color theme="1"/>
        <rFont val="Arial"/>
      </rPr>
      <t>kınä men künänıñ</t>
    </r>
    <r>
      <rPr>
        <sz val="11"/>
        <color theme="1"/>
        <rFont val="Arial"/>
      </rPr>
      <t xml:space="preserve"> qap-qara nüktesı jylystap, Eşlige qarai auyp bara jatty.
</t>
    </r>
    <r>
      <rPr>
        <b/>
        <sz val="11"/>
        <color theme="1"/>
        <rFont val="Arial"/>
      </rPr>
      <t>TRANSLATION:</t>
    </r>
    <r>
      <rPr>
        <sz val="11"/>
        <color theme="1"/>
        <rFont val="Arial"/>
      </rPr>
      <t xml:space="preserve"> The pitch-black mark of </t>
    </r>
    <r>
      <rPr>
        <b/>
        <sz val="11"/>
        <color theme="1"/>
        <rFont val="Arial"/>
      </rPr>
      <t>guilt</t>
    </r>
    <r>
      <rPr>
        <sz val="11"/>
        <color theme="1"/>
        <rFont val="Arial"/>
      </rPr>
      <t xml:space="preserve"> and </t>
    </r>
    <r>
      <rPr>
        <b/>
        <sz val="11"/>
        <color theme="1"/>
        <rFont val="Arial"/>
      </rPr>
      <t>sin</t>
    </r>
    <r>
      <rPr>
        <sz val="11"/>
        <color theme="1"/>
        <rFont val="Arial"/>
      </rPr>
      <t xml:space="preserve"> that she had borne on her own back was sliding off and shifting toward Ashley.</t>
    </r>
  </si>
  <si>
    <t>Guilt about Melanie; activates as Dr Meade’s unmasked contempt</t>
  </si>
  <si>
    <t>The door of Melanie's room opened quietly and Dr. Meade came out into the hall, shutting the door behind him. He stood for a moment, his gray beard sunk on his chest, and looked at the suddenly frozen four. His gaze fell last on Scarlett. As he came toward her, she saw that there was grief in his eyes and also dislike and contempt that flooded her frightened heart with guilt.</t>
  </si>
  <si>
    <t>PASSAGE: Когда он подошел к ней, она прочла в его глазах скорбь, а также неприязнь и презрение, и сердце у нее испуганно заныло от чувства вины.
TRANS: Kogda on podoshel k ney, ona prochla v ego glazakh skorb', a takzhe nepriyazn' i prezrenie, i serdtse u nee ispuganno zanylo ot chuvstva viny.
TRANSLATION: When he came up to her, she read in his eyes sorrow, and also dislike and contempt, and her heart ached fearfully with the feeling of guilt.</t>
  </si>
  <si>
    <r>
      <rPr>
        <b/>
        <sz val="11"/>
        <color theme="1"/>
        <rFont val="Arial"/>
      </rPr>
      <t>TERM:</t>
    </r>
    <r>
      <rPr>
        <sz val="11"/>
        <color theme="1"/>
        <rFont val="Arial"/>
      </rPr>
      <t xml:space="preserve"> KİNÄLY (КІНӘЛЫ) — guilty; at fault [KED, SZK] (lemma: кінәлі)
</t>
    </r>
    <r>
      <rPr>
        <b/>
        <sz val="11"/>
        <color theme="1"/>
        <rFont val="Arial"/>
      </rPr>
      <t>PASSAGE:</t>
    </r>
    <r>
      <rPr>
        <sz val="11"/>
        <color theme="1"/>
        <rFont val="Arial"/>
      </rPr>
      <t xml:space="preserve"> Бері таман жақындап, қасына келген қарияның жанарынан қасірет көрген Скарлеттің жүрегі зырқ ете қалып </t>
    </r>
    <r>
      <rPr>
        <b/>
        <sz val="11"/>
        <color theme="1"/>
        <rFont val="Arial"/>
      </rPr>
      <t>кінәлі</t>
    </r>
    <r>
      <rPr>
        <sz val="11"/>
        <color theme="1"/>
        <rFont val="Arial"/>
      </rPr>
      <t xml:space="preserve"> балаша төмен қарай берді.
</t>
    </r>
    <r>
      <rPr>
        <b/>
        <sz val="11"/>
        <color theme="1"/>
        <rFont val="Arial"/>
      </rPr>
      <t>TRANS:</t>
    </r>
    <r>
      <rPr>
        <sz val="11"/>
        <color theme="1"/>
        <rFont val="Arial"/>
      </rPr>
      <t xml:space="preserve"> Berı taman jaqyndap, qasyna kelgen qarianyñ janarynan qasıret körgen Skarlettıñ jüregı zyrq ete qalyp </t>
    </r>
    <r>
      <rPr>
        <b/>
        <sz val="11"/>
        <color theme="1"/>
        <rFont val="Arial"/>
      </rPr>
      <t>kınälı</t>
    </r>
    <r>
      <rPr>
        <sz val="11"/>
        <color theme="1"/>
        <rFont val="Arial"/>
      </rPr>
      <t xml:space="preserve"> balaşa tömen qarai berdı.
</t>
    </r>
    <r>
      <rPr>
        <b/>
        <sz val="11"/>
        <color theme="1"/>
        <rFont val="Arial"/>
      </rPr>
      <t>TRANSLATION:</t>
    </r>
    <r>
      <rPr>
        <sz val="11"/>
        <color theme="1"/>
        <rFont val="Arial"/>
      </rPr>
      <t xml:space="preserve"> When the old man came nearer and approached, seeing the suffering in his gaze Scarlett's heart pounded and she lowered her eyes like a </t>
    </r>
    <r>
      <rPr>
        <b/>
        <sz val="11"/>
        <color theme="1"/>
        <rFont val="Arial"/>
      </rPr>
      <t>guilty</t>
    </r>
    <r>
      <rPr>
        <sz val="11"/>
        <color theme="1"/>
        <rFont val="Arial"/>
      </rPr>
      <t xml:space="preserve"> child.</t>
    </r>
  </si>
  <si>
    <t>strong felt guilt; inner moral accusation; Melanie feels she’s breaking moral and religious laws by coveting Scarlett’s baby</t>
  </si>
  <si>
    <t>She sank gratefully into a chair, her back, which always ached these days, feeling as though it would break in two at the waist line. Oh, how fortunate Scarlett was to have Captain Butler just outside her door while the baby was being born! If only she had had Ashley with her that dreadful day Beau came she would not have suffered half so much. If only that small girl behind those closed doors were hers and not Scarlett's! Oh, how wicked I am, she thought guiltily. I am coveting her baby and Scarlett has been so good to me. Forgive me, Lord. I wouldn't really want Scarlett's baby but—but I would so like a baby of my own!</t>
  </si>
  <si>
    <t>TERM: vinovato (виновато) — guiltily (adv.) [ORD]
PASSAGE: «Ах, какая же я скверная, — виновато подумала Мелани.
TRANS: «Akh, kakaya zhe ya skvernaya, — vinovato podumala Melani.
TRANSLATION: "Oh, what an awful person I am," Melanie thought guiltily.</t>
  </si>
  <si>
    <r>
      <rPr>
        <b/>
        <sz val="11"/>
        <color theme="1"/>
        <rFont val="Arial"/>
      </rPr>
      <t>TERM:</t>
    </r>
    <r>
      <rPr>
        <sz val="11"/>
        <color theme="1"/>
        <rFont val="Arial"/>
      </rPr>
      <t xml:space="preserve"> QYSYLU (ҚЫСЫЛУ) — to feel embarrassed; to feel constrained; to be in difficulty [KED, SZK]
</t>
    </r>
    <r>
      <rPr>
        <b/>
        <sz val="11"/>
        <color theme="1"/>
        <rFont val="Arial"/>
      </rPr>
      <t>PASSAGE:</t>
    </r>
    <r>
      <rPr>
        <sz val="11"/>
        <color theme="1"/>
        <rFont val="Arial"/>
      </rPr>
      <t xml:space="preserve"> О, тәңірім, мен неткен қызғаншақ едім, - деп ойлады тағы өз ішкі тұжырымдарынан </t>
    </r>
    <r>
      <rPr>
        <b/>
        <sz val="11"/>
        <color theme="1"/>
        <rFont val="Arial"/>
      </rPr>
      <t>қысылып</t>
    </r>
    <r>
      <rPr>
        <sz val="11"/>
        <color theme="1"/>
        <rFont val="Arial"/>
      </rPr>
      <t xml:space="preserve"> кеткен Мелани.
</t>
    </r>
    <r>
      <rPr>
        <b/>
        <sz val="11"/>
        <color theme="1"/>
        <rFont val="Arial"/>
      </rPr>
      <t>TRANS:</t>
    </r>
    <r>
      <rPr>
        <sz val="11"/>
        <color theme="1"/>
        <rFont val="Arial"/>
      </rPr>
      <t xml:space="preserve"> O, täñırım, men netken qyzğanşaq edım, - dep oilady tağy öz ışkı tūjyrymdarynan </t>
    </r>
    <r>
      <rPr>
        <b/>
        <sz val="11"/>
        <color theme="1"/>
        <rFont val="Arial"/>
      </rPr>
      <t>qysylyp</t>
    </r>
    <r>
      <rPr>
        <sz val="11"/>
        <color theme="1"/>
        <rFont val="Arial"/>
      </rPr>
      <t xml:space="preserve"> ketken Melani.
</t>
    </r>
    <r>
      <rPr>
        <b/>
        <sz val="11"/>
        <color theme="1"/>
        <rFont val="Arial"/>
      </rPr>
      <t>TRANSLATION:</t>
    </r>
    <r>
      <rPr>
        <sz val="11"/>
        <color theme="1"/>
        <rFont val="Arial"/>
      </rPr>
      <t xml:space="preserve"> "O God, how envious I have been!" — thought Melanie, again </t>
    </r>
    <r>
      <rPr>
        <b/>
        <sz val="11"/>
        <color theme="1"/>
        <rFont val="Arial"/>
      </rPr>
      <t>embarrassed</t>
    </r>
    <r>
      <rPr>
        <sz val="11"/>
        <color theme="1"/>
        <rFont val="Arial"/>
      </rPr>
      <t xml:space="preserve"> at her own inner conclusions.</t>
    </r>
  </si>
  <si>
    <t>strong felt guilt; inner moral accusation; about eating stolen food</t>
  </si>
  <si>
    <t>Pork foraged far, at times not coming home all night, and Scarlett did not ask him where he went. Sometimes he returned with game, sometimes with a few ears of corn, a bag of dried peas. Once he brought home a rooster which he said he found in the woods. The family ate it with relish but a sense of guilt, knowing very well Pork had stolen it, as he had stolen the peas and corn. One night soon after this, he tapped on Scarlett's door long after the house was asleep and sheepishly exhibited a leg peppered with small shot. As she bandaged it for him, he explained awkwardly that when attempting to get into a hen coop at Fayetteville, he had been discovered. Scarlett did not ask whose hen coop but patted Pork's shoulder gently, tears in her eyes.</t>
  </si>
  <si>
    <t>Family</t>
  </si>
  <si>
    <t>TERM: chuvstva viny (чувства вины) — feeling of guilt (gen.) [ORD] (lemma: вина)
PASSAGE: Они с превеликим аппетитом, но и не без чувства вины прикончили этого петуха, ибо все отлично понимали: петуха Порк украл, так же как горох и кукурузу.
TRANS: Oni s prevelikim appetitom, no i ne bez chuvstva viny prikonchili etogo petukha, ibo vse otlichno ponimali: petukha Pork ukral, tak zhe kak gorokh i kukuruzu.
TRANSLATION: They polished off this rooster with great appetite, but not without a feeling of guilt, for everyone understood perfectly well: Pork had stolen the rooster, just as he had the peas and corn.</t>
  </si>
  <si>
    <r>
      <rPr>
        <b/>
        <sz val="11"/>
        <color theme="1"/>
        <rFont val="Arial"/>
      </rPr>
      <t>TERM:</t>
    </r>
    <r>
      <rPr>
        <sz val="11"/>
        <color theme="1"/>
        <rFont val="Arial"/>
      </rPr>
      <t xml:space="preserve"> AİYPTY (АЙЫПТЫ) — guilty [KED, SZK]
</t>
    </r>
    <r>
      <rPr>
        <b/>
        <sz val="11"/>
        <color theme="1"/>
        <rFont val="Arial"/>
      </rPr>
      <t>PASSAGE:</t>
    </r>
    <r>
      <rPr>
        <sz val="11"/>
        <color theme="1"/>
        <rFont val="Arial"/>
      </rPr>
      <t xml:space="preserve"> Олар бұл әтешті тамаша тәбетпен жеп алды, бірақ оған қоса әлденеге </t>
    </r>
    <r>
      <rPr>
        <b/>
        <sz val="11"/>
        <color theme="1"/>
        <rFont val="Arial"/>
      </rPr>
      <t>айыпты</t>
    </r>
    <r>
      <rPr>
        <sz val="11"/>
        <color theme="1"/>
        <rFont val="Arial"/>
      </rPr>
      <t xml:space="preserve"> сезім де болды, өйткені Порктің бұршақ пен жүгеріні ұрлап әкелгені сияқты әтешті де үптеп кеткенін бәрінің іштері сезді.
</t>
    </r>
    <r>
      <rPr>
        <b/>
        <sz val="11"/>
        <color theme="1"/>
        <rFont val="Arial"/>
      </rPr>
      <t>TRANS:</t>
    </r>
    <r>
      <rPr>
        <sz val="11"/>
        <color theme="1"/>
        <rFont val="Arial"/>
      </rPr>
      <t xml:space="preserve"> Olar būl äteştı tamaşa täbetpen jep aldy, bıraq oğan qosa äldenege </t>
    </r>
    <r>
      <rPr>
        <b/>
        <sz val="11"/>
        <color theme="1"/>
        <rFont val="Arial"/>
      </rPr>
      <t>aiypty</t>
    </r>
    <r>
      <rPr>
        <sz val="11"/>
        <color theme="1"/>
        <rFont val="Arial"/>
      </rPr>
      <t xml:space="preserve"> sezım de boldy, öitkenı Porktıñ būrşaq pen jügerını ūrlap äkelgenı siaqty äteştı de üptep ketkenın bärınıñ ışterı sezdı.
</t>
    </r>
    <r>
      <rPr>
        <b/>
        <sz val="11"/>
        <color theme="1"/>
        <rFont val="Arial"/>
      </rPr>
      <t>TRANSLATION:</t>
    </r>
    <r>
      <rPr>
        <sz val="11"/>
        <color theme="1"/>
        <rFont val="Arial"/>
      </rPr>
      <t xml:space="preserve"> They ate this rooster with wonderful appetite, but along with that there was also a feeling of </t>
    </r>
    <r>
      <rPr>
        <b/>
        <sz val="11"/>
        <color theme="1"/>
        <rFont val="Arial"/>
      </rPr>
      <t>guilt</t>
    </r>
    <r>
      <rPr>
        <sz val="11"/>
        <color theme="1"/>
        <rFont val="Arial"/>
      </rPr>
      <t>, for everyone inwardly sensed that, just as Pork had stolen the peas and corn, he had taken this rooster too.</t>
    </r>
  </si>
  <si>
    <t>Activated by Peter’s severe look (child’s emotion at adult’s judgment)</t>
  </si>
  <si>
    <t>"No'm. She's po'ly, thank God," answered Peter, fastening a severe look first on Melly and then on Scarlett, so that they suddenly felt guilty but could think of no reason why. "She's po'ly but she is plum outdone wid you young Misses, an' ef it come right down to it, Ah is too!"</t>
  </si>
  <si>
    <t>Melanie-Scarlett</t>
  </si>
  <si>
    <t>TERM: provinivshimisya (провинившимися) — those at fault; the guilty ones (instr. pl.) [ORD] (lemma: провиниться)
PASSAGE: Она держится, храни ее господь, — отвечал дядюшка Питер, бросая такой суровый взгляд сначала на Мелани, затем на Скарлетт, что они сразу почувствовали себя провинившимися, хотя еще не отдавали себе отчета — в чем.
TRANS: Ona derzhitsya, khrani ee gospod', — otvechal dyadyushka Piter, brosaya takoy surovyy vzglyad snachala na Melani, zatem na Skarlett, chto oni srazu pochuvstvovali sebya provinivshimisya, khotya eshche ne otdavali sebe otcheta — v chem.
TRANSLATION: She is bearing up, God preserve her, — answered Uncle Peter, casting such a stern look first at Melanie and then at Scarlett that they immediately felt guilty, although they could not yet account to themselves of what.</t>
  </si>
  <si>
    <r>
      <rPr>
        <b/>
        <sz val="11"/>
        <color theme="1"/>
        <rFont val="Arial"/>
      </rPr>
      <t>TERM:</t>
    </r>
    <r>
      <rPr>
        <sz val="11"/>
        <color theme="1"/>
        <rFont val="Arial"/>
      </rPr>
      <t xml:space="preserve"> KİNÄLY (КІНӘЛЫ) — guilty; at fault [KED, SZK] (lemma: кінәлі)
</t>
    </r>
    <r>
      <rPr>
        <b/>
        <sz val="11"/>
        <color theme="1"/>
        <rFont val="Arial"/>
      </rPr>
      <t>PASSAGE:</t>
    </r>
    <r>
      <rPr>
        <sz val="11"/>
        <color theme="1"/>
        <rFont val="Arial"/>
      </rPr>
      <t xml:space="preserve"> осы сәтте олар не үшін екеніне есеп беріп жатпаса да, өздерін </t>
    </r>
    <r>
      <rPr>
        <b/>
        <sz val="11"/>
        <color theme="1"/>
        <rFont val="Arial"/>
      </rPr>
      <t>кінәлі</t>
    </r>
    <r>
      <rPr>
        <sz val="11"/>
        <color theme="1"/>
        <rFont val="Arial"/>
      </rPr>
      <t xml:space="preserve"> сезінді.
</t>
    </r>
    <r>
      <rPr>
        <b/>
        <sz val="11"/>
        <color theme="1"/>
        <rFont val="Arial"/>
      </rPr>
      <t>TRANS:</t>
    </r>
    <r>
      <rPr>
        <sz val="11"/>
        <color theme="1"/>
        <rFont val="Arial"/>
      </rPr>
      <t xml:space="preserve"> osy sätte olar ne üşın ekenıne esep berıp jatpasa da, özderın </t>
    </r>
    <r>
      <rPr>
        <b/>
        <sz val="11"/>
        <color theme="1"/>
        <rFont val="Arial"/>
      </rPr>
      <t>kınälı</t>
    </r>
    <r>
      <rPr>
        <sz val="11"/>
        <color theme="1"/>
        <rFont val="Arial"/>
      </rPr>
      <t xml:space="preserve"> sezındı.
</t>
    </r>
    <r>
      <rPr>
        <b/>
        <sz val="11"/>
        <color theme="1"/>
        <rFont val="Arial"/>
      </rPr>
      <t>TRANSLATION:</t>
    </r>
    <r>
      <rPr>
        <sz val="11"/>
        <color theme="1"/>
        <rFont val="Arial"/>
      </rPr>
      <t xml:space="preserve"> at that moment, although they were not yet giving themselves an account of why, they felt </t>
    </r>
    <r>
      <rPr>
        <b/>
        <sz val="11"/>
        <color theme="1"/>
        <rFont val="Arial"/>
      </rPr>
      <t>guilty</t>
    </r>
    <r>
      <rPr>
        <sz val="11"/>
        <color theme="1"/>
        <rFont val="Arial"/>
      </rPr>
      <t>.</t>
    </r>
  </si>
  <si>
    <t>strong felt guilt; inner moral accusation about what turned out to be slander</t>
  </si>
  <si>
    <t>Mrs Elsing</t>
  </si>
  <si>
    <t>TERM: stesnyaetes' (стесняетесь) — (you) are shy; feel awkward (2pl.) [ORD] (lemma: стесняться)
PASSAGE: Можно подумать, что вы стесняетесь этого
TRANS: Mozhno podumat', chto vy stesnyaetes' etogo
TRANSLATION: One might think that you are embarrassed by it</t>
  </si>
  <si>
    <r>
      <rPr>
        <b/>
        <sz val="11"/>
        <color theme="1"/>
        <rFont val="Arial"/>
      </rPr>
      <t>TERM:</t>
    </r>
    <r>
      <rPr>
        <sz val="11"/>
        <color theme="1"/>
        <rFont val="Arial"/>
      </rPr>
      <t xml:space="preserve"> ŪİALU (ҰЯЛУ) — to feel ashamed; to feel shy; to be embarrassed [KED, SZK]
</t>
    </r>
    <r>
      <rPr>
        <b/>
        <sz val="11"/>
        <color theme="1"/>
        <rFont val="Arial"/>
      </rPr>
      <t>PASSAGE:</t>
    </r>
    <r>
      <rPr>
        <sz val="11"/>
        <color theme="1"/>
        <rFont val="Arial"/>
      </rPr>
      <t xml:space="preserve"> Тіпті сізді сол қызметі үшін </t>
    </r>
    <r>
      <rPr>
        <b/>
        <sz val="11"/>
        <color theme="1"/>
        <rFont val="Arial"/>
      </rPr>
      <t>ұялады</t>
    </r>
    <r>
      <rPr>
        <sz val="11"/>
        <color theme="1"/>
        <rFont val="Arial"/>
      </rPr>
      <t xml:space="preserve"> деуге де болатындай.
</t>
    </r>
    <r>
      <rPr>
        <b/>
        <sz val="11"/>
        <color theme="1"/>
        <rFont val="Arial"/>
      </rPr>
      <t>TRANS:</t>
    </r>
    <r>
      <rPr>
        <sz val="11"/>
        <color theme="1"/>
        <rFont val="Arial"/>
      </rPr>
      <t xml:space="preserve"> Tıptı sızdı sol qyzmetı üşın </t>
    </r>
    <r>
      <rPr>
        <b/>
        <sz val="11"/>
        <color theme="1"/>
        <rFont val="Arial"/>
      </rPr>
      <t>ūialady</t>
    </r>
    <r>
      <rPr>
        <sz val="11"/>
        <color theme="1"/>
        <rFont val="Arial"/>
      </rPr>
      <t xml:space="preserve"> deuge de bolatyndai.
</t>
    </r>
    <r>
      <rPr>
        <b/>
        <sz val="11"/>
        <color theme="1"/>
        <rFont val="Arial"/>
      </rPr>
      <t>TRANSLATION:</t>
    </r>
    <r>
      <rPr>
        <sz val="11"/>
        <color theme="1"/>
        <rFont val="Arial"/>
      </rPr>
      <t xml:space="preserve"> One could even say you are </t>
    </r>
    <r>
      <rPr>
        <b/>
        <sz val="11"/>
        <color theme="1"/>
        <rFont val="Arial"/>
      </rPr>
      <t>ashamed</t>
    </r>
    <r>
      <rPr>
        <sz val="11"/>
        <color theme="1"/>
        <rFont val="Arial"/>
      </rPr>
      <t xml:space="preserve"> of that service.</t>
    </r>
  </si>
  <si>
    <t>Guilty conscience</t>
  </si>
  <si>
    <t>TERM: sovest' (совесть) — conscience; the inner moral faculty [ORD]
PASSAGE: Или, быть может, так ей казалось из-за нечистой совести?
TRANS: Ili, byt' mozhet, tak ey kazalos' iz-za nechistoy sovesti?
TRANSLATION: Or perhaps it seemed so to her because of her unclean conscience?</t>
  </si>
  <si>
    <r>
      <rPr>
        <b/>
        <sz val="11"/>
        <color theme="1"/>
        <rFont val="Arial"/>
      </rPr>
      <t>TERM</t>
    </r>
    <r>
      <rPr>
        <sz val="11"/>
        <color theme="1"/>
        <rFont val="Arial"/>
      </rPr>
      <t xml:space="preserve">: ŪİAT (ҰЯТ) — shame; disgrace; sense of decency (also: that which is improper) [KED, SZK]
</t>
    </r>
    <r>
      <rPr>
        <b/>
        <sz val="11"/>
        <color theme="1"/>
        <rFont val="Arial"/>
      </rPr>
      <t>PASSAGE:</t>
    </r>
    <r>
      <rPr>
        <sz val="11"/>
        <color theme="1"/>
        <rFont val="Arial"/>
      </rPr>
      <t xml:space="preserve"> Әлде өзінің </t>
    </r>
    <r>
      <rPr>
        <b/>
        <sz val="11"/>
        <color theme="1"/>
        <rFont val="Arial"/>
      </rPr>
      <t>ұяты</t>
    </r>
    <r>
      <rPr>
        <sz val="11"/>
        <color theme="1"/>
        <rFont val="Arial"/>
      </rPr>
      <t xml:space="preserve"> таза болмаған соң да солай көрінді ме екен?
</t>
    </r>
    <r>
      <rPr>
        <b/>
        <sz val="11"/>
        <color theme="1"/>
        <rFont val="Arial"/>
      </rPr>
      <t>TRANS:</t>
    </r>
    <r>
      <rPr>
        <sz val="11"/>
        <color theme="1"/>
        <rFont val="Arial"/>
      </rPr>
      <t xml:space="preserve"> Älde özınıñ </t>
    </r>
    <r>
      <rPr>
        <b/>
        <sz val="11"/>
        <color theme="1"/>
        <rFont val="Arial"/>
      </rPr>
      <t>ūiaty</t>
    </r>
    <r>
      <rPr>
        <sz val="11"/>
        <color theme="1"/>
        <rFont val="Arial"/>
      </rPr>
      <t xml:space="preserve"> taza bolmağan soñ da solai körındı me eken?
</t>
    </r>
    <r>
      <rPr>
        <b/>
        <sz val="11"/>
        <color theme="1"/>
        <rFont val="Arial"/>
      </rPr>
      <t>TRANSLATION:</t>
    </r>
    <r>
      <rPr>
        <sz val="11"/>
        <color theme="1"/>
        <rFont val="Arial"/>
      </rPr>
      <t xml:space="preserve"> Or did it seem so to her because her own </t>
    </r>
    <r>
      <rPr>
        <b/>
        <sz val="11"/>
        <color theme="1"/>
        <rFont val="Arial"/>
      </rPr>
      <t>shame</t>
    </r>
    <r>
      <rPr>
        <sz val="11"/>
        <color theme="1"/>
        <rFont val="Arial"/>
      </rPr>
      <t xml:space="preserve"> was not clean?</t>
    </r>
  </si>
  <si>
    <t>Guilt — Guilt as deed</t>
  </si>
  <si>
    <t>Deed</t>
  </si>
  <si>
    <t>If we had been caught that Christmas of his furlough when I kissed him good-by—if we had been caught in the orchard at Tara when I begged him to run away with me—oh, if we'd been caught any of the times when we were really guilty, it wouldn't be so bad! But now! Now! When I went to his arms as a friend—</t>
  </si>
  <si>
    <t>TERM: vinovaty (виноваты) — (we/they are) at fault (pl.) [ORD] (lemma: виноватый)
PASSAGE: ох, если бы нас застигли в любое другое время, когда мы были в самом деле виноваты, это не было бы так обидно!
TRANS: okh, esli by nas zastigli v lyuboe drugoe vremya, kogda my byli v samom dele vinovaty, eto ne bylo by tak obidno!
TRANSLATION: oh, if we had been caught at any other time, when we really were guilty, it would not have been so distressing!</t>
  </si>
  <si>
    <r>
      <rPr>
        <b/>
        <sz val="11"/>
        <color theme="1"/>
        <rFont val="Arial"/>
      </rPr>
      <t>TERM:</t>
    </r>
    <r>
      <rPr>
        <sz val="11"/>
        <color theme="1"/>
        <rFont val="Arial"/>
      </rPr>
      <t xml:space="preserve"> KİNÄLY (КІНӘЛЫ) — guilty; at fault [KED, SZK] (lemma: кінәлі)
</t>
    </r>
    <r>
      <rPr>
        <b/>
        <sz val="11"/>
        <color theme="1"/>
        <rFont val="Arial"/>
      </rPr>
      <t>PASSAGE:</t>
    </r>
    <r>
      <rPr>
        <sz val="11"/>
        <color theme="1"/>
        <rFont val="Arial"/>
      </rPr>
      <t xml:space="preserve"> Әскерде жүргенде жаңа жылға келіп-кетерінде бетінен сүйгенімді көргенде ғой... Тарада менімен бірге қашуға азғырып тұрғанымда... ой, құдайым-ай, шынымен </t>
    </r>
    <r>
      <rPr>
        <b/>
        <sz val="11"/>
        <color theme="1"/>
        <rFont val="Arial"/>
      </rPr>
      <t>кінәлі</t>
    </r>
    <r>
      <rPr>
        <sz val="11"/>
        <color theme="1"/>
        <rFont val="Arial"/>
      </rPr>
      <t xml:space="preserve"> кезімізде көргендерінде бұлай өкінішті болмас еді ғой.
</t>
    </r>
    <r>
      <rPr>
        <b/>
        <sz val="11"/>
        <color theme="1"/>
        <rFont val="Arial"/>
      </rPr>
      <t>TRANS:</t>
    </r>
    <r>
      <rPr>
        <sz val="11"/>
        <color theme="1"/>
        <rFont val="Arial"/>
      </rPr>
      <t xml:space="preserve"> Äskerde jürgende jaña jylğa kelıp-keterınde betınen süigenımdı körgende ğoi... Tarada menımen bırge qaşuğa azğyryp tūrğanymda... oi, qūdaiym-ai, şynymen </t>
    </r>
    <r>
      <rPr>
        <b/>
        <sz val="11"/>
        <color theme="1"/>
        <rFont val="Arial"/>
      </rPr>
      <t>kınälı</t>
    </r>
    <r>
      <rPr>
        <sz val="11"/>
        <color theme="1"/>
        <rFont val="Arial"/>
      </rPr>
      <t xml:space="preserve"> kezımızde körgenderınde būlai ökınıştı bolmas edı ğoi.
</t>
    </r>
    <r>
      <rPr>
        <b/>
        <sz val="11"/>
        <color theme="1"/>
        <rFont val="Arial"/>
      </rPr>
      <t>TRANSLATION:</t>
    </r>
    <r>
      <rPr>
        <sz val="11"/>
        <color theme="1"/>
        <rFont val="Arial"/>
      </rPr>
      <t xml:space="preserve"> When I kissed his face on his return for New Year while he was on military leave... When in Tara he was tempting me to run away with him... oh, my God, if we had been caught when we really were </t>
    </r>
    <r>
      <rPr>
        <b/>
        <sz val="11"/>
        <color theme="1"/>
        <rFont val="Arial"/>
      </rPr>
      <t>guilty</t>
    </r>
    <r>
      <rPr>
        <sz val="11"/>
        <color theme="1"/>
        <rFont val="Arial"/>
      </rPr>
      <t>, it would not have been so distressing.</t>
    </r>
  </si>
  <si>
    <t>deed</t>
  </si>
  <si>
    <t>But no one would believe that. She wouldn't have a single friend to take her part, not a single voice would be raised to say: "I don't believe she was doing anything wrong." She had outraged old friends too long to find a champion among them now. Her new friends, suffering in silence under her insolences, would welcome a chance to blackguard her. No, everybody would believe anything about her, though they might regret that so fine a man as Ashley Wilkes was mixed up in so dirty an affair. As usual they would cast the blame upon the woman and shrug at the man's guilt. And in this case they would be right. She had gone into his arms.</t>
  </si>
  <si>
    <t>TERM: vina (вина) — guilt; fault; blame [ORD]
PASSAGE: По обыкновению, всю вину свалят на женщину, а по поводу мужчины лишь пожмут плечами.
TRANS: Po obyknoveniyu, vsyu vinu svalyat na zhenshchinu, a po povodu muzhchiny lish' pozhmut plechami.
TRANSLATION: As usual, all the blame will be heaped on the woman, while regarding the man they will only shrug.</t>
  </si>
  <si>
    <r>
      <rPr>
        <b/>
        <sz val="11"/>
        <color theme="1"/>
        <rFont val="Arial"/>
      </rPr>
      <t>TERM:</t>
    </r>
    <r>
      <rPr>
        <sz val="11"/>
        <color theme="1"/>
        <rFont val="Arial"/>
      </rPr>
      <t xml:space="preserve"> KİNÄ (КІНӘ) — guilt; fault; blame (secular) [KED, SZK]
</t>
    </r>
    <r>
      <rPr>
        <b/>
        <sz val="11"/>
        <color theme="1"/>
        <rFont val="Arial"/>
      </rPr>
      <t>PASSAGE:</t>
    </r>
    <r>
      <rPr>
        <sz val="11"/>
        <color theme="1"/>
        <rFont val="Arial"/>
      </rPr>
      <t xml:space="preserve"> Әдеттегіше, бар </t>
    </r>
    <r>
      <rPr>
        <b/>
        <sz val="11"/>
        <color theme="1"/>
        <rFont val="Arial"/>
      </rPr>
      <t>кінәні</t>
    </r>
    <r>
      <rPr>
        <sz val="11"/>
        <color theme="1"/>
        <rFont val="Arial"/>
      </rPr>
      <t xml:space="preserve"> әйелге аударады да, еркек туралы айтылғанда тек иықтарын қиқаң еткізер де қояр.
</t>
    </r>
    <r>
      <rPr>
        <b/>
        <sz val="11"/>
        <color theme="1"/>
        <rFont val="Arial"/>
      </rPr>
      <t>TRANS:</t>
    </r>
    <r>
      <rPr>
        <sz val="11"/>
        <color theme="1"/>
        <rFont val="Arial"/>
      </rPr>
      <t xml:space="preserve"> Ädettegışe, bar </t>
    </r>
    <r>
      <rPr>
        <b/>
        <sz val="11"/>
        <color theme="1"/>
        <rFont val="Arial"/>
      </rPr>
      <t>kınänı</t>
    </r>
    <r>
      <rPr>
        <sz val="11"/>
        <color theme="1"/>
        <rFont val="Arial"/>
      </rPr>
      <t xml:space="preserve"> äielge audarady da, erkek turaly aitylğanda tek iyqtaryn qiqañ etkızer de qoiar.
</t>
    </r>
    <r>
      <rPr>
        <b/>
        <sz val="11"/>
        <color theme="1"/>
        <rFont val="Arial"/>
      </rPr>
      <t>TRANSLATION:</t>
    </r>
    <r>
      <rPr>
        <sz val="11"/>
        <color theme="1"/>
        <rFont val="Arial"/>
      </rPr>
      <t xml:space="preserve"> As usual, all the </t>
    </r>
    <r>
      <rPr>
        <b/>
        <sz val="11"/>
        <color theme="1"/>
        <rFont val="Arial"/>
      </rPr>
      <t>blame</t>
    </r>
    <r>
      <rPr>
        <sz val="11"/>
        <color theme="1"/>
        <rFont val="Arial"/>
      </rPr>
      <t xml:space="preserve"> is shifted onto the woman, while regarding the man they will only shrug their shoulders.</t>
    </r>
  </si>
  <si>
    <t>Those who espoused Melanie's side pointed triumphantly to the fact that Melanie was constantly with Scarlett these days. Would a woman of Melanie's high principles champion the cause of a guilty woman, especially a woman guilty with her own husband? No, indeed! India was just a cracked old maid who hated Scarlett and lied about her and induced Archie and Mrs. Elsing to believe her lies.</t>
  </si>
  <si>
    <t>TERM: sogreshivshuyu (согрешившую) — the one who sinned (active part. fem. acc.) [ORD] (lemma: согрешить)
PASSAGE: Неужели такая женщина, как Мелани, исповедующая столь высокие принципы, станет защищать женщину согрешившую,
TRANS: Neuzheli takaya zhenshchina, kak Melani, ispoveduyushchaya stol' vysokie printsipy, stanet zashchishchat' zhenshchinu sogreshivshuyu,
TRANSLATION: Could it be that a woman like Melanie, who professes such high principles, would defend a sinful woman,</t>
  </si>
  <si>
    <r>
      <rPr>
        <b/>
        <sz val="11"/>
        <color theme="1"/>
        <rFont val="Arial"/>
      </rPr>
      <t>TERM:</t>
    </r>
    <r>
      <rPr>
        <sz val="11"/>
        <color theme="1"/>
        <rFont val="Arial"/>
      </rPr>
      <t xml:space="preserve"> künähar (күнәһар) — sinful [KED, SZK]
</t>
    </r>
    <r>
      <rPr>
        <b/>
        <sz val="11"/>
        <color theme="1"/>
        <rFont val="Arial"/>
      </rPr>
      <t>PASSAGE:</t>
    </r>
    <r>
      <rPr>
        <sz val="11"/>
        <color theme="1"/>
        <rFont val="Arial"/>
      </rPr>
      <t xml:space="preserve"> Таным-түсінігі тым жоғары, адалдықты биік бағалайтын Мелани секілді әйел қалайша Скарлеттей </t>
    </r>
    <r>
      <rPr>
        <b/>
        <sz val="11"/>
        <color theme="1"/>
        <rFont val="Arial"/>
      </rPr>
      <t>күнәһар</t>
    </r>
    <r>
      <rPr>
        <sz val="11"/>
        <color theme="1"/>
        <rFont val="Arial"/>
      </rPr>
      <t xml:space="preserve"> әйелді қолдап, қорғаштайды,
</t>
    </r>
    <r>
      <rPr>
        <b/>
        <sz val="11"/>
        <color theme="1"/>
        <rFont val="Arial"/>
      </rPr>
      <t>TRANS:</t>
    </r>
    <r>
      <rPr>
        <sz val="11"/>
        <color theme="1"/>
        <rFont val="Arial"/>
      </rPr>
      <t xml:space="preserve"> Tanym-tüsınıgı tym joğary, adaldyqty biık bağalaityn Melani sekıldı äiel qalaişa Skarlettei </t>
    </r>
    <r>
      <rPr>
        <b/>
        <sz val="11"/>
        <color theme="1"/>
        <rFont val="Arial"/>
      </rPr>
      <t>künähar</t>
    </r>
    <r>
      <rPr>
        <sz val="11"/>
        <color theme="1"/>
        <rFont val="Arial"/>
      </rPr>
      <t xml:space="preserve"> äieldı qoldap, qorğaştaidy,
</t>
    </r>
    <r>
      <rPr>
        <b/>
        <sz val="11"/>
        <color theme="1"/>
        <rFont val="Arial"/>
      </rPr>
      <t>TRANSLATION:</t>
    </r>
    <r>
      <rPr>
        <sz val="11"/>
        <color theme="1"/>
        <rFont val="Arial"/>
      </rPr>
      <t xml:space="preserve"> How is it that a woman like Melanie, of such lofty understanding, who values integrity highly, would support and protect such a </t>
    </r>
    <r>
      <rPr>
        <b/>
        <sz val="11"/>
        <color theme="1"/>
        <rFont val="Arial"/>
      </rPr>
      <t>sinful</t>
    </r>
    <r>
      <rPr>
        <sz val="11"/>
        <color theme="1"/>
        <rFont val="Arial"/>
      </rPr>
      <t xml:space="preserve"> woman as Scarlett,</t>
    </r>
  </si>
  <si>
    <t>But, questioned India's adherents, if Scarlett isn't guilty, where is Captain Butler? Why isn't he here at his wife's side, lending her the strength of his countenance? That was an unanswerable question and, as the weeks went by and the rumor spread that Scarlett was pregnant, the pro-India group nodded with satisfaction. It couldn't be Captain Butler's baby, they said. For too long the fact of their estrangement had been public property. For too long the town had been scandalized by the separate bedrooms.</t>
  </si>
  <si>
    <t>TERM: povinna (повинна) — (she is) guilty; at fault (short form fem.) [ORD] (lemma: повинный)
PASSAGE: Но, спрашивали сторонники Индии, если Скарлетт ни в чем не повинна, где же тогда капитан Батлер?
TRANS: No, sprashivali storonniki Indii, esli Skarlett ni v chem ne povinna, gde zhe togda kapitan Batler?
TRANSLATION: But, asked India's supporters, if Scarlett is guilty of nothing, then where is Captain Butler?</t>
  </si>
  <si>
    <r>
      <rPr>
        <b/>
        <sz val="11"/>
        <color theme="1"/>
        <rFont val="Arial"/>
      </rPr>
      <t>TERM:</t>
    </r>
    <r>
      <rPr>
        <sz val="11"/>
        <color theme="1"/>
        <rFont val="Arial"/>
      </rPr>
      <t xml:space="preserve"> BEİKÜNÄ (БЕЙКҮНӘ) — innocent; without sin (Persian bey- privative) [KED, SZK]
</t>
    </r>
    <r>
      <rPr>
        <b/>
        <sz val="11"/>
        <color theme="1"/>
        <rFont val="Arial"/>
      </rPr>
      <t>PASSAGE:</t>
    </r>
    <r>
      <rPr>
        <sz val="11"/>
        <color theme="1"/>
        <rFont val="Arial"/>
      </rPr>
      <t xml:space="preserve"> Бірақ Индияны жақтаушылардың көкейіне Скарлетт </t>
    </r>
    <r>
      <rPr>
        <b/>
        <sz val="11"/>
        <color theme="1"/>
        <rFont val="Arial"/>
      </rPr>
      <t>бейкүнә</t>
    </r>
    <r>
      <rPr>
        <sz val="11"/>
        <color theme="1"/>
        <rFont val="Arial"/>
      </rPr>
      <t xml:space="preserve"> періште болса, неше күннен бері қарасы көрінбей, Батлер капитан қайда кетіп қалған деген сұрақ тұрды. 
</t>
    </r>
    <r>
      <rPr>
        <b/>
        <sz val="11"/>
        <color theme="1"/>
        <rFont val="Arial"/>
      </rPr>
      <t>TRANS:</t>
    </r>
    <r>
      <rPr>
        <sz val="11"/>
        <color theme="1"/>
        <rFont val="Arial"/>
      </rPr>
      <t xml:space="preserve"> Bıraq İndiany jaqtauşylardyñ kökeiıne Skarlett beikünä perışte bolsa, neşe künnen berı qarasy körınbei, Batler kapitan qaida ketıp qalğan degen sūraq tūrdy. 
</t>
    </r>
    <r>
      <rPr>
        <b/>
        <sz val="11"/>
        <color theme="1"/>
        <rFont val="Arial"/>
      </rPr>
      <t>TRANSLATION:</t>
    </r>
    <r>
      <rPr>
        <sz val="11"/>
        <color theme="1"/>
        <rFont val="Arial"/>
      </rPr>
      <t xml:space="preserve"> But India's supporters were left with the question: if Scarlett is an innocent angel, why has Captain Butler been nowhere in sight for so many days, where has he gone?</t>
    </r>
  </si>
  <si>
    <t>Scarlett interprets Melanie’s look as one of a guilty child – after taking money for the cause from Belle</t>
  </si>
  <si>
    <t>As she struggled with her bushy, obstinate locks, perspiration beading her forehead, she heard light running feet in the downstairs hall and knew that Melanie was home from the hospital. As she heard her fly up the stairs, two at a time, she paused, hairpin in mid-air, realizing that something must be wrong, for Melanie always moved as decorously as a dowager. She went to the door and threw it open, and Melanie ran in, her face flushed and frightened, looking like a guilty child.</t>
  </si>
  <si>
    <t>TERM: nashkodivshego (нашкодившего) — the naughty/mischievous one (active part. masc. gen.) [ORD] (lemma: нашкодить)
PASSAGE: Скарлетт поспешила к двери, распахнула ее, и Мелани, перепуганная, с пылающими щеками, вбежала в комнату, глядя на Скарлетт молящими глазами нашкодившего ребенка.
TRANS: Skarlett pospeshila k dveri, raspakhnula ee, i Melani, perepugannaya, s pylayushchimi shchekami, vbezhala v komnatu, glyadya na Skarlett molyashchimi glazami nashkodivshego rebenka.
TRANSLATION: Scarlett hurried to the door, flung it open, and Melanie, frightened, with burning cheeks, ran into the room, looking at Scarlett with the imploring eyes of a mischief-doing child.</t>
  </si>
  <si>
    <r>
      <rPr>
        <b/>
        <sz val="11"/>
        <color theme="1"/>
        <rFont val="Arial"/>
      </rPr>
      <t>TERM:</t>
    </r>
    <r>
      <rPr>
        <sz val="11"/>
        <color theme="1"/>
        <rFont val="Arial"/>
      </rPr>
      <t xml:space="preserve"> būzyq (бұзық) — naughty; mischievous; (of child) ill-behaved [KED, SZK]
</t>
    </r>
    <r>
      <rPr>
        <b/>
        <sz val="11"/>
        <color theme="1"/>
        <rFont val="Arial"/>
      </rPr>
      <t>PASSAGE:бұзық баланың бірдеңе бүлдіргендегі жалынышты көзімен Скарлеттке қарады.
TRANS:būzyq balanyñ bırdeñe büldırgendegı jalynyşty közımen Skarlettke qarady.
TRANSLATION: she looked at Scarlett with the imploring eyes of a naughty child who had broken something.</t>
    </r>
  </si>
  <si>
    <t>CONSCIENCE DOMAIN</t>
  </si>
  <si>
    <t>Conscience — Internal authority (advisor / opponent)</t>
  </si>
  <si>
    <t>Ellen as internalized conscience; Melanie as moral mirror; desire for penance and repair</t>
  </si>
  <si>
    <t>She was driven by a conscience which, though long suppressed, could still rise up, an active Catholic conscience. "Confess your sins and do penance for them in sorrow and contrition," Ellen had told her a hundred times and, in this crisis, Ellen's religious training came back and gripped her. She would confess—yes, everything, every look and word, those few caresses—and then God would ease her pain and give her peace. And, for her penance, there would be the dreadful sight of Melanie's face changing from fond love and trust to incredulous horror and repulsion. Oh, that was too hard a penance, she thought in anguish, to have to live out her life remembering Melanie's face, knowing that Melanie knew all the pettiness, the meanness, the two-faced disloyalty and the hypocrisy that were in her.</t>
  </si>
  <si>
    <t>TERM: sovest' (совесть) — conscience; the inner moral faculty [ORD]
PASSAGE: К такому шагу Скарлетт побуждала совесть, которая хоть и долго молчала, но все еще способна была поднять голос, — совесть истинно верующей католички.
TRANS: K takomu shagu Skarlett pobuzhdala sovest', kotoraya khot' i dolgo molchala, no vse eshche sposobna byla podnyat' golos, — sovest' istinno veruyushchey katolichki.
TRANSLATION: Scarlett was urged to such a step by a conscience that, although it had been silent for a long time, was still capable of raising its voice — the conscience of a true believing Catholic.</t>
  </si>
  <si>
    <r>
      <rPr>
        <b/>
        <sz val="11"/>
        <color theme="1"/>
        <rFont val="Arial"/>
      </rPr>
      <t>TERM:</t>
    </r>
    <r>
      <rPr>
        <sz val="11"/>
        <color theme="1"/>
        <rFont val="Arial"/>
      </rPr>
      <t xml:space="preserve"> AR-ŪİAT(АР-ҰЯТ) — conscience-shame (compound): the active inner moral faculty [KED, SZK]
</t>
    </r>
    <r>
      <rPr>
        <b/>
        <sz val="11"/>
        <color theme="1"/>
        <rFont val="Arial"/>
      </rPr>
      <t>PASSAGE:</t>
    </r>
    <r>
      <rPr>
        <sz val="11"/>
        <color theme="1"/>
        <rFont val="Arial"/>
      </rPr>
      <t xml:space="preserve"> Баяғыдан бері бұғып жатқанымен, ақыры өзінің бар екенін, бас көтеретін уақыты келгенін білдерген </t>
    </r>
    <r>
      <rPr>
        <b/>
        <sz val="11"/>
        <color theme="1"/>
        <rFont val="Arial"/>
      </rPr>
      <t>ар-ұяты</t>
    </r>
    <r>
      <rPr>
        <sz val="11"/>
        <color theme="1"/>
        <rFont val="Arial"/>
      </rPr>
      <t xml:space="preserve"> Скарлетті осы қадамға жетелейтін. Жүрегінің түкпірінде шынайы католиктік сенімі:
</t>
    </r>
    <r>
      <rPr>
        <b/>
        <sz val="11"/>
        <color theme="1"/>
        <rFont val="Arial"/>
      </rPr>
      <t>TRANS:</t>
    </r>
    <r>
      <rPr>
        <sz val="11"/>
        <color theme="1"/>
        <rFont val="Arial"/>
      </rPr>
      <t xml:space="preserve"> Baiağydan berı būğyp jatqanymen, aqyry özınıñ bar ekenın, bas köteretın uaqyty kelgenın bıldergen </t>
    </r>
    <r>
      <rPr>
        <b/>
        <sz val="11"/>
        <color theme="1"/>
        <rFont val="Arial"/>
      </rPr>
      <t>ar-ūiaty</t>
    </r>
    <r>
      <rPr>
        <sz val="11"/>
        <color theme="1"/>
        <rFont val="Arial"/>
      </rPr>
      <t xml:space="preserve"> Skarlettı osy qadamğa jeteleitın. Jüregınıñ tükpırınde şynaiy katoliktık senımı:
</t>
    </r>
    <r>
      <rPr>
        <b/>
        <sz val="11"/>
        <color theme="1"/>
        <rFont val="Arial"/>
      </rPr>
      <t>TRANSLATION:</t>
    </r>
    <r>
      <rPr>
        <sz val="11"/>
        <color theme="1"/>
        <rFont val="Arial"/>
      </rPr>
      <t xml:space="preserve"> Although it had been hiding for a long time, her </t>
    </r>
    <r>
      <rPr>
        <b/>
        <sz val="11"/>
        <color theme="1"/>
        <rFont val="Arial"/>
      </rPr>
      <t>conscience</t>
    </r>
    <r>
      <rPr>
        <sz val="11"/>
        <color theme="1"/>
        <rFont val="Arial"/>
      </rPr>
      <t xml:space="preserve"> — finally signaling its existence and that the time to raise its head had come — was leading Scarlett to this step. In the depths of her heart, her sincere Catholic faith:</t>
    </r>
  </si>
  <si>
    <t>Inner moral advisor and judge</t>
  </si>
  <si>
    <t>Gerald shoved in all his chips and laid on top of them his wallet. If the money it contained happened to belong to the firm of O'Hara Brothers, Gerald's conscience was not sufficiently troubled to confess it before Mass the following morning. He knew what he wanted, and when Gerald wanted something he gained it by taking the most direct route.</t>
  </si>
  <si>
    <t>TERM: sovest' (совесть) — conscience; the inner moral faculty [ORD]
PASSAGE: Тот факт, что содержимое бумажника являлось собственностью фирмы братьев О'Хара, не слишком обременял совесть Джералда, и каяться в своем грехе завтра перед утренней мессой он не собирался.
TRANS: Tot fakt, chto soderzhimoe bumazhnika yavlyalos' sobstvennost'yu firmy brat'ev O'Khara, ne slishkom obremenyal sovest' Dzheralda, i kayat'sya v svoem grekhe zavtra pered utrenney messoy on ne sobiralsya.
TRANSLATION: The fact that the contents of the wallet were the property of the firm of the O'Hara brothers did not weigh too heavily on Gerald's conscience, and he was not planning to repent of his sin tomorrow before morning Mass.</t>
  </si>
  <si>
    <r>
      <rPr>
        <b/>
        <sz val="11"/>
        <color theme="1"/>
        <rFont val="Arial"/>
      </rPr>
      <t>TERM:</t>
    </r>
    <r>
      <rPr>
        <sz val="11"/>
        <color theme="1"/>
        <rFont val="Arial"/>
      </rPr>
      <t xml:space="preserve"> AR-ŪİAT (АР-ҰЯТ) — conscience-shame (compound): the active inner moral faculty [KED, SZK]
</t>
    </r>
    <r>
      <rPr>
        <b/>
        <sz val="11"/>
        <color theme="1"/>
        <rFont val="Arial"/>
      </rPr>
      <t>PASSAGE:</t>
    </r>
    <r>
      <rPr>
        <sz val="11"/>
        <color theme="1"/>
        <rFont val="Arial"/>
      </rPr>
      <t xml:space="preserve"> ... Джералдтың </t>
    </r>
    <r>
      <rPr>
        <b/>
        <sz val="11"/>
        <color theme="1"/>
        <rFont val="Arial"/>
      </rPr>
      <t>ар-ұятын</t>
    </r>
    <r>
      <rPr>
        <sz val="11"/>
        <color theme="1"/>
        <rFont val="Arial"/>
      </rPr>
      <t xml:space="preserve"> мазаламады
</t>
    </r>
    <r>
      <rPr>
        <b/>
        <sz val="11"/>
        <color theme="1"/>
        <rFont val="Arial"/>
      </rPr>
      <t>TRANS:</t>
    </r>
    <r>
      <rPr>
        <sz val="11"/>
        <color theme="1"/>
        <rFont val="Arial"/>
      </rPr>
      <t xml:space="preserve"> ... Jeraldtyñ </t>
    </r>
    <r>
      <rPr>
        <b/>
        <sz val="11"/>
        <color theme="1"/>
        <rFont val="Arial"/>
      </rPr>
      <t xml:space="preserve">ar-ūiatyn </t>
    </r>
    <r>
      <rPr>
        <sz val="11"/>
        <color theme="1"/>
        <rFont val="Arial"/>
      </rPr>
      <t xml:space="preserve">mazalamady
</t>
    </r>
    <r>
      <rPr>
        <b/>
        <sz val="11"/>
        <color theme="1"/>
        <rFont val="Arial"/>
      </rPr>
      <t>TRANSLATION:</t>
    </r>
    <r>
      <rPr>
        <sz val="11"/>
        <color theme="1"/>
        <rFont val="Arial"/>
      </rPr>
      <t xml:space="preserve"> ... did not trouble Gerald's </t>
    </r>
    <r>
      <rPr>
        <b/>
        <sz val="11"/>
        <color theme="1"/>
        <rFont val="Arial"/>
      </rPr>
      <t>conscience</t>
    </r>
    <r>
      <rPr>
        <sz val="11"/>
        <color theme="1"/>
        <rFont val="Arial"/>
      </rPr>
      <t>.</t>
    </r>
  </si>
  <si>
    <t>conscience as internal debating partner — argued away (early arc)</t>
  </si>
  <si>
    <t>"Well, it's true," she argued with her conscience. "Everybody carries on like they were holy and they aren't anything but men, and mighty unattractive looking ones at that."</t>
  </si>
  <si>
    <t>TERM: sovest'yu (совестью) — conscience (instrumental) [ORD] (lemma: совесть)
PASSAGE: «Но ведь это же в самом деле так, — вступила она в спор с собственной совестью.
TRANS: «No ved' eto zhe v samom dele tak, — vstupila ona v spor s sobstvennoy sovest'yu.
TRANSLATION: "But it really is so," she entered into argument with her own conscience.</t>
  </si>
  <si>
    <r>
      <rPr>
        <b/>
        <sz val="11"/>
        <color theme="1"/>
        <rFont val="Arial"/>
      </rPr>
      <t>TERM:</t>
    </r>
    <r>
      <rPr>
        <sz val="11"/>
        <color theme="1"/>
        <rFont val="Arial"/>
      </rPr>
      <t xml:space="preserve"> AR-OJDAN (АР-ОЖДАН) — conscience (compound from Arabic wijdān): the inalienable inner tribunal [KED, SZK]
</t>
    </r>
    <r>
      <rPr>
        <b/>
        <sz val="11"/>
        <color theme="1"/>
        <rFont val="Arial"/>
      </rPr>
      <t>PASSAGE:</t>
    </r>
    <r>
      <rPr>
        <sz val="11"/>
        <color theme="1"/>
        <rFont val="Arial"/>
      </rPr>
      <t xml:space="preserve"> "Бірақ бұл шынымен де солай", - деді ол өз</t>
    </r>
    <r>
      <rPr>
        <b/>
        <sz val="11"/>
        <color theme="1"/>
        <rFont val="Arial"/>
      </rPr>
      <t xml:space="preserve"> ар-ұжданымен </t>
    </r>
    <r>
      <rPr>
        <sz val="11"/>
        <color theme="1"/>
        <rFont val="Arial"/>
      </rPr>
      <t xml:space="preserve">дауласып.
</t>
    </r>
    <r>
      <rPr>
        <b/>
        <sz val="11"/>
        <color theme="1"/>
        <rFont val="Arial"/>
      </rPr>
      <t>TRANS:</t>
    </r>
    <r>
      <rPr>
        <sz val="11"/>
        <color theme="1"/>
        <rFont val="Arial"/>
      </rPr>
      <t xml:space="preserve"> "Bıraq būl şynymen de solai", - dedı ol öz </t>
    </r>
    <r>
      <rPr>
        <b/>
        <sz val="11"/>
        <color theme="1"/>
        <rFont val="Arial"/>
      </rPr>
      <t xml:space="preserve">ar-ūjdanymen </t>
    </r>
    <r>
      <rPr>
        <sz val="11"/>
        <color theme="1"/>
        <rFont val="Arial"/>
      </rPr>
      <t xml:space="preserve">daulasyp.
</t>
    </r>
    <r>
      <rPr>
        <b/>
        <sz val="11"/>
        <color theme="1"/>
        <rFont val="Arial"/>
      </rPr>
      <t>TRANSLATION:</t>
    </r>
    <r>
      <rPr>
        <sz val="11"/>
        <color theme="1"/>
        <rFont val="Arial"/>
      </rPr>
      <t xml:space="preserve"> "But this really is so," — she said, arguing with her own </t>
    </r>
    <r>
      <rPr>
        <b/>
        <sz val="11"/>
        <color theme="1"/>
        <rFont val="Arial"/>
      </rPr>
      <t>conscience</t>
    </r>
    <r>
      <rPr>
        <sz val="11"/>
        <color theme="1"/>
        <rFont val="Arial"/>
      </rPr>
      <t>.</t>
    </r>
  </si>
  <si>
    <t>conscience battles desire for money — equal contest; loses</t>
  </si>
  <si>
    <t>As she drove off down the path to the Decatur road her conscience battled with her desire for money. She knew she had no business exposing human lives to the hard little man's mercies. If he should cause the death of one of them she would be as guilty as he was, for she had kept him in charge after learning of his brutalities. But, on the other hand—well, on the other hand, men had no business getting to be convicts. If they broke laws and got caught, then they deserved what they got. This partly salved her conscience but as she drove down the road the dull thin faces of the convicts would keep coming back into her mind.</t>
  </si>
  <si>
    <t>TERM: sovest' (совесть) — conscience; the inner moral faculty [ORD]
PASSAGE: Она ехала по тропе, выходившей на Декейтерскую дорогу, а в душе у нее совесть боролась с жаждой наживы.
TRANS: Ona ekhala po trope, vykhodivshey na Dekeyterskuyu dorogu, a v dushe u nee sovest' borolas' s zhazhdoy nazhivy.
TRANSLATION: She was riding along the path that led out to the Decatur road, and in her soul her conscience was struggling with greed.</t>
  </si>
  <si>
    <r>
      <rPr>
        <b/>
        <sz val="11"/>
        <color theme="1"/>
        <rFont val="Arial"/>
      </rPr>
      <t>TERM:</t>
    </r>
    <r>
      <rPr>
        <sz val="11"/>
        <color theme="1"/>
        <rFont val="Arial"/>
      </rPr>
      <t xml:space="preserve"> AR-ŪİAT(АР-ҰЯТ) — conscience-shame (compound): the active inner moral faculty [KED, SZK]
</t>
    </r>
    <r>
      <rPr>
        <b/>
        <sz val="11"/>
        <color theme="1"/>
        <rFont val="Arial"/>
      </rPr>
      <t>PASSAGE:</t>
    </r>
    <r>
      <rPr>
        <sz val="11"/>
        <color theme="1"/>
        <rFont val="Arial"/>
      </rPr>
      <t xml:space="preserve"> Ол Декейтер жолына шығатын соқпаққа түсіп алып, жүріп келеді, көкірегіндегі табысқа құмарлық мен </t>
    </r>
    <r>
      <rPr>
        <b/>
        <sz val="11"/>
        <color theme="1"/>
        <rFont val="Arial"/>
      </rPr>
      <t>ар-ұяты</t>
    </r>
    <r>
      <rPr>
        <sz val="11"/>
        <color theme="1"/>
        <rFont val="Arial"/>
      </rPr>
      <t xml:space="preserve"> өзара алысуда.
</t>
    </r>
    <r>
      <rPr>
        <b/>
        <sz val="11"/>
        <color theme="1"/>
        <rFont val="Arial"/>
      </rPr>
      <t>TRANS:</t>
    </r>
    <r>
      <rPr>
        <sz val="11"/>
        <color theme="1"/>
        <rFont val="Arial"/>
      </rPr>
      <t xml:space="preserve"> Ol Dekeiter jolyna şyğatyn soqpaqqa tüsıp alyp, jürıp keledı, kökıregındegı tabysqa qūmarlyq men </t>
    </r>
    <r>
      <rPr>
        <b/>
        <sz val="11"/>
        <color theme="1"/>
        <rFont val="Arial"/>
      </rPr>
      <t>ar-ūiaty</t>
    </r>
    <r>
      <rPr>
        <sz val="11"/>
        <color theme="1"/>
        <rFont val="Arial"/>
      </rPr>
      <t xml:space="preserve"> özara alysuda..
</t>
    </r>
    <r>
      <rPr>
        <b/>
        <sz val="11"/>
        <color theme="1"/>
        <rFont val="Arial"/>
      </rPr>
      <t>TRANSLATION:</t>
    </r>
    <r>
      <rPr>
        <sz val="11"/>
        <color theme="1"/>
        <rFont val="Arial"/>
      </rPr>
      <t xml:space="preserve"> Heading down the path that comes out onto the Decatur road, she rides along; her thirst for profit and her </t>
    </r>
    <r>
      <rPr>
        <b/>
        <sz val="11"/>
        <color theme="1"/>
        <rFont val="Arial"/>
      </rPr>
      <t>conscience</t>
    </r>
    <r>
      <rPr>
        <sz val="11"/>
        <color theme="1"/>
        <rFont val="Arial"/>
      </rPr>
      <t xml:space="preserve"> are wrestling with each other inside her.</t>
    </r>
  </si>
  <si>
    <t>Opponent, attacker, judge</t>
  </si>
  <si>
    <t>If only Melanie were with her, Melanie could calm her fears. But Melanie was at home, nursing Ashley. For a moment Scarlett thought of summoning Pittypat to stand between her and her conscience but she hesitated. Pitty would probably make matters worse, for she honestly mourned Frank.</t>
  </si>
  <si>
    <t>TERM: sovesti (совести) — conscience (gen./dat./prep.) [ORD] (lemma: совесть)
PASSAGE: На мгновение Скарлетт подумала было попросить Питтипэт подняться к ней — может, в ее присутствии умолкнет голос совести, — но не решилась.
TRANS: Na mgnovenie Skarlett podumala bylo poprosit' Pittipet podnyat'sya k ney — mozhet, v ee prisutstvii umolknet golos sovesti, — no ne reshilas'.
TRANSLATION: For a moment Scarlett thought to ask Pittypat to come up to her — perhaps in her presence the voice of conscience would fall silent — but she did not dare.</t>
  </si>
  <si>
    <r>
      <rPr>
        <b/>
        <sz val="11"/>
        <color theme="1"/>
        <rFont val="Arial"/>
      </rPr>
      <t>TERM:</t>
    </r>
    <r>
      <rPr>
        <sz val="11"/>
        <color theme="1"/>
        <rFont val="Arial"/>
      </rPr>
      <t xml:space="preserve"> ŪİAT (ҰЯТ) — shame; disgrace; sense of decency (also: that which is improper) [KED, SZK]
</t>
    </r>
    <r>
      <rPr>
        <b/>
        <sz val="11"/>
        <color theme="1"/>
        <rFont val="Arial"/>
      </rPr>
      <t>PASSAGE:</t>
    </r>
    <r>
      <rPr>
        <sz val="11"/>
        <color theme="1"/>
        <rFont val="Arial"/>
      </rPr>
      <t xml:space="preserve"> Бір сәтке Питтипэт тәтесін шақырғысы келіп те ойланды, ол мұның көңілін аулап, ойын бөлсе, </t>
    </r>
    <r>
      <rPr>
        <b/>
        <sz val="11"/>
        <color theme="1"/>
        <rFont val="Arial"/>
      </rPr>
      <t>ұятпен</t>
    </r>
    <r>
      <rPr>
        <sz val="11"/>
        <color theme="1"/>
        <rFont val="Arial"/>
      </rPr>
      <t xml:space="preserve"> бетпе-бет жалғыз қалудан құтылар ма еді, дегенмен бата алмады.
</t>
    </r>
    <r>
      <rPr>
        <b/>
        <sz val="11"/>
        <color theme="1"/>
        <rFont val="Arial"/>
      </rPr>
      <t>TRANS:</t>
    </r>
    <r>
      <rPr>
        <sz val="11"/>
        <color theme="1"/>
        <rFont val="Arial"/>
      </rPr>
      <t xml:space="preserve"> Bır sätke Pittipet tätesın şaqyrğysy kelıp te oilandy, ol mūnyñ köñılın aulap, oiyn bölse, </t>
    </r>
    <r>
      <rPr>
        <b/>
        <sz val="11"/>
        <color theme="1"/>
        <rFont val="Arial"/>
      </rPr>
      <t>ūiatpen</t>
    </r>
    <r>
      <rPr>
        <sz val="11"/>
        <color theme="1"/>
        <rFont val="Arial"/>
      </rPr>
      <t xml:space="preserve"> betpe-bet jalğyz qaludan qūtylar ma edı, degenmen bata almady.
</t>
    </r>
    <r>
      <rPr>
        <b/>
        <sz val="11"/>
        <color theme="1"/>
        <rFont val="Arial"/>
      </rPr>
      <t>TRANSLATION:</t>
    </r>
    <r>
      <rPr>
        <sz val="11"/>
        <color theme="1"/>
        <rFont val="Arial"/>
      </rPr>
      <t xml:space="preserve"> For a moment she even thought to call Aunt Pittypat — if she could distract her thoughts and entertain her, perhaps she could escape being left alone face-to-face with </t>
    </r>
    <r>
      <rPr>
        <b/>
        <sz val="11"/>
        <color theme="1"/>
        <rFont val="Arial"/>
      </rPr>
      <t>shame</t>
    </r>
    <r>
      <rPr>
        <sz val="11"/>
        <color theme="1"/>
        <rFont val="Arial"/>
      </rPr>
      <t xml:space="preserve"> — but she did not dare.</t>
    </r>
  </si>
  <si>
    <t>Opponent, attacker, judge – about a particularly “indecent” deed</t>
  </si>
  <si>
    <t>"Oh, come! You are confessing and you might as well confess the truth as a decorous lie. Did your—er—conscience bother you much when you offered to—shall we say—part with that jewel which is dearer than life for three hundred dollars?"</t>
  </si>
  <si>
    <t>TERM: sovest' (совесть) — conscience; the inner moral faculty [ORD]
PASSAGE: Ваша… м-м… совесть очень вас мучила, когда вы соглашались… скажем, так — расстаться с этим сокровищем, которое вам дороже жизни, за триста долларов?
TRANS: Vasha… m-m… sovest' ochen' vas muchila, kogda vy soglashalis'… skazhem, tak — rasstat'sya s etim sokrovishchem, kotoroe vam dorozhe zhizni, za trista dollarov?
TRANSLATION: Did your... mm... conscience torment you greatly when you agreed... shall we say — to part with this treasure that is dearer to you than life, for three hundred dollars?</t>
  </si>
  <si>
    <r>
      <rPr>
        <b/>
        <sz val="11"/>
        <color theme="1"/>
        <rFont val="Arial"/>
      </rPr>
      <t>TERM:</t>
    </r>
    <r>
      <rPr>
        <sz val="11"/>
        <color theme="1"/>
        <rFont val="Arial"/>
      </rPr>
      <t xml:space="preserve"> ŪİAT (ҰЯТ) — shame; disgrace; sense of decency (also: that which is improper) [KED, SZK]
</t>
    </r>
    <r>
      <rPr>
        <b/>
        <sz val="11"/>
        <color theme="1"/>
        <rFont val="Arial"/>
      </rPr>
      <t>PASSAGE:</t>
    </r>
    <r>
      <rPr>
        <sz val="11"/>
        <color theme="1"/>
        <rFont val="Arial"/>
      </rPr>
      <t xml:space="preserve"> Сіз үш жүз долларға бағалаған әшекейіңізбен қоштасарыңызда да </t>
    </r>
    <r>
      <rPr>
        <b/>
        <sz val="11"/>
        <color theme="1"/>
        <rFont val="Arial"/>
      </rPr>
      <t>ұятыңыз</t>
    </r>
    <r>
      <rPr>
        <sz val="11"/>
        <color theme="1"/>
        <rFont val="Arial"/>
      </rPr>
      <t xml:space="preserve"> сізді қинады ма екен.
</t>
    </r>
    <r>
      <rPr>
        <b/>
        <sz val="11"/>
        <color theme="1"/>
        <rFont val="Arial"/>
      </rPr>
      <t>TRANS:</t>
    </r>
    <r>
      <rPr>
        <sz val="11"/>
        <color theme="1"/>
        <rFont val="Arial"/>
      </rPr>
      <t xml:space="preserve">Sız üş jüz dollarğa bağalağan äşekeiıñızben qoştasaryñyzda da </t>
    </r>
    <r>
      <rPr>
        <b/>
        <sz val="11"/>
        <color theme="1"/>
        <rFont val="Arial"/>
      </rPr>
      <t>ūiatyñyz</t>
    </r>
    <r>
      <rPr>
        <sz val="11"/>
        <color theme="1"/>
        <rFont val="Arial"/>
      </rPr>
      <t xml:space="preserve"> sızdı qinady ma eken.
</t>
    </r>
    <r>
      <rPr>
        <b/>
        <sz val="11"/>
        <color theme="1"/>
        <rFont val="Arial"/>
      </rPr>
      <t>TRANSLATION:</t>
    </r>
    <r>
      <rPr>
        <sz val="11"/>
        <color theme="1"/>
        <rFont val="Arial"/>
      </rPr>
      <t xml:space="preserve"> When you bid farewell to your jewel that you priced at three hundred dollars, did your </t>
    </r>
    <r>
      <rPr>
        <b/>
        <sz val="11"/>
        <color theme="1"/>
        <rFont val="Arial"/>
      </rPr>
      <t>shame</t>
    </r>
    <r>
      <rPr>
        <sz val="11"/>
        <color theme="1"/>
        <rFont val="Arial"/>
      </rPr>
      <t xml:space="preserve"> trouble you?</t>
    </r>
  </si>
  <si>
    <t>Opponent, can kill</t>
  </si>
  <si>
    <t>"I can't tell her," she thought miserably. "Never, not even if my conscience kills me." She remembered irrelevantly Rhett's drunken remark: "She can't conceive of dishonor in anyone she loves...let that be your cross."</t>
  </si>
  <si>
    <t>TERM: sovest' (совесть) — conscience; the inner moral faculty [ORD]
PASSAGE: Никогда не смогу, даже если совесть убьет меня».
TRANS: Nikogda ne smogu, dazhe esli sovest' ub'et menya».
TRANSLATION: Never, even if my conscience kills me.</t>
  </si>
  <si>
    <r>
      <rPr>
        <b/>
        <sz val="11"/>
        <color theme="1"/>
        <rFont val="Arial"/>
      </rPr>
      <t>TERM:</t>
    </r>
    <r>
      <rPr>
        <sz val="11"/>
        <color theme="1"/>
        <rFont val="Arial"/>
      </rPr>
      <t xml:space="preserve"> AR-ŪİAT (АР-ҰЯТ) — conscience-shame (compound): the active inner moral faculty [KED, SZK]
</t>
    </r>
    <r>
      <rPr>
        <b/>
        <sz val="11"/>
        <color theme="1"/>
        <rFont val="Arial"/>
      </rPr>
      <t>PASSAGE:</t>
    </r>
    <r>
      <rPr>
        <sz val="11"/>
        <color theme="1"/>
        <rFont val="Arial"/>
      </rPr>
      <t xml:space="preserve"> "Мұны айта алмайды екенмін, </t>
    </r>
    <r>
      <rPr>
        <b/>
        <sz val="11"/>
        <color theme="1"/>
        <rFont val="Arial"/>
      </rPr>
      <t>ар-ұятым</t>
    </r>
    <r>
      <rPr>
        <sz val="11"/>
        <color theme="1"/>
        <rFont val="Arial"/>
      </rPr>
      <t xml:space="preserve"> тұншықтырып өлтірсе де айта алмаймын" деп тұнжырай ойлады Скарлетт.
</t>
    </r>
    <r>
      <rPr>
        <b/>
        <sz val="11"/>
        <color theme="1"/>
        <rFont val="Arial"/>
      </rPr>
      <t>TRANS:</t>
    </r>
    <r>
      <rPr>
        <sz val="11"/>
        <color theme="1"/>
        <rFont val="Arial"/>
      </rPr>
      <t xml:space="preserve"> "Mūny aita almaidy ekenmın, </t>
    </r>
    <r>
      <rPr>
        <b/>
        <sz val="11"/>
        <color theme="1"/>
        <rFont val="Arial"/>
      </rPr>
      <t xml:space="preserve">ar-ūiatym </t>
    </r>
    <r>
      <rPr>
        <sz val="11"/>
        <color theme="1"/>
        <rFont val="Arial"/>
      </rPr>
      <t xml:space="preserve">tūnşyqtyryp öltırse de aita almaimyn" dep tūnjyrai oilady Skarlett.
</t>
    </r>
    <r>
      <rPr>
        <b/>
        <sz val="11"/>
        <color theme="1"/>
        <rFont val="Arial"/>
      </rPr>
      <t>TRANSLATION:</t>
    </r>
    <r>
      <rPr>
        <sz val="11"/>
        <color theme="1"/>
        <rFont val="Arial"/>
      </rPr>
      <t xml:space="preserve"> "I cannot say it; even if my </t>
    </r>
    <r>
      <rPr>
        <b/>
        <sz val="11"/>
        <color theme="1"/>
        <rFont val="Arial"/>
      </rPr>
      <t>conscience</t>
    </r>
    <r>
      <rPr>
        <sz val="11"/>
        <color theme="1"/>
        <rFont val="Arial"/>
      </rPr>
      <t xml:space="preserve"> should choke and kill me, I cannot say it," thought Scarlett gloomily.</t>
    </r>
  </si>
  <si>
    <t>Interlocutor, advisor – can make one doubt one’s course of action</t>
  </si>
  <si>
    <t>That morning Aunt Pitty had reached the regretful decision that she had better kill the patriarch before he died of old age and pining for his harem which had long since been eaten. For days he had drooped about the empty chicken run, too dispirited to crow. After Uncle Peter had wrung his neck, Aunt Pitty had been beset by conscience at the thought of enjoying him, en famille, when so many of her friends had not tasted chicken for weeks, so she suggested company for dinner. Melanie, who was now in her fifth month, had not been out in public or received guests for weeks, and she was appalled at the idea. But Aunt Pitty, for once, was firm. It would be selfish to eat the rooster alone, and if Melanie would only move her top hoop a little higher no one would notice anything and she was so flat in the bust anyway.</t>
  </si>
  <si>
    <t>Aunt Pitty</t>
  </si>
  <si>
    <t>TERM: somneniya (сомнения) — doubt; doubts [ORD] (lemma: сомнение)
PASSAGE: Когда дядюшка Питер свернул ему шею, деликатную душу тетушки Питтипэт внезапно одолели сомнения: допустимо ли насладиться этой птицей в кругу семьи, в то время как многие из друзей неделями не могут отведать куриного мяса, и она решила пригласить гостей.
TRANS: Kogda dyadyushka Piter svernul emu sheyu, delikatnuyu dushu tetushki Pittipet vnezapno odoleli somneniya: dopustimo li nasladit'sya etoy ptitsey v krugu sem'i, v to vremya kak mnogie iz druzey nedelyami ne mogut otvedat' kurinogo myasa, i ona reshila priglasit' gostey.
TRANSLATION: When Uncle Peter wrung its neck, Aunt Pittypat's delicate soul was suddenly seized by doubts: was it permissible to enjoy this bird in the family circle while many of her friends could not have a taste of chicken meat for weeks, and she decided to invite guests.</t>
  </si>
  <si>
    <r>
      <rPr>
        <b/>
        <sz val="11"/>
        <color theme="1"/>
        <rFont val="Arial"/>
      </rPr>
      <t>TERM:</t>
    </r>
    <r>
      <rPr>
        <sz val="11"/>
        <color theme="1"/>
        <rFont val="Arial"/>
      </rPr>
      <t xml:space="preserve"> KÜMÄN (КҮМƏН) = doubt; uncertainty
</t>
    </r>
    <r>
      <rPr>
        <b/>
        <sz val="11"/>
        <color theme="1"/>
        <rFont val="Arial"/>
      </rPr>
      <t>PASSAGE:</t>
    </r>
    <r>
      <rPr>
        <sz val="11"/>
        <color theme="1"/>
        <rFont val="Arial"/>
      </rPr>
      <t xml:space="preserve"> Питтипэт тәтейдің нәзік жанында: "оның көптеген достары бірнеше апта бойы тауықтың дәмін тата алмай отырғанда, бұл құсты отбасымен бірге жеп рахаттануға бола ма, әлде қонақ шақыруға шешім қабылдауы дұрыс па?" деген </t>
    </r>
    <r>
      <rPr>
        <b/>
        <sz val="11"/>
        <color theme="1"/>
        <rFont val="Arial"/>
      </rPr>
      <t>күмән</t>
    </r>
    <r>
      <rPr>
        <sz val="11"/>
        <color theme="1"/>
        <rFont val="Arial"/>
      </rPr>
      <t xml:space="preserve"> пайда болды.
</t>
    </r>
    <r>
      <rPr>
        <b/>
        <sz val="11"/>
        <color theme="1"/>
        <rFont val="Arial"/>
      </rPr>
      <t>TRANS:</t>
    </r>
    <r>
      <rPr>
        <sz val="11"/>
        <color theme="1"/>
        <rFont val="Arial"/>
      </rPr>
      <t xml:space="preserve"> Pittipet täteidıñ näzık janynda: "onyñ köptegen dostary bırneşe apta boiy tauyqtyñ dämın tata almai otyrğanda, būl qūsty otbasymen bırge jep rahattanuğa bola ma, älde qonaq şaqyruğa şeşım qabyldauy dūrys pa?" degen </t>
    </r>
    <r>
      <rPr>
        <b/>
        <sz val="11"/>
        <color theme="1"/>
        <rFont val="Arial"/>
      </rPr>
      <t>kümän</t>
    </r>
    <r>
      <rPr>
        <sz val="11"/>
        <color theme="1"/>
        <rFont val="Arial"/>
      </rPr>
      <t xml:space="preserve"> paida boldy.
</t>
    </r>
    <r>
      <rPr>
        <b/>
        <sz val="11"/>
        <color theme="1"/>
        <rFont val="Arial"/>
      </rPr>
      <t>TRANSLATION:</t>
    </r>
    <r>
      <rPr>
        <sz val="11"/>
        <color theme="1"/>
        <rFont val="Arial"/>
      </rPr>
      <t xml:space="preserve"> In Aunt Pittypat's sensitive soul there arose the </t>
    </r>
    <r>
      <rPr>
        <b/>
        <sz val="11"/>
        <color theme="1"/>
        <rFont val="Arial"/>
      </rPr>
      <t>doubt</t>
    </r>
    <r>
      <rPr>
        <sz val="11"/>
        <color theme="1"/>
        <rFont val="Arial"/>
      </rPr>
      <t>: "While many of his friends have not been able to taste chicken for weeks, is it appropriate to enjoy eating this bird with the family — or would it be right to decide on inviting guests?"</t>
    </r>
  </si>
  <si>
    <t>Struggle with conscience</t>
  </si>
  <si>
    <t>"Of course," she said, wondering what the old fool had been talking about. Some struggle with his conscience. When a man got as old as Frank Kennedy he ought to have learned not to bother about things that didn't matter. But he always was so nervous and fussy and old maidish.</t>
  </si>
  <si>
    <t>TERM: sovesti (совести) — conscience (gen./dat./prep.) [ORD] (lemma: совесть)
PASSAGE: Что-то насчет своей совести.
TRANS: Chto-to naschet svoey sovesti.
TRANSLATION: Something about his conscience.</t>
  </si>
  <si>
    <r>
      <rPr>
        <b/>
        <sz val="11"/>
        <color theme="1"/>
        <rFont val="Arial"/>
      </rPr>
      <t>TERM:</t>
    </r>
    <r>
      <rPr>
        <sz val="11"/>
        <color theme="1"/>
        <rFont val="Arial"/>
      </rPr>
      <t xml:space="preserve"> ŪİAT (ҰЯТ) — shame; disgrace; sense of decency (also: that which is improper) [KED, SZK]
</t>
    </r>
    <r>
      <rPr>
        <b/>
        <sz val="11"/>
        <color theme="1"/>
        <rFont val="Arial"/>
      </rPr>
      <t>PASSAGE:</t>
    </r>
    <r>
      <rPr>
        <sz val="11"/>
        <color theme="1"/>
        <rFont val="Arial"/>
      </rPr>
      <t xml:space="preserve"> Өз </t>
    </r>
    <r>
      <rPr>
        <b/>
        <sz val="11"/>
        <color theme="1"/>
        <rFont val="Arial"/>
      </rPr>
      <t>ұяты</t>
    </r>
    <r>
      <rPr>
        <sz val="11"/>
        <color theme="1"/>
        <rFont val="Arial"/>
      </rPr>
      <t xml:space="preserve"> туралы ма, бірдеңе.
</t>
    </r>
    <r>
      <rPr>
        <b/>
        <sz val="11"/>
        <color theme="1"/>
        <rFont val="Arial"/>
      </rPr>
      <t>TRANS:</t>
    </r>
    <r>
      <rPr>
        <sz val="11"/>
        <color theme="1"/>
        <rFont val="Arial"/>
      </rPr>
      <t xml:space="preserve"> Öz </t>
    </r>
    <r>
      <rPr>
        <b/>
        <sz val="11"/>
        <color theme="1"/>
        <rFont val="Arial"/>
      </rPr>
      <t>ūiaty</t>
    </r>
    <r>
      <rPr>
        <sz val="11"/>
        <color theme="1"/>
        <rFont val="Arial"/>
      </rPr>
      <t xml:space="preserve"> turaly ma, bırdeñe.
</t>
    </r>
    <r>
      <rPr>
        <b/>
        <sz val="11"/>
        <color theme="1"/>
        <rFont val="Arial"/>
      </rPr>
      <t>TRANSLATION:</t>
    </r>
    <r>
      <rPr>
        <sz val="11"/>
        <color theme="1"/>
        <rFont val="Arial"/>
      </rPr>
      <t xml:space="preserve"> Something about their own</t>
    </r>
    <r>
      <rPr>
        <b/>
        <sz val="11"/>
        <color theme="1"/>
        <rFont val="Arial"/>
      </rPr>
      <t xml:space="preserve"> shame [conscience]</t>
    </r>
    <r>
      <rPr>
        <sz val="11"/>
        <color theme="1"/>
        <rFont val="Arial"/>
      </rPr>
      <t>, or something like that.</t>
    </r>
  </si>
  <si>
    <t>Conscience — Absent reaction</t>
  </si>
  <si>
    <t>ABSENT reaction of conscience due to personal loyalties</t>
  </si>
  <si>
    <t>The mottled wise old eyes saw deeply, saw clearly, with the directness of the savage and the child, undeterred by conscience when danger threatened her pet. Scarlett was her baby and what her baby wanted, even though it belonged to another, Mammy was willing to help her obtain. The rights of Suellen and Frank Kennedy did not even enter her mind, save to cause a grim inward chuckle. Scarlett was in trouble and doing the best she could, and Scarlett was Miss Ellen's child.</t>
  </si>
  <si>
    <t>TERM: soznanie (сознание) — consciousness; awareness (here: moral awareness) [ORD]
PASSAGE: не затуманенные слишком развитым сознанием
TRANS: ne zatumanennye slishkom razvitym soznaniem
TRANSLATION: not clouded by an overdeveloped consciousness</t>
  </si>
  <si>
    <r>
      <rPr>
        <b/>
        <sz val="11"/>
        <color theme="1"/>
        <rFont val="Arial"/>
      </rPr>
      <t>PASSAGE:</t>
    </r>
    <r>
      <rPr>
        <sz val="11"/>
        <color theme="1"/>
        <rFont val="Arial"/>
      </rPr>
      <t xml:space="preserve"> Сүйікті қызының басына қиындық туған кезде, дақ түссе де мейірімді, дана көзі бәрін де қалт жібермей байқап, істің мән-жайына бойлай кірісті. Сәбидің жанарындай жәутеңдеген көзқарасы санасында не болып жатқанын жайып салып тұр.
</t>
    </r>
    <r>
      <rPr>
        <b/>
        <sz val="11"/>
        <color theme="1"/>
        <rFont val="Arial"/>
      </rPr>
      <t>TRANS:</t>
    </r>
    <r>
      <rPr>
        <sz val="11"/>
        <color theme="1"/>
        <rFont val="Arial"/>
      </rPr>
      <t xml:space="preserve"> Süiıktı qyzynyñ basyna qiyndyq tuğan kezde, daq tüsse de meiırımdı, dana közı bärın de qalt jıbermei baiqap, ıstıñ män-jaiyna boilai kırıstı. Säbidıñ janaryndai jäuteñdegen közqarasy sanasynda ne bolyp jatqanyn jaiyp salyp tūr.
</t>
    </r>
    <r>
      <rPr>
        <b/>
        <sz val="11"/>
        <color theme="1"/>
        <rFont val="Arial"/>
      </rPr>
      <t>TRANSLATION:</t>
    </r>
    <r>
      <rPr>
        <sz val="11"/>
        <color theme="1"/>
        <rFont val="Arial"/>
      </rPr>
      <t xml:space="preserve"> When difficulties came upon her beloved girl, [Mammy's] kind, wise eyes — even with stains — missed nothing and went deep into the heart of the matter. The flickering, baby-like glance laid bare what was happening in her mind.</t>
    </r>
  </si>
  <si>
    <t>Conscience — Dormant / waking creature</t>
  </si>
  <si>
    <t>Being that can sleep and wake up</t>
  </si>
  <si>
    <r>
      <rPr>
        <b/>
        <sz val="11"/>
        <color theme="1"/>
        <rFont val="Arial"/>
      </rPr>
      <t>TERM:</t>
    </r>
    <r>
      <rPr>
        <sz val="11"/>
        <color theme="1"/>
        <rFont val="Arial"/>
      </rPr>
      <t xml:space="preserve"> ŪİALU (ҰЯЛУ) — to feel ashamed; to feel shy; to be embarrassed [KED, SZK]
</t>
    </r>
    <r>
      <rPr>
        <b/>
        <sz val="11"/>
        <color theme="1"/>
        <rFont val="Arial"/>
      </rPr>
      <t>PASSAGE:</t>
    </r>
    <r>
      <rPr>
        <sz val="11"/>
        <color theme="1"/>
        <rFont val="Arial"/>
      </rPr>
      <t xml:space="preserve"> Скарлетт аздап </t>
    </r>
    <r>
      <rPr>
        <b/>
        <sz val="11"/>
        <color theme="1"/>
        <rFont val="Arial"/>
      </rPr>
      <t>ұялыс</t>
    </r>
    <r>
      <rPr>
        <sz val="11"/>
        <color theme="1"/>
        <rFont val="Arial"/>
      </rPr>
      <t xml:space="preserve"> сезініп, Эшлидің хаттарындағы Меланиді осындай мәлімдеме жасауға итермелеген жолдарды еске түсіруге тырысты, ...
</t>
    </r>
    <r>
      <rPr>
        <b/>
        <sz val="11"/>
        <color theme="1"/>
        <rFont val="Arial"/>
      </rPr>
      <t>TRANS:</t>
    </r>
    <r>
      <rPr>
        <sz val="11"/>
        <color theme="1"/>
        <rFont val="Arial"/>
      </rPr>
      <t xml:space="preserve"> Skarlett azdap </t>
    </r>
    <r>
      <rPr>
        <b/>
        <sz val="11"/>
        <color theme="1"/>
        <rFont val="Arial"/>
      </rPr>
      <t>ūialys</t>
    </r>
    <r>
      <rPr>
        <sz val="11"/>
        <color theme="1"/>
        <rFont val="Arial"/>
      </rPr>
      <t xml:space="preserve"> sezınıp, Eşlidıñ hattaryndağy Melanidı osyndai mälımdeme jasauğa itermelegen joldardy eske tüsıruge tyrysty, ...
</t>
    </r>
    <r>
      <rPr>
        <b/>
        <sz val="11"/>
        <color theme="1"/>
        <rFont val="Arial"/>
      </rPr>
      <t>TRANSLATION:</t>
    </r>
    <r>
      <rPr>
        <sz val="11"/>
        <color theme="1"/>
        <rFont val="Arial"/>
      </rPr>
      <t xml:space="preserve"> Feeling a slight twinge of </t>
    </r>
    <r>
      <rPr>
        <b/>
        <sz val="11"/>
        <color theme="1"/>
        <rFont val="Arial"/>
      </rPr>
      <t>shame</t>
    </r>
    <r>
      <rPr>
        <sz val="11"/>
        <color theme="1"/>
        <rFont val="Arial"/>
      </rPr>
      <t>, Scarlett tried to recall the lines in Ashley's letters that had pushed Melanie to make such a statement,...</t>
    </r>
  </si>
  <si>
    <t>Conscience — General faculty</t>
  </si>
  <si>
    <t>conscience as active inner faculty — inner moral judge</t>
  </si>
  <si>
    <t>No one intruded upon her, believing that she wished to be left alone with her grief, but to be left alone was the last thing Scarlett desired. Had it only been grief that companioned her, she could have borne it as she had borne other griefs. But, added to her stunned sense of loss at Frank's death, were fear and remorse and the torment of a suddenly awakened conscience. For the first time in her life she was regretting things she had done, regretting them with a sweeping superstitious fear that made her cast sidelong glances at the bed upon which she had lain with Frank.</t>
  </si>
  <si>
    <t>TERM: sovesti (совести) — conscience (gen./dat./prep.) [ORD] (lemma: совесть)
PASSAGE: Но помимо потрясения от потери мужа, она испытывала еще страх, и раскаяние, и муки внезапно проснувшейся совести.
TRANS: No pomimo potryaseniya ot poteri muzha, ona ispytyvala eshche strakh, i raskayanie, i muki vnezapno prosnuvsheysya sovesti.
TRANSLATION: But besides the shock of losing her husband, she also felt fear, and remorse, and the pangs of suddenly awakened conscience.</t>
  </si>
  <si>
    <r>
      <rPr>
        <b/>
        <sz val="11"/>
        <color theme="1"/>
        <rFont val="Arial"/>
      </rPr>
      <t>TERM:</t>
    </r>
    <r>
      <rPr>
        <sz val="11"/>
        <color theme="1"/>
        <rFont val="Arial"/>
      </rPr>
      <t xml:space="preserve"> ŪİAT (ҰЯТ) — shame; disgrace; sense of decency (also: that which is improper) [KED, SZK]
</t>
    </r>
    <r>
      <rPr>
        <b/>
        <sz val="11"/>
        <color theme="1"/>
        <rFont val="Arial"/>
      </rPr>
      <t>PASSAGE:</t>
    </r>
    <r>
      <rPr>
        <sz val="11"/>
        <color theme="1"/>
        <rFont val="Arial"/>
      </rPr>
      <t xml:space="preserve"> Бірақ күйеуінен айырылған қасіреті өз алдында, бойын билеген қорқыныш пен жанын жеген өкініш, бір бүйірден бас көтере қалған </t>
    </r>
    <r>
      <rPr>
        <b/>
        <sz val="11"/>
        <color theme="1"/>
        <rFont val="Arial"/>
      </rPr>
      <t>ұят</t>
    </r>
    <r>
      <rPr>
        <sz val="11"/>
        <color theme="1"/>
        <rFont val="Arial"/>
      </rPr>
      <t xml:space="preserve"> қоса қысып барады.
</t>
    </r>
    <r>
      <rPr>
        <b/>
        <sz val="11"/>
        <color theme="1"/>
        <rFont val="Arial"/>
      </rPr>
      <t>TRANS:</t>
    </r>
    <r>
      <rPr>
        <sz val="11"/>
        <color theme="1"/>
        <rFont val="Arial"/>
      </rPr>
      <t xml:space="preserve"> Bıraq küieuınen aiyrylğan qasıretı öz aldynda, boiyn bilegen qorqynyş pen janyn jegen ökınış, bır büiırden bas kötere qalğan </t>
    </r>
    <r>
      <rPr>
        <b/>
        <sz val="11"/>
        <color theme="1"/>
        <rFont val="Arial"/>
      </rPr>
      <t>ūiat</t>
    </r>
    <r>
      <rPr>
        <sz val="11"/>
        <color theme="1"/>
        <rFont val="Arial"/>
      </rPr>
      <t xml:space="preserve"> qosa qysyp barady.
</t>
    </r>
    <r>
      <rPr>
        <b/>
        <sz val="11"/>
        <color theme="1"/>
        <rFont val="Arial"/>
      </rPr>
      <t>TRANSLATION:</t>
    </r>
    <r>
      <rPr>
        <sz val="11"/>
        <color theme="1"/>
        <rFont val="Arial"/>
      </rPr>
      <t xml:space="preserve"> But the grief of losing her husband had its own place; the fear that filled her body, the regret that ate at her soul, and the </t>
    </r>
    <r>
      <rPr>
        <b/>
        <sz val="11"/>
        <color theme="1"/>
        <rFont val="Arial"/>
      </rPr>
      <t>shame</t>
    </r>
    <r>
      <rPr>
        <sz val="11"/>
        <color theme="1"/>
        <rFont val="Arial"/>
      </rPr>
      <t xml:space="preserve"> that suddenly raised its head from one side, were all squeezing her along with it.</t>
    </r>
  </si>
  <si>
    <t>Plant, creature – something that can be born or die, become absent</t>
  </si>
  <si>
    <t>"You could have been—if you'd been somebody else. But you were born to bully anyone who'll let you do it. The strong were made to bully and the weak to knuckle under. It's all Frank's fault for not beating you with a buggy whip...I'm surprised at you, Scarlett, for sprouting a conscience this late in life. Opportunists like you shouldn't have them."</t>
  </si>
  <si>
    <t>TERM: sovest' (совесть) — conscience; the inner moral faculty [ORD]
PASSAGE: Вы удивляете меня, Скарлетт, — зачем вам понадобилось сейчас, когда вы уже взрослая, будить в себе совесть.
TRANS: Vy udivlyaete menya, Skarlett, — zachem vam ponadobilos' seychas, kogda vy uzhe vzroslaya, budit' v sebe sovest'.
TRANSLATION: You amaze me, Scarlett — why do you need now, when you are already grown up, to awaken a conscience in yourself?</t>
  </si>
  <si>
    <r>
      <rPr>
        <b/>
        <sz val="11"/>
        <color theme="1"/>
        <rFont val="Arial"/>
      </rPr>
      <t>TERM:</t>
    </r>
    <r>
      <rPr>
        <sz val="11"/>
        <color theme="1"/>
        <rFont val="Arial"/>
      </rPr>
      <t xml:space="preserve"> ŪİAT (ҰЯТ) — shame; disgrace; sense of decency (also: that which is improper) [KED, SZK]
</t>
    </r>
    <r>
      <rPr>
        <b/>
        <sz val="11"/>
        <color theme="1"/>
        <rFont val="Arial"/>
      </rPr>
      <t>PASSAGE:</t>
    </r>
    <r>
      <rPr>
        <sz val="11"/>
        <color theme="1"/>
        <rFont val="Arial"/>
      </rPr>
      <t xml:space="preserve"> Әбден есейген шағыңызда </t>
    </r>
    <r>
      <rPr>
        <b/>
        <sz val="11"/>
        <color theme="1"/>
        <rFont val="Arial"/>
      </rPr>
      <t>ұятыңызды</t>
    </r>
    <r>
      <rPr>
        <sz val="11"/>
        <color theme="1"/>
        <rFont val="Arial"/>
      </rPr>
      <t xml:space="preserve"> неге оятып отырсыз?
</t>
    </r>
    <r>
      <rPr>
        <b/>
        <sz val="11"/>
        <color theme="1"/>
        <rFont val="Arial"/>
      </rPr>
      <t>TRANS:</t>
    </r>
    <r>
      <rPr>
        <sz val="11"/>
        <color theme="1"/>
        <rFont val="Arial"/>
      </rPr>
      <t xml:space="preserve"> Äbden eseigen şağyñyzda </t>
    </r>
    <r>
      <rPr>
        <b/>
        <sz val="11"/>
        <color theme="1"/>
        <rFont val="Arial"/>
      </rPr>
      <t>ūiatyñyzdy</t>
    </r>
    <r>
      <rPr>
        <sz val="11"/>
        <color theme="1"/>
        <rFont val="Arial"/>
      </rPr>
      <t xml:space="preserve"> nege oiatyp otyrsyz?
</t>
    </r>
    <r>
      <rPr>
        <b/>
        <sz val="11"/>
        <color theme="1"/>
        <rFont val="Arial"/>
      </rPr>
      <t>TRANSLATION:</t>
    </r>
    <r>
      <rPr>
        <sz val="11"/>
        <color theme="1"/>
        <rFont val="Arial"/>
      </rPr>
      <t xml:space="preserve"> In your fully matured age, why are you waking up your </t>
    </r>
    <r>
      <rPr>
        <b/>
        <sz val="11"/>
        <color theme="1"/>
        <rFont val="Arial"/>
      </rPr>
      <t>shame</t>
    </r>
    <r>
      <rPr>
        <sz val="11"/>
        <color theme="1"/>
        <rFont val="Arial"/>
      </rPr>
      <t>?</t>
    </r>
  </si>
  <si>
    <t>Catholic conscience awakened: overwhelming, long suppressed, now drives action</t>
  </si>
  <si>
    <r>
      <rPr>
        <b/>
        <sz val="11"/>
        <color theme="1"/>
        <rFont val="Arial"/>
      </rPr>
      <t>TERM:</t>
    </r>
    <r>
      <rPr>
        <sz val="11"/>
        <color theme="1"/>
        <rFont val="Arial"/>
      </rPr>
      <t xml:space="preserve"> AR-ŪİAT (АР-ҰЯТ) — conscience-shame (compound): the active inner moral faculty [KED, SZK]
</t>
    </r>
    <r>
      <rPr>
        <b/>
        <sz val="11"/>
        <color theme="1"/>
        <rFont val="Arial"/>
      </rPr>
      <t>PASSAGE:</t>
    </r>
    <r>
      <rPr>
        <sz val="11"/>
        <color theme="1"/>
        <rFont val="Arial"/>
      </rPr>
      <t xml:space="preserve"> Баяғыдан бері бұғып жатқанымен, ақыры өзінің бар екенін, бас көтеретін уақыты келгенін білдерген </t>
    </r>
    <r>
      <rPr>
        <b/>
        <sz val="11"/>
        <color theme="1"/>
        <rFont val="Arial"/>
      </rPr>
      <t>ар-ұяты</t>
    </r>
    <r>
      <rPr>
        <sz val="11"/>
        <color theme="1"/>
        <rFont val="Arial"/>
      </rPr>
      <t xml:space="preserve"> Скарлетті осы қадамға жетелейтін. Жүрегінің түкпірінде шынайы католиктік сенімі:
</t>
    </r>
    <r>
      <rPr>
        <b/>
        <sz val="11"/>
        <color theme="1"/>
        <rFont val="Arial"/>
      </rPr>
      <t>TRANS:</t>
    </r>
    <r>
      <rPr>
        <sz val="11"/>
        <color theme="1"/>
        <rFont val="Arial"/>
      </rPr>
      <t xml:space="preserve"> Baiağydan berı būğyp jatqanymen, aqyry özınıñ bar ekenın, bas köteretın uaqyty kelgenın bıldergen </t>
    </r>
    <r>
      <rPr>
        <b/>
        <sz val="11"/>
        <color theme="1"/>
        <rFont val="Arial"/>
      </rPr>
      <t>ar-ūiaty</t>
    </r>
    <r>
      <rPr>
        <sz val="11"/>
        <color theme="1"/>
        <rFont val="Arial"/>
      </rPr>
      <t xml:space="preserve"> Skarlettı osy qadamğa jeteleitın. Jüregınıñ tükpırınde şynaiy katoliktık senımı:
</t>
    </r>
    <r>
      <rPr>
        <b/>
        <sz val="11"/>
        <color theme="1"/>
        <rFont val="Arial"/>
      </rPr>
      <t>TRANSLATION:</t>
    </r>
    <r>
      <rPr>
        <sz val="11"/>
        <color theme="1"/>
        <rFont val="Arial"/>
      </rPr>
      <t xml:space="preserve"> Although it had been hiding for a long time, </t>
    </r>
    <r>
      <rPr>
        <b/>
        <sz val="11"/>
        <color theme="1"/>
        <rFont val="Arial"/>
      </rPr>
      <t>conscience</t>
    </r>
    <r>
      <rPr>
        <sz val="11"/>
        <color theme="1"/>
        <rFont val="Arial"/>
      </rPr>
      <t xml:space="preserve"> — finally signaling its existence and that the time to raise its head had come — was leading Scarlett to this step. In the depths of her heart, her sincere Catholic faith:</t>
    </r>
  </si>
  <si>
    <t>Conscience — Object (stretchable)</t>
  </si>
  <si>
    <t>Stretchable object</t>
  </si>
  <si>
    <t>"You hoped! Alas, to blight your hopes! I should love you, for you are charming and talented at many useless accomplishments. But many ladies have charm and accomplishments and are just as useless as you are. No, I don't love you. But I do like you tremendously— for the elasticity of your conscience, for the selfishness which you seldom trouble to hide, and for the shrewd practicality in you which, I fear, you get from some not too remote Irish-peasant ancestor."</t>
  </si>
  <si>
    <t>TERM: sovesti (совести) — conscience (gen./dat./prep.) [ORD] (lemma: совесть)
PASSAGE: Но вы нравитесь мне безмерно — мне нравится эластичность вашей совести и ваших моральных правил, нравится ваш эгоизм, который вы весьма редко даете себе труд скрывать, нравится ваша крепкая жизненная хватка, унаследованная, боюсь, от какого-то не очень далекого ирландского предка-крестьянина.
TRANS: No vy nravites' mne bezmerno — mne nravitsya elastichnost' vashey sovesti i vashikh moral'nykh pravil, nravitsya vash egoizm, kotoryy vy ves'ma redko daete sebe trud skryvat', nravitsya vasha krepkaya zhiznennaya khvatka, unasledovannaya, boyus', ot kakogo-to ne ochen' dalekogo irlandskogo predka-krest'yanina.
TRANSLATION: But I find you immensely attractive — I like the elasticity of your conscience and your moral rules, I like the egotism that you very rarely take the trouble to conceal, I like your firm grip on life, inherited, I fear, from some not-too-distant Irish peasant ancestor.</t>
  </si>
  <si>
    <r>
      <rPr>
        <b/>
        <sz val="11"/>
        <color theme="1"/>
        <rFont val="Arial"/>
      </rPr>
      <t>TERM:</t>
    </r>
    <r>
      <rPr>
        <sz val="11"/>
        <color theme="1"/>
        <rFont val="Arial"/>
      </rPr>
      <t xml:space="preserve"> AR-ŪİAT (АР-ҰЯТ) — conscience-shame (compound): the active inner moral faculty [KED, SZK]
</t>
    </r>
    <r>
      <rPr>
        <b/>
        <sz val="11"/>
        <color theme="1"/>
        <rFont val="Arial"/>
      </rPr>
      <t>PASSAGE:</t>
    </r>
    <r>
      <rPr>
        <sz val="11"/>
        <color theme="1"/>
        <rFont val="Arial"/>
      </rPr>
      <t xml:space="preserve"> Бірақ сіз маған шексіз ұнайсыз---сіздің </t>
    </r>
    <r>
      <rPr>
        <b/>
        <sz val="11"/>
        <color theme="1"/>
        <rFont val="Arial"/>
      </rPr>
      <t>ар-ұятыңыз</t>
    </r>
    <r>
      <rPr>
        <sz val="11"/>
        <color theme="1"/>
        <rFont val="Arial"/>
      </rPr>
      <t xml:space="preserve"> бен адамгершілік ережелеріңіздің икемділігі ұнайды.
</t>
    </r>
    <r>
      <rPr>
        <b/>
        <sz val="11"/>
        <color theme="1"/>
        <rFont val="Arial"/>
      </rPr>
      <t>TRANS:</t>
    </r>
    <r>
      <rPr>
        <sz val="11"/>
        <color theme="1"/>
        <rFont val="Arial"/>
      </rPr>
      <t xml:space="preserve"> Bıraq sız mağan şeksız ūnaisyz---sızdıñ </t>
    </r>
    <r>
      <rPr>
        <b/>
        <sz val="11"/>
        <color theme="1"/>
        <rFont val="Arial"/>
      </rPr>
      <t>ar-ūiatyñyz</t>
    </r>
    <r>
      <rPr>
        <sz val="11"/>
        <color theme="1"/>
        <rFont val="Arial"/>
      </rPr>
      <t xml:space="preserve"> ben adamgerşılık erejelerıñızdıñ ikemdılıgı ūnaidy.
</t>
    </r>
    <r>
      <rPr>
        <b/>
        <sz val="11"/>
        <color theme="1"/>
        <rFont val="Arial"/>
      </rPr>
      <t>TRANSLATION:</t>
    </r>
    <r>
      <rPr>
        <sz val="11"/>
        <color theme="1"/>
        <rFont val="Arial"/>
      </rPr>
      <t xml:space="preserve"> But you appeal to me without measure — I like the elasticity of your </t>
    </r>
    <r>
      <rPr>
        <b/>
        <sz val="11"/>
        <color theme="1"/>
        <rFont val="Arial"/>
      </rPr>
      <t>conscience</t>
    </r>
    <r>
      <rPr>
        <sz val="11"/>
        <color theme="1"/>
        <rFont val="Arial"/>
      </rPr>
      <t xml:space="preserve"> and your principles of humanity.</t>
    </r>
  </si>
  <si>
    <t>Conscience — Resource</t>
  </si>
  <si>
    <t>Resource that has been almost spent</t>
  </si>
  <si>
    <t>"Yes. Aren't you relieved? I leave you to what remains of your conscience."</t>
  </si>
  <si>
    <t>TERM: sovesti (совести) — conscience (gen./dat./prep.) [ORD] (lemma: совесть)
PASSAGE: Хочу дать вам возможность побыть наедине с остатками вашей совести.
TRANS: Khochu dat' vam vozmozhnost' pobyt' naedine s ostatkami vashey sovesti.
TRANSLATION: I want to give you the chance to be alone with what remains of your conscience.</t>
  </si>
  <si>
    <r>
      <rPr>
        <b/>
        <sz val="11"/>
        <color theme="1"/>
        <rFont val="Arial"/>
      </rPr>
      <t>TERM:</t>
    </r>
    <r>
      <rPr>
        <sz val="11"/>
        <color theme="1"/>
        <rFont val="Arial"/>
      </rPr>
      <t xml:space="preserve"> ŪİAT (ҰЯТ) — shame; disgrace; sense of decency (also: that which is improper) [KED, SZK]
</t>
    </r>
    <r>
      <rPr>
        <b/>
        <sz val="11"/>
        <color theme="1"/>
        <rFont val="Arial"/>
      </rPr>
      <t>PASSAGE: Ұятыңыздан қалғандығымен бірге оңаша болуыңызға мүмкіндік берейін.
TRANS: Ūiatyñyzdan qalğandyğymen bırge oñaşa boluyñyzğa mümkındık bereiın.
TRANSLATION: I will give you the chance to be alone with what is left of your shame.</t>
    </r>
  </si>
  <si>
    <t>Conscience — Object (clean / unclean)</t>
  </si>
  <si>
    <t>Object that can become unclean</t>
  </si>
  <si>
    <t>Ellen finished and Gerald, who could never find his beads at prayer time, began furtively counting his decade on his fingers. As his voice droned on, Scarlett's thoughts strayed, in spite of herself. She knew she should be examining her conscience. Ellen had taught her that at the end of each day it was her duty to examine her conscience thoroughly, to admit her numerous faults and pray to God for forgiveness and strength never to repeat them. But Scarlett was examining her heart.</t>
  </si>
  <si>
    <t>TERM: sovest' (совесть) — conscience; the inner moral faculty [ORD]
PASSAGE: Под его монотонное, чтение Скарлетт невольно отвлеклась, хотя она знала, что ей сейчас надлежит, как учила ее Эллин, углубиться в себя, допросить свою совесть, вспомнить все проступки, совершенные за день, раскаяться в них и испросить у бога прощения, дабы он даровал ей силы никогда их больше не повторять.
TRANS: Pod ego monotonnoe, chtenie Skarlett nevol'no otvleklas', khotya ona znala, chto ey seychas nadlezhit, kak uchila ee Ellin, uglubit'sya v sebya, doprosit' svoyu sovest', vspomnit' vse prostupki, sovershennye za den', raskayat'sya v nikh i isprosit' u boga proshcheniya, daby on daroval ey sily nikogda ikh bol'she ne povtoryat'.
TRANSLATION: Under his monotonous reading, Scarlett involuntarily became distracted, although she knew that now she ought, as Ellen had taught her, to delve into herself, examine her conscience, recall all the wrongdoings committed during the day, repent of them, and ask God's forgiveness, that He might grant her the strength never to repeat them again.</t>
  </si>
  <si>
    <r>
      <rPr>
        <b/>
        <sz val="11"/>
        <color theme="1"/>
        <rFont val="Arial"/>
      </rPr>
      <t>TERM:</t>
    </r>
    <r>
      <rPr>
        <sz val="11"/>
        <color theme="1"/>
        <rFont val="Arial"/>
      </rPr>
      <t xml:space="preserve"> AR-OJDAN (АР-ОЖДАН) — conscience (compound from Arabic wijdān): the inalienable inner tribunal [KED, SZK]
</t>
    </r>
    <r>
      <rPr>
        <b/>
        <sz val="11"/>
        <color theme="1"/>
        <rFont val="Arial"/>
      </rPr>
      <t>PASSAGE:</t>
    </r>
    <r>
      <rPr>
        <sz val="11"/>
        <color theme="1"/>
        <rFont val="Arial"/>
      </rPr>
      <t xml:space="preserve"> Скарлетт Эллин үйреткендей, өз ішіне терең бойлап </t>
    </r>
    <r>
      <rPr>
        <b/>
        <sz val="11"/>
        <color theme="1"/>
        <rFont val="Arial"/>
      </rPr>
      <t xml:space="preserve">ар-ұжданын </t>
    </r>
    <r>
      <rPr>
        <sz val="11"/>
        <color theme="1"/>
        <rFont val="Arial"/>
      </rPr>
      <t xml:space="preserve">жауапқа тартып, ...
</t>
    </r>
    <r>
      <rPr>
        <b/>
        <sz val="11"/>
        <color theme="1"/>
        <rFont val="Arial"/>
      </rPr>
      <t>TRANS:</t>
    </r>
    <r>
      <rPr>
        <sz val="11"/>
        <color theme="1"/>
        <rFont val="Arial"/>
      </rPr>
      <t xml:space="preserve"> Skarlett Elin üiretkendei, öz ışıne tereñ boilap </t>
    </r>
    <r>
      <rPr>
        <b/>
        <sz val="11"/>
        <color theme="1"/>
        <rFont val="Arial"/>
      </rPr>
      <t>ar-ūjdanyn</t>
    </r>
    <r>
      <rPr>
        <sz val="11"/>
        <color theme="1"/>
        <rFont val="Arial"/>
      </rPr>
      <t xml:space="preserve"> jauapqa tartyp, ...
</t>
    </r>
    <r>
      <rPr>
        <b/>
        <sz val="11"/>
        <color theme="1"/>
        <rFont val="Arial"/>
      </rPr>
      <t>TRANSLATION:</t>
    </r>
    <r>
      <rPr>
        <sz val="11"/>
        <color theme="1"/>
        <rFont val="Arial"/>
      </rPr>
      <t xml:space="preserve"> Scarlett, as Ellen had taught her, plunging deep into herself, putting her </t>
    </r>
    <r>
      <rPr>
        <b/>
        <sz val="11"/>
        <color theme="1"/>
        <rFont val="Arial"/>
      </rPr>
      <t>conscience</t>
    </r>
    <r>
      <rPr>
        <sz val="11"/>
        <color theme="1"/>
        <rFont val="Arial"/>
      </rPr>
      <t xml:space="preserve"> to question,...</t>
    </r>
  </si>
  <si>
    <t>Conscience — Tormentor / punisher</t>
  </si>
  <si>
    <t>Moral wrongs, past harm to Melanie; Melanie as moral mirror</t>
  </si>
  <si>
    <r>
      <rPr>
        <b/>
        <sz val="11"/>
        <color theme="1"/>
        <rFont val="Arial"/>
      </rPr>
      <t>TERM:</t>
    </r>
    <r>
      <rPr>
        <sz val="11"/>
        <color theme="1"/>
        <rFont val="Arial"/>
      </rPr>
      <t xml:space="preserve"> AR-ŪİAT (АР-ҰЯТ) — conscience-shame (compound): the active inner moral faculty [KED, SZK]
</t>
    </r>
    <r>
      <rPr>
        <b/>
        <sz val="11"/>
        <color theme="1"/>
        <rFont val="Arial"/>
      </rPr>
      <t>PASSAGE:</t>
    </r>
    <r>
      <rPr>
        <sz val="11"/>
        <color theme="1"/>
        <rFont val="Arial"/>
      </rPr>
      <t xml:space="preserve"> "Мұны айта алмайды екенмін, </t>
    </r>
    <r>
      <rPr>
        <b/>
        <sz val="11"/>
        <color theme="1"/>
        <rFont val="Arial"/>
      </rPr>
      <t>ар-ұятым</t>
    </r>
    <r>
      <rPr>
        <sz val="11"/>
        <color theme="1"/>
        <rFont val="Arial"/>
      </rPr>
      <t xml:space="preserve"> тұншықтырып өлтірсе де айта алмаймын" деп тұнжырай ойлады Скарлетт.
</t>
    </r>
    <r>
      <rPr>
        <b/>
        <sz val="11"/>
        <color theme="1"/>
        <rFont val="Arial"/>
      </rPr>
      <t>TRANS:</t>
    </r>
    <r>
      <rPr>
        <sz val="11"/>
        <color theme="1"/>
        <rFont val="Arial"/>
      </rPr>
      <t xml:space="preserve"> "Mūny aita almaidy ekenmın, </t>
    </r>
    <r>
      <rPr>
        <b/>
        <sz val="11"/>
        <color theme="1"/>
        <rFont val="Arial"/>
      </rPr>
      <t>ar-ūiatym</t>
    </r>
    <r>
      <rPr>
        <sz val="11"/>
        <color theme="1"/>
        <rFont val="Arial"/>
      </rPr>
      <t xml:space="preserve"> tūnşyqtyryp öltırse de aita almaimyn" dep tūnjyrai oilady Skarlett.
</t>
    </r>
    <r>
      <rPr>
        <b/>
        <sz val="11"/>
        <color theme="1"/>
        <rFont val="Arial"/>
      </rPr>
      <t>TRANSLATION:</t>
    </r>
    <r>
      <rPr>
        <sz val="11"/>
        <color theme="1"/>
        <rFont val="Arial"/>
      </rPr>
      <t xml:space="preserve"> "I cannot say it, even if my </t>
    </r>
    <r>
      <rPr>
        <b/>
        <sz val="11"/>
        <color theme="1"/>
        <rFont val="Arial"/>
      </rPr>
      <t>conscience</t>
    </r>
    <r>
      <rPr>
        <sz val="11"/>
        <color theme="1"/>
        <rFont val="Arial"/>
      </rPr>
      <t xml:space="preserve"> should choke and kill me, I cannot say it," thought Scarlett gloomily.</t>
    </r>
  </si>
  <si>
    <t>Conscience activated by Ellen’s image, later overcome</t>
  </si>
  <si>
    <t>When Scarlett first began secretly reading these letters, she had been so stricken of conscience and so fearful of discovery she could hardly open the envelopes for trembling. Now, her never- too-scrupulous sense of honor was dulled by repetition of the offense and even fear of discovery had subsided. Occasionally, she thought with a sinking heart, "What would Mother say if she knew?" She knew Ellen would rather see her dead than know her guilty of such dishonor. This had worried Scarlett at first, for she still wanted to be like her mother in every respect. But the temptation to read the letters was too great and she put the thought of Ellen out of her mind.</t>
  </si>
  <si>
    <t>TERM: sovest' (совесть) — conscience; the inner moral faculty [ORD]
PASSAGE: Когда она впервые начала украдкой читать эти письма, ее порядком мучила совесть и охватывал такой страх быть пойманной на месте преступления, что она едва решалась вскрыть дрожащими пальцами конверт.
TRANS: Kogda ona vpervye nachala ukradkoy chitat' eti pis'ma, ee poryadkom muchila sovest' i okhvatyval takoy strakh byt' poymannoy na meste prestupleniya, chto ona edva reshalas' vskryt' drozhashchimi pal'tsami konvert.
TRANSLATION: When she first began secretly to read these letters, her conscience tormented her terribly and such a fear of being caught in the act gripped her that she barely dared open the envelope with trembling fingers.</t>
  </si>
  <si>
    <r>
      <rPr>
        <b/>
        <sz val="11"/>
        <color theme="1"/>
        <rFont val="Arial"/>
      </rPr>
      <t>TERM:</t>
    </r>
    <r>
      <rPr>
        <sz val="11"/>
        <color theme="1"/>
        <rFont val="Arial"/>
      </rPr>
      <t xml:space="preserve"> AR-OJDAN (АР-ОЖДАН) — conscience (compound from Arabic wijdān): the inalienable inner tribunal [KED, SZK]
</t>
    </r>
    <r>
      <rPr>
        <b/>
        <sz val="11"/>
        <color theme="1"/>
        <rFont val="Arial"/>
      </rPr>
      <t>PASSAGE:</t>
    </r>
    <r>
      <rPr>
        <sz val="11"/>
        <color theme="1"/>
        <rFont val="Arial"/>
      </rPr>
      <t xml:space="preserve"> Ол бастапқыда</t>
    </r>
    <r>
      <rPr>
        <b/>
        <sz val="11"/>
        <color theme="1"/>
        <rFont val="Arial"/>
      </rPr>
      <t xml:space="preserve"> ар-ұжданы</t>
    </r>
    <r>
      <rPr>
        <sz val="11"/>
        <color theme="1"/>
        <rFont val="Arial"/>
      </rPr>
      <t xml:space="preserve"> қинап, өзін қылмыс үстінде ұстап алатындай қорқыныш билеп, саусағы дірілдеп конвертті әрең ашып, хаттарды оқи бастады.
</t>
    </r>
    <r>
      <rPr>
        <b/>
        <sz val="11"/>
        <color theme="1"/>
        <rFont val="Arial"/>
      </rPr>
      <t>TRANS:</t>
    </r>
    <r>
      <rPr>
        <sz val="11"/>
        <color theme="1"/>
        <rFont val="Arial"/>
      </rPr>
      <t xml:space="preserve"> Ol bastapqyda </t>
    </r>
    <r>
      <rPr>
        <b/>
        <sz val="11"/>
        <color theme="1"/>
        <rFont val="Arial"/>
      </rPr>
      <t>ar-ūjdany</t>
    </r>
    <r>
      <rPr>
        <sz val="11"/>
        <color theme="1"/>
        <rFont val="Arial"/>
      </rPr>
      <t xml:space="preserve"> qinap, özın qylmys üstınde ūstap alatyndai qorqynyş bilep, sausağy dırıldep konverttı äreñ aşyp, hattardy oqi bastady.
</t>
    </r>
    <r>
      <rPr>
        <b/>
        <sz val="11"/>
        <color theme="1"/>
        <rFont val="Arial"/>
      </rPr>
      <t>TRANSLATION:</t>
    </r>
    <r>
      <rPr>
        <sz val="11"/>
        <color theme="1"/>
        <rFont val="Arial"/>
      </rPr>
      <t xml:space="preserve"> At first her </t>
    </r>
    <r>
      <rPr>
        <b/>
        <sz val="11"/>
        <color theme="1"/>
        <rFont val="Arial"/>
      </rPr>
      <t xml:space="preserve">conscience </t>
    </r>
    <r>
      <rPr>
        <sz val="11"/>
        <color theme="1"/>
        <rFont val="Arial"/>
      </rPr>
      <t>tormented her, fear gripped her as if she might be caught in the crime, and her fingers trembled as she barely managed to open the envelope and begin reading the letters.</t>
    </r>
  </si>
  <si>
    <t>Tormentor conscience involuntarily activated — stricken; fused with guilt and social fear</t>
  </si>
  <si>
    <t>When Scarlett first began secretly reading these letters, she had been so stricken of conscience and so fearful of discovery she could hardly open the envelopes for trembling. Now, her never- too-scrupulous sense of honor was dulled by repetition of the offense and even fear of discovery had subsided. Occasionally, she thought with a sinking heart, "What would Mother say if she knew?" She knew Ellen would rather see her dead than know her guilty of such dishonor. This had worried Scarlett at first, for she still wanted to be like her mother in every respect. But the temptation to read the letters was too great and she put the thought of Ellen out of her mind. She had become adept at putting unpleasant thoughts out of her mind these days. She had learned to say, "I won't think of this or that bothersome thought now. I'll think about it tomorrow." Generally when tomorrow came, the thought either did not occur at all or it was so attenuated by the delay it was not very troublesome. So the matter of Ashley's letters did not lie very heavily on her conscience.</t>
  </si>
  <si>
    <r>
      <rPr>
        <b/>
        <sz val="11"/>
        <color theme="1"/>
        <rFont val="Arial"/>
      </rPr>
      <t>TERM:</t>
    </r>
    <r>
      <rPr>
        <sz val="11"/>
        <color theme="1"/>
        <rFont val="Arial"/>
      </rPr>
      <t xml:space="preserve"> AR-OJDAN (АР-ОЖДАН) — conscience (compound from Arabic wijdān): the inalienable inner tribunal [KED, SZK]
</t>
    </r>
    <r>
      <rPr>
        <b/>
        <sz val="11"/>
        <color theme="1"/>
        <rFont val="Arial"/>
      </rPr>
      <t>PASSAGE:</t>
    </r>
    <r>
      <rPr>
        <sz val="11"/>
        <color theme="1"/>
        <rFont val="Arial"/>
      </rPr>
      <t xml:space="preserve"> Ол бастапқыда </t>
    </r>
    <r>
      <rPr>
        <b/>
        <sz val="11"/>
        <color theme="1"/>
        <rFont val="Arial"/>
      </rPr>
      <t xml:space="preserve">ар-ұжданы </t>
    </r>
    <r>
      <rPr>
        <sz val="11"/>
        <color theme="1"/>
        <rFont val="Arial"/>
      </rPr>
      <t xml:space="preserve">қинап, өзін қылмыс үстінде ұстап алатындай қорқыныш билеп, саусағы дірілдеп конвертті әрең ашып, хаттарды оқи бастады.
</t>
    </r>
    <r>
      <rPr>
        <b/>
        <sz val="11"/>
        <color theme="1"/>
        <rFont val="Arial"/>
      </rPr>
      <t>TRANS:</t>
    </r>
    <r>
      <rPr>
        <sz val="11"/>
        <color theme="1"/>
        <rFont val="Arial"/>
      </rPr>
      <t xml:space="preserve"> Ol bastapqyda </t>
    </r>
    <r>
      <rPr>
        <b/>
        <sz val="11"/>
        <color theme="1"/>
        <rFont val="Arial"/>
      </rPr>
      <t xml:space="preserve">ar-ūjdany </t>
    </r>
    <r>
      <rPr>
        <sz val="11"/>
        <color theme="1"/>
        <rFont val="Arial"/>
      </rPr>
      <t xml:space="preserve">qinap, özın qylmys üstınde ūstap alatyndai qorqynyş bilep, sausağy dırıldep konverttı äreñ aşyp, hattardy oqi bastady.
</t>
    </r>
    <r>
      <rPr>
        <b/>
        <sz val="11"/>
        <color theme="1"/>
        <rFont val="Arial"/>
      </rPr>
      <t>TRANSLATION:</t>
    </r>
    <r>
      <rPr>
        <sz val="11"/>
        <color theme="1"/>
        <rFont val="Arial"/>
      </rPr>
      <t xml:space="preserve"> At first her </t>
    </r>
    <r>
      <rPr>
        <b/>
        <sz val="11"/>
        <color theme="1"/>
        <rFont val="Arial"/>
      </rPr>
      <t>conscience</t>
    </r>
    <r>
      <rPr>
        <sz val="11"/>
        <color theme="1"/>
        <rFont val="Arial"/>
      </rPr>
      <t xml:space="preserve"> tormented her, fear gripped her as if she might be caught in the crime, and her fingers trembled as she barely managed to open the envelope and begin reading the letters.</t>
    </r>
  </si>
  <si>
    <t>Punisher</t>
  </si>
  <si>
    <t>Scarlett's conscience smote her at this last, for it had been months since she had been to church. Once she would have thought this omission a mortal sin but, somehow, staying away from church did not seem so sinful now as it formerly had. But she obeyed her mother and going to her room gabbled a hasty Rosary. When she rose from her knees she did not feel as comforted as she had formerly felt after prayer. For some time she had felt that God was not watching out for her, the Confederates or the South, in spite of the millions of prayers ascending to Him daily.</t>
  </si>
  <si>
    <t>TERM: ugryzeniya sovesti: (угрызения совести:) = pangs of conscience
PASSAGE: Читая эти строки, Скарлетт почувствовала угрызения совести: ведь она уже который месяц не посещала храма.
TRANS: Chitaya eti stroki, Skarlett pochuvstvovala ugryzeniya sovesti: ved' ona uzhe kotoryy mesyats ne poseshchala khrama.
TRANSLATION: Reading these lines, Scarlett felt pangs of conscience: for she had not visited the temple for several months now.</t>
  </si>
  <si>
    <r>
      <rPr>
        <b/>
        <sz val="11"/>
        <color theme="1"/>
        <rFont val="Arial"/>
      </rPr>
      <t>TERM:</t>
    </r>
    <r>
      <rPr>
        <sz val="11"/>
        <color theme="1"/>
        <rFont val="Arial"/>
      </rPr>
      <t xml:space="preserve"> ŪİALU (ҰЯЛУ) — to feel ashamed; to feel shy; to be embarrassed [KED, SZK]
</t>
    </r>
    <r>
      <rPr>
        <b/>
        <sz val="11"/>
        <color theme="1"/>
        <rFont val="Arial"/>
      </rPr>
      <t>PASSAGE:</t>
    </r>
    <r>
      <rPr>
        <sz val="11"/>
        <color theme="1"/>
        <rFont val="Arial"/>
      </rPr>
      <t xml:space="preserve"> Бұл жолдарды оқи отырып, Скарлетт </t>
    </r>
    <r>
      <rPr>
        <b/>
        <sz val="11"/>
        <color theme="1"/>
        <rFont val="Arial"/>
      </rPr>
      <t>ұялып</t>
    </r>
    <r>
      <rPr>
        <sz val="11"/>
        <color theme="1"/>
        <rFont val="Arial"/>
      </rPr>
      <t xml:space="preserve"> кетті: өйткені ол бірнеше ай бойы ғибадатханаға бармаған болатын.
</t>
    </r>
    <r>
      <rPr>
        <b/>
        <sz val="11"/>
        <color theme="1"/>
        <rFont val="Arial"/>
      </rPr>
      <t>TRANS:</t>
    </r>
    <r>
      <rPr>
        <sz val="11"/>
        <color theme="1"/>
        <rFont val="Arial"/>
      </rPr>
      <t xml:space="preserve"> Būl joldardy oqi otyryp, Skarlett </t>
    </r>
    <r>
      <rPr>
        <b/>
        <sz val="11"/>
        <color theme="1"/>
        <rFont val="Arial"/>
      </rPr>
      <t>ūialyp</t>
    </r>
    <r>
      <rPr>
        <sz val="11"/>
        <color theme="1"/>
        <rFont val="Arial"/>
      </rPr>
      <t xml:space="preserve"> kettı: öitkenı ol bırneşe ai boiy ğibadathanağa barmağan bolatyn.
</t>
    </r>
    <r>
      <rPr>
        <b/>
        <sz val="11"/>
        <color theme="1"/>
        <rFont val="Arial"/>
      </rPr>
      <t>TRANSLATION:</t>
    </r>
    <r>
      <rPr>
        <sz val="11"/>
        <color theme="1"/>
        <rFont val="Arial"/>
      </rPr>
      <t xml:space="preserve"> Reading these lines, Scarlett became </t>
    </r>
    <r>
      <rPr>
        <b/>
        <sz val="11"/>
        <color theme="1"/>
        <rFont val="Arial"/>
      </rPr>
      <t>ashamed</t>
    </r>
    <r>
      <rPr>
        <sz val="11"/>
        <color theme="1"/>
        <rFont val="Arial"/>
      </rPr>
      <t>: for she had not gone to the place of worship for several months.</t>
    </r>
  </si>
  <si>
    <t>Tormentor</t>
  </si>
  <si>
    <t>"Never mind the rest. I follow your general idea. When I'm dead on the altar of my country, I hope your conscience hurts you."</t>
  </si>
  <si>
    <t>TERM: sovesti (совести) — conscience (gen./dat./prep.) [ORD] (lemma: совесть)
PASSAGE: Когда я сложу голову на алтарь отечества, вам, боюсь, придется испытать легкий укол совести.
TRANS: Kogda ya slozhu golovu na altar' otechestva, vam, boyus', pridetsya ispytat' legkiy ukol sovesti.
TRANSLATION: When I lay my head on the altar of the fatherland, you, I fear, will have to feel a slight prick of conscience.</t>
  </si>
  <si>
    <r>
      <rPr>
        <b/>
        <sz val="11"/>
        <color theme="1"/>
        <rFont val="Arial"/>
      </rPr>
      <t>TERM:</t>
    </r>
    <r>
      <rPr>
        <sz val="11"/>
        <color theme="1"/>
        <rFont val="Arial"/>
      </rPr>
      <t xml:space="preserve"> AR-OJDAN (АР-ОЖДАН) — conscience (compound from Arabic wijdān): the inalienable inner tribunal [KED, SZK]
</t>
    </r>
    <r>
      <rPr>
        <b/>
        <sz val="11"/>
        <color theme="1"/>
        <rFont val="Arial"/>
      </rPr>
      <t>PASSAGE:</t>
    </r>
    <r>
      <rPr>
        <sz val="11"/>
        <color theme="1"/>
        <rFont val="Arial"/>
      </rPr>
      <t xml:space="preserve"> Менің басым туған ел үшін құрбан болған кезде, сізді аздап болса да ар-ұжданыңыз мазалайтын шығар деп қорқамын.
</t>
    </r>
    <r>
      <rPr>
        <b/>
        <sz val="11"/>
        <color theme="1"/>
        <rFont val="Arial"/>
      </rPr>
      <t>TRANS:</t>
    </r>
    <r>
      <rPr>
        <sz val="11"/>
        <color theme="1"/>
        <rFont val="Arial"/>
      </rPr>
      <t xml:space="preserve"> Menıñ basym tuğan el üşın qūrban bolğan kezde, sızdı azdap bolsa da </t>
    </r>
    <r>
      <rPr>
        <b/>
        <sz val="11"/>
        <color theme="1"/>
        <rFont val="Arial"/>
      </rPr>
      <t>ar-ūjdanyñyz</t>
    </r>
    <r>
      <rPr>
        <sz val="11"/>
        <color theme="1"/>
        <rFont val="Arial"/>
      </rPr>
      <t xml:space="preserve"> mazalaityn şyğar dep qorqamyn.
</t>
    </r>
    <r>
      <rPr>
        <b/>
        <sz val="11"/>
        <color theme="1"/>
        <rFont val="Arial"/>
      </rPr>
      <t>TRANSLATION:</t>
    </r>
    <r>
      <rPr>
        <sz val="11"/>
        <color theme="1"/>
        <rFont val="Arial"/>
      </rPr>
      <t xml:space="preserve"> When my head is sacrificed for the native land, I fear your </t>
    </r>
    <r>
      <rPr>
        <b/>
        <sz val="11"/>
        <color theme="1"/>
        <rFont val="Arial"/>
      </rPr>
      <t>conscience</t>
    </r>
    <r>
      <rPr>
        <sz val="11"/>
        <color theme="1"/>
        <rFont val="Arial"/>
      </rPr>
      <t xml:space="preserve"> may trouble you a little.</t>
    </r>
  </si>
  <si>
    <t>Attacker, tormentor</t>
  </si>
  <si>
    <t>He winced at her words but his eyes still met hers, imploring silence, comfort. Every line of his face admitted the truth of her words. The very droop of his shoulders showed that his own self- castigation was more cruel than any she could give. He stood silent before her, clutching the glove as though it were an understanding hand and, in the stillness that followed her words, her indignation fell away and pity, tinged with contempt, took its place. Her conscience smote her. She was kicking a beaten and defenseless man—and she had promised Melanie that she would look after him.</t>
  </si>
  <si>
    <t>TERM: Sovest' (Совесть) — conscience; the inner moral faculty [ORD]
PASSAGE: Совесть заговорила в ней.
TRANS: Sovest' zagovorila v ney.
TRANSLATION: Conscience spoke up in her.</t>
  </si>
  <si>
    <r>
      <rPr>
        <b/>
        <sz val="11"/>
        <color theme="1"/>
        <rFont val="Arial"/>
      </rPr>
      <t>TERM:</t>
    </r>
    <r>
      <rPr>
        <sz val="11"/>
        <color theme="1"/>
        <rFont val="Arial"/>
      </rPr>
      <t xml:space="preserve"> ŪİAT (ҰЯТ) — shame; disgrace; sense of decency (also: that which is improper) [KED, SZK]
</t>
    </r>
    <r>
      <rPr>
        <b/>
        <sz val="11"/>
        <color theme="1"/>
        <rFont val="Arial"/>
      </rPr>
      <t>PASSAGE: Ұяты өзімен тілдескендей.
TRANS: Ūiaty özımen tıldeskendei.
TRANSLATION: It was as if her shame began to converse with her.</t>
    </r>
  </si>
  <si>
    <t>Mild pain due to a minor breach</t>
  </si>
  <si>
    <t>"Oh!" cried Melanie, looking conscience stricken. "How I have run on! Scarlett, I didn't mean to hurt your feelings or to criticize.</t>
  </si>
  <si>
    <t>TERM: zasovestivshis' (засовестившись) — having become conscience-stricken (pf. gerund, colloq.) [ORD] (lemma: засовеститься)
TRANSLATION: [no passage given in the corpus row]</t>
  </si>
  <si>
    <r>
      <rPr>
        <b/>
        <sz val="11"/>
        <color theme="1"/>
        <rFont val="Arial"/>
      </rPr>
      <t>PASSAGE:</t>
    </r>
    <r>
      <rPr>
        <sz val="11"/>
        <color theme="1"/>
        <rFont val="Arial"/>
      </rPr>
      <t xml:space="preserve"> - Қалай дейсің?! - деп шыдамай айқайлап жіберді Мелли.
</t>
    </r>
    <r>
      <rPr>
        <b/>
        <sz val="11"/>
        <color theme="1"/>
        <rFont val="Arial"/>
      </rPr>
      <t>TRANS:</t>
    </r>
    <r>
      <rPr>
        <sz val="11"/>
        <color theme="1"/>
        <rFont val="Arial"/>
      </rPr>
      <t xml:space="preserve"> - Qalai deisıñ?! - dep şydamai aiqailap jıberdı Melli.
</t>
    </r>
    <r>
      <rPr>
        <b/>
        <sz val="11"/>
        <color theme="1"/>
        <rFont val="Arial"/>
      </rPr>
      <t>TRANSLATION:</t>
    </r>
    <r>
      <rPr>
        <sz val="11"/>
        <color theme="1"/>
        <rFont val="Arial"/>
      </rPr>
      <t xml:space="preserve"> "What did you say?!" — Melly cried out, unable to bear it.</t>
    </r>
  </si>
  <si>
    <t>Conscience — Internal authority (judge)</t>
  </si>
  <si>
    <t>conscience as active inner faculty — inner moral judge - ABSENT</t>
  </si>
  <si>
    <t>But now, Scarlett pushed that admonition into the back of her mind. That she was encouraging theft, and perhaps theft from people worse off than she, was no longer a matter for conscience. In fact the morals of the affair weighed lightly upon her. Instead of punishment or reproof, she only regretted he had been shot.</t>
  </si>
  <si>
    <r>
      <rPr>
        <b/>
        <sz val="10"/>
        <color theme="1"/>
        <rFont val="Arial"/>
      </rPr>
      <t>PASSAGE:</t>
    </r>
    <r>
      <rPr>
        <sz val="10"/>
        <color theme="1"/>
        <rFont val="Arial"/>
      </rPr>
      <t xml:space="preserve"> —
</t>
    </r>
    <r>
      <rPr>
        <b/>
        <sz val="10"/>
        <color theme="1"/>
        <rFont val="Arial"/>
      </rPr>
      <t>TRANS:</t>
    </r>
    <r>
      <rPr>
        <sz val="10"/>
        <color theme="1"/>
        <rFont val="Arial"/>
      </rPr>
      <t xml:space="preserve"> —
</t>
    </r>
    <r>
      <rPr>
        <b/>
        <sz val="10"/>
        <color theme="1"/>
        <rFont val="Arial"/>
      </rPr>
      <t>TRANSLATION:</t>
    </r>
    <r>
      <rPr>
        <sz val="10"/>
        <color theme="1"/>
        <rFont val="Arial"/>
      </rPr>
      <t xml:space="preserve"> —</t>
    </r>
  </si>
  <si>
    <t>Conscience — Pained body part</t>
  </si>
  <si>
    <t>Briefly pained body part</t>
  </si>
  <si>
    <t>There was a startled silence and then the buzzing broke out again. India rose tiredly from her seat beneath the arbor and went toward the angry Stuart Tarleton. Scarlett could not hear what she said, but the look in her eyes as she gazed up into his lowering face gave Scarlett something like a twinge of conscience. It was the same look of belonging that Melanie wore when she looked at Ashley, only Stuart did not see it. So India did love him. Scarlett thought for an instant that if she had not flirted so blatantly with Stuart at that political speaking a year ago, he might have married India long ere this. But then the twinge passed with the comforting thought that it wasn't her fault if other girls couldn't keep their men.</t>
  </si>
  <si>
    <t>TERM: sovesti (совести) — conscience (gen./dat./prep.) [ORD] (lemma: совесть)
PASSAGE: Слов Индии Скарлетт не слышала, но то, что она прочла в устремленном на Стюарта взгляде, заставило ее испытать нечто похожее на укол совести.
TRANS: Slov Indii Skarlett ne slyshala, no to, chto ona prochla v ustremlennom na Styuarta vzglyade, zastavilo ee ispytat' nechto pokhozhee na ukol sovesti.
TRANSLATION: Scarlett did not hear India's words, but what she read in the look fixed on Stuart made her experience something like a prick of conscience.</t>
  </si>
  <si>
    <r>
      <rPr>
        <b/>
        <sz val="11"/>
        <color theme="1"/>
        <rFont val="Arial"/>
      </rPr>
      <t>TERM:</t>
    </r>
    <r>
      <rPr>
        <sz val="11"/>
        <color theme="1"/>
        <rFont val="Arial"/>
      </rPr>
      <t xml:space="preserve"> AR-OJDAN (АР-ОЖДАН) — conscience (compound from Arabic wijdān): the inalienable inner tribunal [KED, SZK]
</t>
    </r>
    <r>
      <rPr>
        <b/>
        <sz val="11"/>
        <color theme="1"/>
        <rFont val="Arial"/>
      </rPr>
      <t>PASSAGE:</t>
    </r>
    <r>
      <rPr>
        <sz val="11"/>
        <color theme="1"/>
        <rFont val="Arial"/>
      </rPr>
      <t xml:space="preserve"> Скарлетт Индияның не айтқанын естімеді, бірақ оның Стюартқа қадалған көзінен оқыған жазулар мұның </t>
    </r>
    <r>
      <rPr>
        <b/>
        <sz val="11"/>
        <color theme="1"/>
        <rFont val="Arial"/>
      </rPr>
      <t>ар-ожданына</t>
    </r>
    <r>
      <rPr>
        <sz val="11"/>
        <color theme="1"/>
        <rFont val="Arial"/>
      </rPr>
      <t xml:space="preserve"> ине сұғып алғандай әсер етті.
</t>
    </r>
    <r>
      <rPr>
        <b/>
        <sz val="11"/>
        <color theme="1"/>
        <rFont val="Arial"/>
      </rPr>
      <t>TRANS:</t>
    </r>
    <r>
      <rPr>
        <sz val="11"/>
        <color theme="1"/>
        <rFont val="Arial"/>
      </rPr>
      <t xml:space="preserve"> Skarlett İndianyñ ne aitqanyn estımedı, bıraq onyñ Stüartqa qadalğan közınen oqyğan jazular mūnyñ </t>
    </r>
    <r>
      <rPr>
        <b/>
        <sz val="11"/>
        <color theme="1"/>
        <rFont val="Arial"/>
      </rPr>
      <t>ar-ojdanyna</t>
    </r>
    <r>
      <rPr>
        <sz val="11"/>
        <color theme="1"/>
        <rFont val="Arial"/>
      </rPr>
      <t xml:space="preserve"> ine sūğyp alğandai äser ettı.
</t>
    </r>
    <r>
      <rPr>
        <b/>
        <sz val="11"/>
        <color theme="1"/>
        <rFont val="Arial"/>
      </rPr>
      <t>TRANSLATION:</t>
    </r>
    <r>
      <rPr>
        <sz val="11"/>
        <color theme="1"/>
        <rFont val="Arial"/>
      </rPr>
      <t xml:space="preserve"> Scarlett did not hear what India said, but the writing she read in her gaze fixed on Stuart had the effect of pricking her </t>
    </r>
    <r>
      <rPr>
        <b/>
        <sz val="11"/>
        <color theme="1"/>
        <rFont val="Arial"/>
      </rPr>
      <t>conscience</t>
    </r>
    <r>
      <rPr>
        <sz val="11"/>
        <color theme="1"/>
        <rFont val="Arial"/>
      </rPr>
      <t xml:space="preserve"> with a needle.</t>
    </r>
  </si>
  <si>
    <t>Pained body part</t>
  </si>
  <si>
    <t>She crossed the room to the mirror and patted her smooth hair approvingly. Her spirits rose, as always at the sight of her white skin and slanting green eyes, and she smiled to bring out her dimples. Then she dismissed Captain Butler from her mind as she happily viewed her reflection, remembering how Ashley had always liked her dimples. No pang of conscience at loving another woman's husband or reading that woman's mail disturbed her pleasure in her youth and charm and her renewed assurance of Ashley's love.</t>
  </si>
  <si>
    <t>TERM: sovesti (совести) — conscience (gen./dat./prep.) [ORD] (lemma: совесть)
PASSAGE: Мысль о том, что она любит чужого мужа и только что тайком прочла его письма, адресованные жене, не потревожила ее совести и не омрачила радости, которую давало ей сознание своей молодости, очарования и окрепшая уверенность в любви Эшли.
TRANS: Mysl' o tom, chto ona lyubit chuzhogo muzha i tol'ko chto taykom prochla ego pis'ma, adresovannye zhene, ne potrevozhila ee sovesti i ne omrachila radosti, kotoruyu davalo ey soznanie svoey molodosti, ocharovaniya i okrepshaya uverennost' v lyubvi Eshli.
TRANSLATION: The thought that she loved another woman's husband and had just secretly read his letters addressed to his wife did not trouble her conscience, nor did it dim the joy that the awareness of her youth, charm, and strengthened conviction in Ashley's love brought her.</t>
  </si>
  <si>
    <r>
      <rPr>
        <b/>
        <sz val="11"/>
        <color theme="1"/>
        <rFont val="Arial"/>
      </rPr>
      <t>TERM:</t>
    </r>
    <r>
      <rPr>
        <sz val="11"/>
        <color theme="1"/>
        <rFont val="Arial"/>
      </rPr>
      <t xml:space="preserve"> AR (АР) — honour; conscience; inalienable inner moral principle [KED, SZK]
</t>
    </r>
    <r>
      <rPr>
        <b/>
        <sz val="11"/>
        <color theme="1"/>
        <rFont val="Arial"/>
      </rPr>
      <t>PASSAGE:</t>
    </r>
    <r>
      <rPr>
        <sz val="11"/>
        <color theme="1"/>
        <rFont val="Arial"/>
      </rPr>
      <t xml:space="preserve"> Өзінің басқа біреудің күйеуін жақсы көріп, жаңа ғана оның әйеліне жазған хаттарын жасырын оқығаны туралы ой оның </t>
    </r>
    <r>
      <rPr>
        <b/>
        <sz val="11"/>
        <color theme="1"/>
        <rFont val="Arial"/>
      </rPr>
      <t>арын</t>
    </r>
    <r>
      <rPr>
        <sz val="11"/>
        <color theme="1"/>
        <rFont val="Arial"/>
      </rPr>
      <t xml:space="preserve"> мазаламады және оның жастық санасы, сүйкімділігі мен Эшлидің махаббатына деген сенімін нығайтқан қуаныш өшірмеді.
</t>
    </r>
    <r>
      <rPr>
        <b/>
        <sz val="11"/>
        <color theme="1"/>
        <rFont val="Arial"/>
      </rPr>
      <t>TRANS:</t>
    </r>
    <r>
      <rPr>
        <sz val="11"/>
        <color theme="1"/>
        <rFont val="Arial"/>
      </rPr>
      <t xml:space="preserve"> Özınıñ basqa bıreudıñ küieuın jaqsy körıp, jaña ğana onyñ äielıne jazğan hattaryn jasyryn oqyğany turaly oi onyñ </t>
    </r>
    <r>
      <rPr>
        <b/>
        <sz val="11"/>
        <color theme="1"/>
        <rFont val="Arial"/>
      </rPr>
      <t>aryn</t>
    </r>
    <r>
      <rPr>
        <sz val="11"/>
        <color theme="1"/>
        <rFont val="Arial"/>
      </rPr>
      <t xml:space="preserve"> mazalamady jäne onyñ jastyq sanasy, süikımdılıgı men Eşlidıñ mahabbatyna degen senımın nyğaitqan quanyş öşırmedı.
</t>
    </r>
    <r>
      <rPr>
        <b/>
        <sz val="11"/>
        <color theme="1"/>
        <rFont val="Arial"/>
      </rPr>
      <t>TRANSLATION:</t>
    </r>
    <r>
      <rPr>
        <sz val="11"/>
        <color theme="1"/>
        <rFont val="Arial"/>
      </rPr>
      <t xml:space="preserve"> The thought that she loved someone else's husband and had just secretly read the letters he had written to his wife did not trouble her </t>
    </r>
    <r>
      <rPr>
        <b/>
        <sz val="11"/>
        <color theme="1"/>
        <rFont val="Arial"/>
      </rPr>
      <t>conscience</t>
    </r>
    <r>
      <rPr>
        <sz val="11"/>
        <color theme="1"/>
        <rFont val="Arial"/>
      </rPr>
      <t>/</t>
    </r>
    <r>
      <rPr>
        <b/>
        <sz val="11"/>
        <color theme="1"/>
        <rFont val="Arial"/>
      </rPr>
      <t>honor</t>
    </r>
    <r>
      <rPr>
        <sz val="11"/>
        <color theme="1"/>
        <rFont val="Arial"/>
      </rPr>
      <t>, nor did it extinguish the joy that her young consciousness, charm, and strengthened belief in Ashley's love had given her.</t>
    </r>
  </si>
  <si>
    <t>Conscience — Weight</t>
  </si>
  <si>
    <t>Feeling of weight</t>
  </si>
  <si>
    <r>
      <rPr>
        <b/>
        <sz val="11"/>
        <color theme="1"/>
        <rFont val="Arial"/>
      </rPr>
      <t>TERM:</t>
    </r>
    <r>
      <rPr>
        <sz val="11"/>
        <color theme="1"/>
        <rFont val="Arial"/>
      </rPr>
      <t xml:space="preserve"> KİNÄLY (КІНӘЛЫ) — guilty; at fault [KED, SZK] (lemma: кінәлі)
</t>
    </r>
    <r>
      <rPr>
        <b/>
        <sz val="11"/>
        <color theme="1"/>
        <rFont val="Arial"/>
      </rPr>
      <t>PASSAGE:</t>
    </r>
    <r>
      <rPr>
        <sz val="11"/>
        <color theme="1"/>
        <rFont val="Arial"/>
      </rPr>
      <t xml:space="preserve"> Ашығын айтқанда, оның күреңіткен жүзін көргенде сасқалақтап, өзін </t>
    </r>
    <r>
      <rPr>
        <b/>
        <sz val="11"/>
        <color theme="1"/>
        <rFont val="Arial"/>
      </rPr>
      <t>кінәлі</t>
    </r>
    <r>
      <rPr>
        <sz val="11"/>
        <color theme="1"/>
        <rFont val="Arial"/>
      </rPr>
      <t xml:space="preserve"> сезінгендіктен де бүгежектей бастады.
</t>
    </r>
    <r>
      <rPr>
        <b/>
        <sz val="11"/>
        <color theme="1"/>
        <rFont val="Arial"/>
      </rPr>
      <t>TRANS:</t>
    </r>
    <r>
      <rPr>
        <sz val="11"/>
        <color theme="1"/>
        <rFont val="Arial"/>
      </rPr>
      <t xml:space="preserve"> Aşyğyn aitqanda, onyñ küreñıtken jüzın körgende sasqalaqtap, özın </t>
    </r>
    <r>
      <rPr>
        <b/>
        <sz val="11"/>
        <color theme="1"/>
        <rFont val="Arial"/>
      </rPr>
      <t>kınälı</t>
    </r>
    <r>
      <rPr>
        <sz val="11"/>
        <color theme="1"/>
        <rFont val="Arial"/>
      </rPr>
      <t xml:space="preserve"> sezıngendıkten de bügejektei bastady.
</t>
    </r>
    <r>
      <rPr>
        <b/>
        <sz val="11"/>
        <color theme="1"/>
        <rFont val="Arial"/>
      </rPr>
      <t>TRANSLATION:</t>
    </r>
    <r>
      <rPr>
        <sz val="11"/>
        <color theme="1"/>
        <rFont val="Arial"/>
      </rPr>
      <t xml:space="preserve"> To tell the truth, when she saw his darkened face, she became flustered and, feeling </t>
    </r>
    <r>
      <rPr>
        <b/>
        <sz val="11"/>
        <color theme="1"/>
        <rFont val="Arial"/>
      </rPr>
      <t>guilty</t>
    </r>
    <r>
      <rPr>
        <sz val="11"/>
        <color theme="1"/>
        <rFont val="Arial"/>
      </rPr>
      <t>, began to cower.</t>
    </r>
  </si>
  <si>
    <t>Weight-bearer</t>
  </si>
  <si>
    <t>She had killed Frank. She had killed him just as surely as if it had been her finger that pulled the trigger. He had begged her not to go about alone but she had not listened to him. And now he was dead because of her obstinacy. God would punish her for that. But there lay upon her conscience another matter that was heavier and more frightening even than causing his death—a matter which had never troubled her until she looked upon his coffined face. There had been something helpless and pathetic in that still face which had accused her. God would punish her for marrying him when he really loved Suellen. She would have to cower at the seat of judgment and answer for that lie she told him coming back from the Yankee camp in his buggy.</t>
  </si>
  <si>
    <t>TERM: prinizila (принизила) — belittled; disparaged (pf., past fem.) [ORD] (lemma: принизить) Но на совести ее лежал и другой грех — лежал даже более тяжким и страшным грузом, чем его смерть; и этот грех никогда не тревожил ее, пока она не увидела лицо Фрэнка в гробу.
PASSAGE: Но на совести ее лежал и другой грех — лежал даже более тяжким и страшным грузом, чем его смерть; и этот грех никогда не тревожил ее, пока она не увидела лицо Фрэнка в гробу.
TRANS: No na sovesti yeye lezhal i drugoy grekh — lezhal dazhe boleye tyazhkim i strashnym gruzom, chem yego smert'; i etot grekh nikogda ne trevozhil yeye, poka ona ne uvidela litso Frenka v grobu.
TRANSLATION: But upon her conscience there lay also another sin — lay even as a heavier and more terrible burden than his death; and this sin had never troubled her until she saw Frank's face in the coffin.</t>
  </si>
  <si>
    <r>
      <rPr>
        <b/>
        <sz val="11"/>
        <color theme="1"/>
        <rFont val="Arial"/>
      </rPr>
      <t>TERM:</t>
    </r>
    <r>
      <rPr>
        <sz val="11"/>
        <color theme="1"/>
        <rFont val="Arial"/>
      </rPr>
      <t xml:space="preserve"> ar (ар) — honour; conscience; inalienable inner moral principle [KED, SZK]
</t>
    </r>
    <r>
      <rPr>
        <b/>
        <sz val="11"/>
        <color theme="1"/>
        <rFont val="Arial"/>
      </rPr>
      <t>PASSAGE:</t>
    </r>
    <r>
      <rPr>
        <sz val="11"/>
        <color theme="1"/>
        <rFont val="Arial"/>
      </rPr>
      <t xml:space="preserve"> Бірақ оның </t>
    </r>
    <r>
      <rPr>
        <b/>
        <sz val="11"/>
        <color theme="1"/>
        <rFont val="Arial"/>
      </rPr>
      <t>арына</t>
    </r>
    <r>
      <rPr>
        <sz val="11"/>
        <color theme="1"/>
        <rFont val="Arial"/>
      </rPr>
      <t xml:space="preserve"> салмақ түсірген бұдан да ауыр қылмысы бар, ауырлығы сондай, күйеуінің өлімінен де сорақы..
</t>
    </r>
    <r>
      <rPr>
        <b/>
        <sz val="11"/>
        <color theme="1"/>
        <rFont val="Arial"/>
      </rPr>
      <t>TRANS:</t>
    </r>
    <r>
      <rPr>
        <sz val="11"/>
        <color theme="1"/>
        <rFont val="Arial"/>
      </rPr>
      <t xml:space="preserve"> Bıraq onyñ </t>
    </r>
    <r>
      <rPr>
        <b/>
        <sz val="11"/>
        <color theme="1"/>
        <rFont val="Arial"/>
      </rPr>
      <t>aryna</t>
    </r>
    <r>
      <rPr>
        <sz val="11"/>
        <color theme="1"/>
        <rFont val="Arial"/>
      </rPr>
      <t xml:space="preserve"> salmaq tüsırgen būdan da auyr qylmysy bar, auyrlyğy sondai, küieuınıñ ölımınen de soraqy..
</t>
    </r>
    <r>
      <rPr>
        <b/>
        <sz val="11"/>
        <color theme="1"/>
        <rFont val="Arial"/>
      </rPr>
      <t>TRANSLATION:</t>
    </r>
    <r>
      <rPr>
        <sz val="11"/>
        <color theme="1"/>
        <rFont val="Arial"/>
      </rPr>
      <t xml:space="preserve"> But upon her </t>
    </r>
    <r>
      <rPr>
        <b/>
        <sz val="11"/>
        <color theme="1"/>
        <rFont val="Arial"/>
      </rPr>
      <t>conscience</t>
    </r>
    <r>
      <rPr>
        <sz val="11"/>
        <color theme="1"/>
        <rFont val="Arial"/>
      </rPr>
      <t xml:space="preserve"> there lay an even heavier crime than this; so heavy, more dreadful even than her husband's death...</t>
    </r>
  </si>
  <si>
    <t>Weight-carrier</t>
  </si>
  <si>
    <t>"Now, Miss," he whispered briefly, "no hysterics and no deathbed confessions from you or, before God, I will wring your neck! Don't give me any of your innocent stares. You know what I mean. Miss Melly is going to die easily and you aren't going to ease your own conscience by telling her anything about Ashley. I've never harmed a woman yet, but if you say anything now—you'll answer to me."</t>
  </si>
  <si>
    <t>TERM: sovesti (совести) — conscience (gen./dat./prep.) [ORD] (lemma: совесть)
PASSAGE: Мисс Мелли умрет легко, а вы не облегчите своей совести, если скажете ей про Эшли.
TRANS: Miss Melli umret legko, a vy ne oblegchite svoey sovesti, esli skazhete ey pro Eshli.
TRANSLATION: Miss Melly will die easily, and you will not lighten your conscience if you tell her about Ashley.</t>
  </si>
  <si>
    <r>
      <rPr>
        <b/>
        <sz val="11"/>
        <color theme="1"/>
        <rFont val="Arial"/>
      </rPr>
      <t>TERM:</t>
    </r>
    <r>
      <rPr>
        <sz val="11"/>
        <color theme="1"/>
        <rFont val="Arial"/>
      </rPr>
      <t xml:space="preserve"> ŪİAT (ҰЯТ) — shame; disgrace; sense of decency (also: that which is improper) [KED, SZK]
</t>
    </r>
    <r>
      <rPr>
        <b/>
        <sz val="11"/>
        <color theme="1"/>
        <rFont val="Arial"/>
      </rPr>
      <t>PASSAGE:</t>
    </r>
    <r>
      <rPr>
        <sz val="11"/>
        <color theme="1"/>
        <rFont val="Arial"/>
      </rPr>
      <t xml:space="preserve"> Эшли туралы айтқаннан өз </t>
    </r>
    <r>
      <rPr>
        <b/>
        <sz val="11"/>
        <color theme="1"/>
        <rFont val="Arial"/>
      </rPr>
      <t>ұятыңыздың</t>
    </r>
    <r>
      <rPr>
        <sz val="11"/>
        <color theme="1"/>
        <rFont val="Arial"/>
      </rPr>
      <t xml:space="preserve"> жүгін бәрібір жеңілдетпейсіз, Мелли ханым қиналмай кетсін.
</t>
    </r>
    <r>
      <rPr>
        <b/>
        <sz val="11"/>
        <color theme="1"/>
        <rFont val="Arial"/>
      </rPr>
      <t>TRANS:</t>
    </r>
    <r>
      <rPr>
        <sz val="11"/>
        <color theme="1"/>
        <rFont val="Arial"/>
      </rPr>
      <t xml:space="preserve"> Eşli turaly aitqannan öz </t>
    </r>
    <r>
      <rPr>
        <b/>
        <sz val="11"/>
        <color theme="1"/>
        <rFont val="Arial"/>
      </rPr>
      <t>ūiatyñyzdyñ</t>
    </r>
    <r>
      <rPr>
        <sz val="11"/>
        <color theme="1"/>
        <rFont val="Arial"/>
      </rPr>
      <t xml:space="preserve"> jügın bärıbır jeñıldetpeisız, Melli hanym qinalmai ketsın.
</t>
    </r>
    <r>
      <rPr>
        <b/>
        <sz val="11"/>
        <color theme="1"/>
        <rFont val="Arial"/>
      </rPr>
      <t>TRANSLATION:</t>
    </r>
    <r>
      <rPr>
        <sz val="11"/>
        <color theme="1"/>
        <rFont val="Arial"/>
      </rPr>
      <t xml:space="preserve"> You will not lighten the burden on your own </t>
    </r>
    <r>
      <rPr>
        <b/>
        <sz val="11"/>
        <color theme="1"/>
        <rFont val="Arial"/>
      </rPr>
      <t>shame</t>
    </r>
    <r>
      <rPr>
        <sz val="11"/>
        <color theme="1"/>
        <rFont val="Arial"/>
      </rPr>
      <t xml:space="preserve"> by telling about Ashley; let Mrs Melly go without suffering.</t>
    </r>
  </si>
  <si>
    <t>mild conscience burden</t>
  </si>
  <si>
    <t>"I'm glad you agree with me, Miss Scarlett. In a way, it's been on my conscience. Lots of folks have told me: 'Oh, forget about it, Frank,' but I can't. I couldn't hold up my head if I thought I'd done what wasn't right. Do you think I did right?"</t>
  </si>
  <si>
    <t>TERM: sovesti (совести) — conscience (gen./dat./prep.) [ORD] (lemma: совесть)
PASSAGE: А то это лежит у меня на совести.
TRANS: A to eto lezhit u menya na sovesti.
TRANSLATION: Otherwise this lies on my conscience.</t>
  </si>
  <si>
    <r>
      <rPr>
        <b/>
        <sz val="11"/>
        <color theme="1"/>
        <rFont val="Arial"/>
      </rPr>
      <t>TERM:</t>
    </r>
    <r>
      <rPr>
        <sz val="11"/>
        <color theme="1"/>
        <rFont val="Arial"/>
      </rPr>
      <t xml:space="preserve"> ŪİAT (ҰЯТ) — shame; disgrace; sense of decency (also: that which is improper) [KED, SZK]
</t>
    </r>
    <r>
      <rPr>
        <b/>
        <sz val="11"/>
        <color theme="1"/>
        <rFont val="Arial"/>
      </rPr>
      <t>PASSAGE:</t>
    </r>
    <r>
      <rPr>
        <sz val="11"/>
        <color theme="1"/>
        <rFont val="Arial"/>
      </rPr>
      <t xml:space="preserve"> Әйтпесе </t>
    </r>
    <r>
      <rPr>
        <b/>
        <sz val="11"/>
        <color theme="1"/>
        <rFont val="Arial"/>
      </rPr>
      <t>ұятыма</t>
    </r>
    <r>
      <rPr>
        <sz val="11"/>
        <color theme="1"/>
        <rFont val="Arial"/>
      </rPr>
      <t xml:space="preserve"> салмақ болып жүр еді.
</t>
    </r>
    <r>
      <rPr>
        <b/>
        <sz val="11"/>
        <color theme="1"/>
        <rFont val="Arial"/>
      </rPr>
      <t>TRANS:</t>
    </r>
    <r>
      <rPr>
        <sz val="11"/>
        <color theme="1"/>
        <rFont val="Arial"/>
      </rPr>
      <t xml:space="preserve"> Äitpese </t>
    </r>
    <r>
      <rPr>
        <b/>
        <sz val="11"/>
        <color theme="1"/>
        <rFont val="Arial"/>
      </rPr>
      <t>ūiatyma</t>
    </r>
    <r>
      <rPr>
        <sz val="11"/>
        <color theme="1"/>
        <rFont val="Arial"/>
      </rPr>
      <t xml:space="preserve"> salmaq bolyp jür edı.
</t>
    </r>
    <r>
      <rPr>
        <b/>
        <sz val="11"/>
        <color theme="1"/>
        <rFont val="Arial"/>
      </rPr>
      <t>TRANSLATION:</t>
    </r>
    <r>
      <rPr>
        <sz val="11"/>
        <color theme="1"/>
        <rFont val="Arial"/>
      </rPr>
      <t xml:space="preserve"> Otherwise this is becoming a weight on my </t>
    </r>
    <r>
      <rPr>
        <b/>
        <sz val="11"/>
        <color theme="1"/>
        <rFont val="Arial"/>
      </rPr>
      <t>conscience</t>
    </r>
    <r>
      <rPr>
        <sz val="11"/>
        <color theme="1"/>
        <rFont val="Arial"/>
      </rPr>
      <t>.</t>
    </r>
  </si>
  <si>
    <t>Expected reaction of conscience ABSENT – evading hospital duty</t>
  </si>
  <si>
    <t>He touched up the mare with the whip and she trotted briskly across Five Points and across the railroad tracks that cut the town in two. The train bearing the wounded had already come in and the litter bearers were working swiftly in the hot sun, transferring wounded into ambulances and covered ordnance wagons. Scarlett had no qualm of conscience as she watched them but only a feeling of vast relief that she had made her escape.</t>
  </si>
  <si>
    <t>TERM: ugryzeniy (угрызений) — pangs (gen. pl.) [ORD] (lemma: угрызение)
PASSAGE: Наблюдая за этим, Скарлетт не испытывала угрызений совести — только чувство огромного облегчения оттого, что ей удалось сбежать.
TRANS: Nablyudaya za etim, Skarlett ne ispytyvala ugryzeniy sovesti — tol'ko chuvstvo ogromnogo oblegcheniya ottogo, chto ey udalos' sbezhat'.
TRANSLATION: Watching this, Scarlett felt no pangs of conscience — only a sense of immense relief that she had managed to escape.</t>
  </si>
  <si>
    <r>
      <rPr>
        <b/>
        <sz val="11"/>
        <color theme="1"/>
        <rFont val="Arial"/>
      </rPr>
      <t>TERM:</t>
    </r>
    <r>
      <rPr>
        <sz val="11"/>
        <color theme="1"/>
        <rFont val="Arial"/>
      </rPr>
      <t xml:space="preserve"> ŪİALU (ҰЯЛУ) — to feel ashamed; to feel shy; to be embarrassed [KED, SZK]
</t>
    </r>
    <r>
      <rPr>
        <b/>
        <sz val="11"/>
        <color theme="1"/>
        <rFont val="Arial"/>
      </rPr>
      <t>PASSAGE:</t>
    </r>
    <r>
      <rPr>
        <sz val="11"/>
        <color theme="1"/>
        <rFont val="Arial"/>
      </rPr>
      <t xml:space="preserve"> Мұны көрген Скарлетт түк те </t>
    </r>
    <r>
      <rPr>
        <b/>
        <sz val="11"/>
        <color theme="1"/>
        <rFont val="Arial"/>
      </rPr>
      <t>ұялған</t>
    </r>
    <r>
      <rPr>
        <sz val="11"/>
        <color theme="1"/>
        <rFont val="Arial"/>
      </rPr>
      <t xml:space="preserve"> жоқ
</t>
    </r>
    <r>
      <rPr>
        <b/>
        <sz val="11"/>
        <color theme="1"/>
        <rFont val="Arial"/>
      </rPr>
      <t>TRANS:</t>
    </r>
    <r>
      <rPr>
        <sz val="11"/>
        <color theme="1"/>
        <rFont val="Arial"/>
      </rPr>
      <t xml:space="preserve"> Mūny körgen Skarlett tük te </t>
    </r>
    <r>
      <rPr>
        <b/>
        <sz val="11"/>
        <color theme="1"/>
        <rFont val="Arial"/>
      </rPr>
      <t>ūialğan</t>
    </r>
    <r>
      <rPr>
        <sz val="11"/>
        <color theme="1"/>
        <rFont val="Arial"/>
      </rPr>
      <t xml:space="preserve"> joq
</t>
    </r>
    <r>
      <rPr>
        <b/>
        <sz val="11"/>
        <color theme="1"/>
        <rFont val="Arial"/>
      </rPr>
      <t>TRANSLATION:</t>
    </r>
    <r>
      <rPr>
        <sz val="11"/>
        <color theme="1"/>
        <rFont val="Arial"/>
      </rPr>
      <t xml:space="preserve"> Seeing this, Scarlett felt no </t>
    </r>
    <r>
      <rPr>
        <b/>
        <sz val="11"/>
        <color theme="1"/>
        <rFont val="Arial"/>
      </rPr>
      <t>shame</t>
    </r>
    <r>
      <rPr>
        <sz val="11"/>
        <color theme="1"/>
        <rFont val="Arial"/>
      </rPr>
      <t xml:space="preserve"> at all</t>
    </r>
  </si>
  <si>
    <t>conscience ABSENT reaction; no inner accusation</t>
  </si>
  <si>
    <t>That he was Suellen's fiance caused her no qualm of conscience. After the complete moral collapse which had sent her to Atlanta and to Rhett, the appropriation of her sister's betrothed seemed a minor affair and one not to be bothered with at this time.</t>
  </si>
  <si>
    <t>TERM: sovesti (совести) — conscience (gen./dat./prep.) [ORD] (lemma: совесть)
PASSAGE: То, что Фрэнк — жених Сьюлин, не вызвало у Скарлетт ни малейшего укора совести.
TRANS: To, chto Frenk — zhenikh S'yulin, ne vyzvalo u Skarlett ni maleyshego ukora sovesti.
TRANSLATION: The fact that Frank was Suellen's fiancé did not arouse the slightest reproach of conscience in Scarlett.</t>
  </si>
  <si>
    <r>
      <rPr>
        <b/>
        <sz val="11"/>
        <color theme="1"/>
        <rFont val="Arial"/>
      </rPr>
      <t>TERM:</t>
    </r>
    <r>
      <rPr>
        <sz val="11"/>
        <color theme="1"/>
        <rFont val="Arial"/>
      </rPr>
      <t xml:space="preserve"> ŪİAT (ҰЯТ) — shame; disgrace; sense of decency (also: that which is improper) [KED, SZK]
</t>
    </r>
    <r>
      <rPr>
        <b/>
        <sz val="11"/>
        <color theme="1"/>
        <rFont val="Arial"/>
      </rPr>
      <t>PASSAGE:</t>
    </r>
    <r>
      <rPr>
        <sz val="11"/>
        <color theme="1"/>
        <rFont val="Arial"/>
      </rPr>
      <t xml:space="preserve"> Фрэнк Сьюлиннің күйеу жігіті екені Скарлеттің титімдей де </t>
    </r>
    <r>
      <rPr>
        <b/>
        <sz val="11"/>
        <color theme="1"/>
        <rFont val="Arial"/>
      </rPr>
      <t>ұятын</t>
    </r>
    <r>
      <rPr>
        <sz val="11"/>
        <color theme="1"/>
        <rFont val="Arial"/>
      </rPr>
      <t xml:space="preserve"> шақырмады.
</t>
    </r>
    <r>
      <rPr>
        <b/>
        <sz val="11"/>
        <color theme="1"/>
        <rFont val="Arial"/>
      </rPr>
      <t>TRANS:</t>
    </r>
    <r>
      <rPr>
        <sz val="11"/>
        <color theme="1"/>
        <rFont val="Arial"/>
      </rPr>
      <t xml:space="preserve"> Frenk Sülinnıñ küieu jıgıtı ekenı Skarlettıñ titımdei de </t>
    </r>
    <r>
      <rPr>
        <b/>
        <sz val="11"/>
        <color theme="1"/>
        <rFont val="Arial"/>
      </rPr>
      <t>ūiatyn</t>
    </r>
    <r>
      <rPr>
        <sz val="11"/>
        <color theme="1"/>
        <rFont val="Arial"/>
      </rPr>
      <t xml:space="preserve"> şaqyrmady.
</t>
    </r>
    <r>
      <rPr>
        <b/>
        <sz val="11"/>
        <color theme="1"/>
        <rFont val="Arial"/>
      </rPr>
      <t>TRANSLATION:</t>
    </r>
    <r>
      <rPr>
        <sz val="11"/>
        <color theme="1"/>
        <rFont val="Arial"/>
      </rPr>
      <t xml:space="preserve"> That Frank was Suellen's betrothed did not call up the tiniest bit of </t>
    </r>
    <r>
      <rPr>
        <b/>
        <sz val="11"/>
        <color theme="1"/>
        <rFont val="Arial"/>
      </rPr>
      <t>shame</t>
    </r>
    <r>
      <rPr>
        <sz val="11"/>
        <color theme="1"/>
        <rFont val="Arial"/>
      </rPr>
      <t xml:space="preserve"> in Scarlett.</t>
    </r>
  </si>
  <si>
    <t>Bad deed does not weigh on her conscience contrary to normal expectations; absent reaction</t>
  </si>
  <si>
    <t>He was so blithe about his murders her blood chilled. Words of moral indignation rose to her lips but suddenly she remembered the Yankee who lay under the tangle of scuppernong vines at Tara. He had not been on her conscience any more than a roach upon which she might have stepped. She could not sit in judgment on Rhett when she was as guilty as he.</t>
  </si>
  <si>
    <t>TERM: sovest' muchit ne bol'she (совесть мучит не больше) — conscience torments no more [ORD] (lemma: совесть)
PASSAGE: torments her not more) Совесть ведь мучит ее не больше, чем если бы она раздавила таракана.
TRANS: torments her not more) Sovest' ved' muchit ee ne bol'she, chem esli by ona razdavila tarakana.
TRANSLATION: (torments her not more) Her conscience torments her no more than if she had crushed a cockroach.</t>
  </si>
  <si>
    <r>
      <rPr>
        <b/>
        <sz val="11"/>
        <color theme="1"/>
        <rFont val="Arial"/>
      </rPr>
      <t>TERM:</t>
    </r>
    <r>
      <rPr>
        <sz val="11"/>
        <color theme="1"/>
        <rFont val="Arial"/>
      </rPr>
      <t xml:space="preserve"> ŪİAT (ҰЯТ) — shame; disgrace; sense of decency (also: that which is improper) [KED, SZK]
</t>
    </r>
    <r>
      <rPr>
        <b/>
        <sz val="11"/>
        <color theme="1"/>
        <rFont val="Arial"/>
      </rPr>
      <t>PASSAGE:</t>
    </r>
    <r>
      <rPr>
        <sz val="11"/>
        <color theme="1"/>
        <rFont val="Arial"/>
      </rPr>
      <t xml:space="preserve"> Аяғымен байқаусызда жердегі қоңызды басып кету емес қой ол, әрине, </t>
    </r>
    <r>
      <rPr>
        <b/>
        <sz val="11"/>
        <color theme="1"/>
        <rFont val="Arial"/>
      </rPr>
      <t>ұяты</t>
    </r>
    <r>
      <rPr>
        <sz val="11"/>
        <color theme="1"/>
        <rFont val="Arial"/>
      </rPr>
      <t xml:space="preserve"> өзін де үнемі қинап жүретін
</t>
    </r>
    <r>
      <rPr>
        <b/>
        <sz val="11"/>
        <color theme="1"/>
        <rFont val="Arial"/>
      </rPr>
      <t>TRANS:</t>
    </r>
    <r>
      <rPr>
        <sz val="11"/>
        <color theme="1"/>
        <rFont val="Arial"/>
      </rPr>
      <t xml:space="preserve"> Aiağymen baiqausyzda jerdegı qoñyzdy basyp ketu emes qoi ol, ärine, </t>
    </r>
    <r>
      <rPr>
        <b/>
        <sz val="11"/>
        <color theme="1"/>
        <rFont val="Arial"/>
      </rPr>
      <t>ūiaty</t>
    </r>
    <r>
      <rPr>
        <sz val="11"/>
        <color theme="1"/>
        <rFont val="Arial"/>
      </rPr>
      <t xml:space="preserve"> özın de ünemı qinap jüretın
</t>
    </r>
    <r>
      <rPr>
        <b/>
        <sz val="11"/>
        <color theme="1"/>
        <rFont val="Arial"/>
      </rPr>
      <t>TRANSLATION:</t>
    </r>
    <r>
      <rPr>
        <sz val="11"/>
        <color theme="1"/>
        <rFont val="Arial"/>
      </rPr>
      <t xml:space="preserve"> Of course, it was not as though she had accidentally stepped on a beetle on the ground — her </t>
    </r>
    <r>
      <rPr>
        <b/>
        <sz val="11"/>
        <color theme="1"/>
        <rFont val="Arial"/>
      </rPr>
      <t>shame</t>
    </r>
    <r>
      <rPr>
        <sz val="11"/>
        <color theme="1"/>
        <rFont val="Arial"/>
      </rPr>
      <t xml:space="preserve"> would not constantly torment her either</t>
    </r>
  </si>
  <si>
    <t>Bad deed does not weigh on Rhett’s conscience contrary to normal expectations; absent reaction</t>
  </si>
  <si>
    <t>"I suppose you think it's honest to keep the Confederate money. Well, it isn't. It's plain out and out stealing and you know it. I wouldn't have that on my conscience."</t>
  </si>
  <si>
    <t>TERM: sovesti (совести) — conscience (gen./dat./prep.) [ORD] (lemma: совесть)
PASSAGE: Я бы не хотела жить с таким пятном на совести.
TRANS: Ya by ne khotela zhit' s takim pyatnom na sovesti.
TRANSLATION: I would not want to live with such a stain on my conscience.</t>
  </si>
  <si>
    <r>
      <rPr>
        <b/>
        <sz val="11"/>
        <color theme="1"/>
        <rFont val="Arial"/>
      </rPr>
      <t>TERM:</t>
    </r>
    <r>
      <rPr>
        <sz val="11"/>
        <color theme="1"/>
        <rFont val="Arial"/>
      </rPr>
      <t xml:space="preserve"> AR (АР) — honour; conscience; inalienable inner moral principle [KED, SZK]
</t>
    </r>
    <r>
      <rPr>
        <b/>
        <sz val="11"/>
        <color theme="1"/>
        <rFont val="Arial"/>
      </rPr>
      <t>PASSAGE: Арыма</t>
    </r>
    <r>
      <rPr>
        <sz val="11"/>
        <color theme="1"/>
        <rFont val="Arial"/>
      </rPr>
      <t xml:space="preserve"> дақ түсіретін қылмыспен мен еркін өмір сүріп жүре алмас едім.</t>
    </r>
    <r>
      <rPr>
        <b/>
        <sz val="11"/>
        <color theme="1"/>
        <rFont val="Arial"/>
      </rPr>
      <t xml:space="preserve">
TRANS: Aryma</t>
    </r>
    <r>
      <rPr>
        <sz val="11"/>
        <color theme="1"/>
        <rFont val="Arial"/>
      </rPr>
      <t xml:space="preserve"> daq tüsıretın qylmyspen men erkın ömır sürıp jüre almas edım.</t>
    </r>
    <r>
      <rPr>
        <b/>
        <sz val="11"/>
        <color theme="1"/>
        <rFont val="Arial"/>
      </rPr>
      <t xml:space="preserve">
TRANSLATION: </t>
    </r>
    <r>
      <rPr>
        <sz val="11"/>
        <color theme="1"/>
        <rFont val="Arial"/>
      </rPr>
      <t xml:space="preserve">I could not live freely with a crime that would put a stain on my </t>
    </r>
    <r>
      <rPr>
        <b/>
        <sz val="11"/>
        <color theme="1"/>
        <rFont val="Arial"/>
      </rPr>
      <t>conscience</t>
    </r>
    <r>
      <rPr>
        <sz val="11"/>
        <color theme="1"/>
        <rFont val="Arial"/>
      </rPr>
      <t>.</t>
    </r>
  </si>
  <si>
    <t>Scarlett was silent because she knew he was telling the truth and she could think of nothing to say. She had never expected Will, of all people, to sit in judgment on her. Moreover the lie she had told Frank had never weighed heavily upon her conscience. If a girl couldn't keep a beau, she deserved to lose him.</t>
  </si>
  <si>
    <t>TERM: sovesti (совести) — conscience (gen./dat./prep.) [ORD] (lemma: совесть)
PASSAGE: А кроме того, ложь, которую она сказала Фрэнку, никогда не отягощала ее совести.
TRANS: A krome togo, lozh', kotoruyu ona skazala Frenku, nikogda ne otyagoshchala ee sovesti.
TRANSLATION: Besides, the lie she had told Frank had never weighed on her conscience.</t>
  </si>
  <si>
    <r>
      <rPr>
        <b/>
        <sz val="11"/>
        <color theme="1"/>
        <rFont val="Arial"/>
      </rPr>
      <t>TERM:</t>
    </r>
    <r>
      <rPr>
        <sz val="11"/>
        <color theme="1"/>
        <rFont val="Arial"/>
      </rPr>
      <t xml:space="preserve"> JÜREK (ЖҮРЕК) — heart (literal and figurative) [KED, SZK]
</t>
    </r>
    <r>
      <rPr>
        <b/>
        <sz val="11"/>
        <color theme="1"/>
        <rFont val="Arial"/>
      </rPr>
      <t>PASSAGE:</t>
    </r>
    <r>
      <rPr>
        <sz val="11"/>
        <color theme="1"/>
        <rFont val="Arial"/>
      </rPr>
      <t xml:space="preserve"> Фрэнкке айтқан өтірігі өз </t>
    </r>
    <r>
      <rPr>
        <b/>
        <sz val="11"/>
        <color theme="1"/>
        <rFont val="Arial"/>
      </rPr>
      <t>жүрегіне</t>
    </r>
    <r>
      <rPr>
        <sz val="11"/>
        <color theme="1"/>
        <rFont val="Arial"/>
      </rPr>
      <t xml:space="preserve"> ешқашан салмақ салып көрмеген еді.
</t>
    </r>
    <r>
      <rPr>
        <b/>
        <sz val="11"/>
        <color theme="1"/>
        <rFont val="Arial"/>
      </rPr>
      <t>TRANS:</t>
    </r>
    <r>
      <rPr>
        <sz val="11"/>
        <color theme="1"/>
        <rFont val="Arial"/>
      </rPr>
      <t xml:space="preserve"> Frenkke aitqan ötırıgı öz </t>
    </r>
    <r>
      <rPr>
        <b/>
        <sz val="11"/>
        <color theme="1"/>
        <rFont val="Arial"/>
      </rPr>
      <t>jüregıne</t>
    </r>
    <r>
      <rPr>
        <sz val="11"/>
        <color theme="1"/>
        <rFont val="Arial"/>
      </rPr>
      <t xml:space="preserve"> eşqaşan salmaq salyp körmegen edı.
</t>
    </r>
    <r>
      <rPr>
        <b/>
        <sz val="11"/>
        <color theme="1"/>
        <rFont val="Arial"/>
      </rPr>
      <t>TRANSLATION:</t>
    </r>
    <r>
      <rPr>
        <sz val="11"/>
        <color theme="1"/>
        <rFont val="Arial"/>
      </rPr>
      <t xml:space="preserve"> The lie she had told Frank had never weighed on her </t>
    </r>
    <r>
      <rPr>
        <b/>
        <sz val="11"/>
        <color theme="1"/>
        <rFont val="Arial"/>
      </rPr>
      <t>heart</t>
    </r>
    <r>
      <rPr>
        <sz val="11"/>
        <color theme="1"/>
        <rFont val="Arial"/>
      </rPr>
      <t>.</t>
    </r>
  </si>
  <si>
    <t>conscience as tormentor, almost absent; forgetting Ellen</t>
  </si>
  <si>
    <t>When Scarlett infrequently stopped to think about the matter she knew that none of her new associates could be called ladies by Ellen's strict standards. But she had broken with Ellen's standards too many times since that far-away day when she stood in the parlor at Tara and decided to be Rhett's mistress, and she did not often feel the bite of conscience now.</t>
  </si>
  <si>
    <t>TERM: sovest' (совесть) — conscience; the inner moral faculty [ORD]
PASSAGE: Но она уже не раз нарушала принципы Эллин после того далекого дня, когда, стоя в гостиной Тары, решила стать любовницей Ретта, и нельзя сказать, чтобы теперь ее часто мучила из-за этого совесть.
TRANS: No ona uzhe ne raz narushala printsipy Ellin posle togo dalekogo dnya, kogda, stoya v gostinoy Tary, reshila stat' lyubovnitsey Retta, i nel'zya skazat', chtoby teper' ee chasto muchila iz-za etogo sovest'.
TRANSLATION: But she had already broken Ellen's principles more than once since that distant day when, standing in the parlor at Tara, she decided to become Rhett's mistress, and one cannot say that her conscience tormented her much over it any more.</t>
  </si>
  <si>
    <r>
      <rPr>
        <b/>
        <sz val="11"/>
        <color theme="1"/>
        <rFont val="Arial"/>
      </rPr>
      <t>TERM:</t>
    </r>
    <r>
      <rPr>
        <sz val="11"/>
        <color theme="1"/>
        <rFont val="Arial"/>
      </rPr>
      <t xml:space="preserve"> AR-ŪİAT (АР-ҰЯТ) — conscience-shame (compound): the active inner moral faculty [KED, SZK]
</t>
    </r>
    <r>
      <rPr>
        <b/>
        <sz val="11"/>
        <color theme="1"/>
        <rFont val="Arial"/>
      </rPr>
      <t>PASSAGE:</t>
    </r>
    <r>
      <rPr>
        <sz val="11"/>
        <color theme="1"/>
        <rFont val="Arial"/>
      </rPr>
      <t xml:space="preserve"> Бірақ өзі де сол Эллиннің ұстанымдарын Тарадағы қонақ бөлмеде тұрып, Реттің нақсүйері болуға шешім шығарған сәттен бастап, бәлен рет бұзған-ды, содан ба, бұл күндері </t>
    </r>
    <r>
      <rPr>
        <b/>
        <sz val="11"/>
        <color theme="1"/>
        <rFont val="Arial"/>
      </rPr>
      <t>ар-ұяты</t>
    </r>
    <r>
      <rPr>
        <sz val="11"/>
        <color theme="1"/>
        <rFont val="Arial"/>
      </rPr>
      <t xml:space="preserve"> ертеректегідей аса көп жанын да қинай бермейді.
</t>
    </r>
    <r>
      <rPr>
        <b/>
        <sz val="11"/>
        <color theme="1"/>
        <rFont val="Arial"/>
      </rPr>
      <t>TRANS:</t>
    </r>
    <r>
      <rPr>
        <sz val="11"/>
        <color theme="1"/>
        <rFont val="Arial"/>
      </rPr>
      <t xml:space="preserve"> Bıraq özı de sol Elinnıñ ūstanymdaryn Taradağy qonaq bölmede tūryp, Rettıñ naqsüierı boluğa şeşım şyğarğan sätten bastap, bälen ret būzğan-dy, sodan ba, būl künderı </t>
    </r>
    <r>
      <rPr>
        <b/>
        <sz val="11"/>
        <color theme="1"/>
        <rFont val="Arial"/>
      </rPr>
      <t>ar-ūiaty</t>
    </r>
    <r>
      <rPr>
        <sz val="11"/>
        <color theme="1"/>
        <rFont val="Arial"/>
      </rPr>
      <t xml:space="preserve"> erterektegıdei asa köp janyn da qinai bermeidı.
</t>
    </r>
    <r>
      <rPr>
        <b/>
        <sz val="11"/>
        <color theme="1"/>
        <rFont val="Arial"/>
      </rPr>
      <t>TRANSLATION:</t>
    </r>
    <r>
      <rPr>
        <sz val="11"/>
        <color theme="1"/>
        <rFont val="Arial"/>
      </rPr>
      <t xml:space="preserve"> But she herself had broken those principles of Ellen's many times since the moment when, standing in the Tara parlor, she resolved to become Rhett's mistress; perhaps because of this, in those days her </t>
    </r>
    <r>
      <rPr>
        <b/>
        <sz val="11"/>
        <color theme="1"/>
        <rFont val="Arial"/>
      </rPr>
      <t>conscience</t>
    </r>
    <r>
      <rPr>
        <sz val="11"/>
        <color theme="1"/>
        <rFont val="Arial"/>
      </rPr>
      <t xml:space="preserve"> no longer tormented her soul as much as before.</t>
    </r>
  </si>
  <si>
    <t>conscience ABSENT reaction when reaction was expected</t>
  </si>
  <si>
    <t>"You misunderstand. I regret to say that my conscience has not troubled me at all about deserting you. But as for enlisting—when I think of joining the army in varnished boots and a white linen suit and armed with only a pair of dueling pistols— And those long cold miles in the snow after my boots wore out and I had no overcoat and nothing to eat...I cannot understand why I did not desert. It was all the purest insanity. But it's in one's blood. Southerners can never resist a losing cause. But never mind my reasons. It's enough that I'm forgiven."</t>
  </si>
  <si>
    <t>TERM: sovest' (совесть) — conscience; the inner moral faculty [ORD]
PASSAGE: К великому сожалению, я вынужден признать: совесть не мучила меня при мысли, что я вас бросил.
TRANS: K velikomu sozhaleniyu, ya vynuzhden priznat': sovest' ne muchila menya pri mysli, chto ya vas brosil.
TRANSLATION: To my great regret, I am forced to admit: my conscience did not torment me at the thought that I had abandoned you.</t>
  </si>
  <si>
    <r>
      <rPr>
        <b/>
        <sz val="11"/>
        <color theme="1"/>
        <rFont val="Arial"/>
      </rPr>
      <t>TERM:</t>
    </r>
    <r>
      <rPr>
        <sz val="11"/>
        <color theme="1"/>
        <rFont val="Arial"/>
      </rPr>
      <t xml:space="preserve"> AR (АР) — honour; conscience; inalienable inner moral principle [KED, SZK]
</t>
    </r>
    <r>
      <rPr>
        <b/>
        <sz val="11"/>
        <color theme="1"/>
        <rFont val="Arial"/>
      </rPr>
      <t>PASSAGE:</t>
    </r>
    <r>
      <rPr>
        <sz val="11"/>
        <color theme="1"/>
        <rFont val="Arial"/>
      </rPr>
      <t xml:space="preserve"> Өз </t>
    </r>
    <r>
      <rPr>
        <b/>
        <sz val="11"/>
        <color theme="1"/>
        <rFont val="Arial"/>
      </rPr>
      <t>арыңыз</t>
    </r>
    <r>
      <rPr>
        <sz val="11"/>
        <color theme="1"/>
        <rFont val="Arial"/>
      </rPr>
      <t xml:space="preserve">, </t>
    </r>
    <r>
      <rPr>
        <b/>
        <sz val="11"/>
        <color theme="1"/>
        <rFont val="Arial"/>
      </rPr>
      <t>ұятыңыз</t>
    </r>
    <r>
      <rPr>
        <sz val="11"/>
        <color theme="1"/>
        <rFont val="Arial"/>
      </rPr>
      <t xml:space="preserve"> туралы ұмытыңыз, Скарлетт.
</t>
    </r>
    <r>
      <rPr>
        <b/>
        <sz val="11"/>
        <color theme="1"/>
        <rFont val="Arial"/>
      </rPr>
      <t>TRANS:</t>
    </r>
    <r>
      <rPr>
        <sz val="11"/>
        <color theme="1"/>
        <rFont val="Arial"/>
      </rPr>
      <t xml:space="preserve"> Öz </t>
    </r>
    <r>
      <rPr>
        <b/>
        <sz val="11"/>
        <color theme="1"/>
        <rFont val="Arial"/>
      </rPr>
      <t>aryñyz</t>
    </r>
    <r>
      <rPr>
        <sz val="11"/>
        <color theme="1"/>
        <rFont val="Arial"/>
      </rPr>
      <t xml:space="preserve">, </t>
    </r>
    <r>
      <rPr>
        <b/>
        <sz val="11"/>
        <color theme="1"/>
        <rFont val="Arial"/>
      </rPr>
      <t>ūiatyñyz</t>
    </r>
    <r>
      <rPr>
        <sz val="11"/>
        <color theme="1"/>
        <rFont val="Arial"/>
      </rPr>
      <t xml:space="preserve"> turaly ūmytyñyz, Skarlett.
</t>
    </r>
    <r>
      <rPr>
        <b/>
        <sz val="11"/>
        <color theme="1"/>
        <rFont val="Arial"/>
      </rPr>
      <t>TRANSLATION:</t>
    </r>
    <r>
      <rPr>
        <sz val="11"/>
        <color theme="1"/>
        <rFont val="Arial"/>
      </rPr>
      <t xml:space="preserve"> Forget about your ar [</t>
    </r>
    <r>
      <rPr>
        <b/>
        <sz val="11"/>
        <color theme="1"/>
        <rFont val="Arial"/>
      </rPr>
      <t>conscience</t>
    </r>
    <r>
      <rPr>
        <sz val="11"/>
        <color theme="1"/>
        <rFont val="Arial"/>
      </rPr>
      <t xml:space="preserve">] and your </t>
    </r>
    <r>
      <rPr>
        <b/>
        <sz val="11"/>
        <color theme="1"/>
        <rFont val="Arial"/>
      </rPr>
      <t>shame</t>
    </r>
    <r>
      <rPr>
        <sz val="11"/>
        <color theme="1"/>
        <rFont val="Arial"/>
      </rPr>
      <t>, Scarlett.</t>
    </r>
  </si>
  <si>
    <t>Not specified, general moral faculty</t>
  </si>
  <si>
    <t>"To England and I may be gone for months. Forget your conscience, Scarlett. I have no intention of discussing your soul's welfare any further. Don't you want to hear my news?"</t>
  </si>
  <si>
    <t>TERM: sovesti (совести) — conscience (gen./dat./prep.) [ORD] (lemma: совесть)
PASSAGE: Забудьте о своей совести, Скарлетт.
TRANS: Zabud'te o svoey sovesti, Skarlett.
TRANSLATION: Forget about your conscience, Scarlett.</t>
  </si>
  <si>
    <t>HONOR DOMAIN</t>
  </si>
  <si>
    <t>Honor — Moral code</t>
  </si>
  <si>
    <t>honor as absolute inner principle — above life; not negotiable (Ashley)</t>
  </si>
  <si>
    <t>"Nothing," he said quietly, "nothing—except honor."</t>
  </si>
  <si>
    <t>TERM: chesti (чести) — honour (gen./dat./prep.) [ORD] (lemma: честь)
PASSAGE: Ничто, — ровным голосом повторил он, — ничто, кроме чести.
TRANS: Nichto, — rovnym golosom povtoril on, — nichto, krome chesti.
TRANSLATION: Nothing, — he repeated in an even voice, — nothing except honor.</t>
  </si>
  <si>
    <r>
      <rPr>
        <b/>
        <sz val="11"/>
        <color theme="1"/>
        <rFont val="Arial"/>
      </rPr>
      <t>TERM:</t>
    </r>
    <r>
      <rPr>
        <sz val="11"/>
        <color theme="1"/>
        <rFont val="Arial"/>
      </rPr>
      <t xml:space="preserve"> AR-ŪİAT (АР-ҰЯТ) — conscience-shame (compound): the active inner moral faculty [KED, SZK]
</t>
    </r>
    <r>
      <rPr>
        <b/>
        <sz val="11"/>
        <color theme="1"/>
        <rFont val="Arial"/>
      </rPr>
      <t>PASSAGE:</t>
    </r>
    <r>
      <rPr>
        <sz val="11"/>
        <color theme="1"/>
        <rFont val="Arial"/>
      </rPr>
      <t xml:space="preserve"> Ештеңе жоқ, - деп қайталады ол да,  - </t>
    </r>
    <r>
      <rPr>
        <b/>
        <sz val="11"/>
        <color theme="1"/>
        <rFont val="Arial"/>
      </rPr>
      <t>ар-ұяттан</t>
    </r>
    <r>
      <rPr>
        <sz val="11"/>
        <color theme="1"/>
        <rFont val="Arial"/>
      </rPr>
      <t xml:space="preserve"> басқа ештеңе жоқ.
</t>
    </r>
    <r>
      <rPr>
        <b/>
        <sz val="11"/>
        <color theme="1"/>
        <rFont val="Arial"/>
      </rPr>
      <t>TRANS:</t>
    </r>
    <r>
      <rPr>
        <sz val="11"/>
        <color theme="1"/>
        <rFont val="Arial"/>
      </rPr>
      <t xml:space="preserve"> Eşteñe joq, - dep qaitalady ol da,  - </t>
    </r>
    <r>
      <rPr>
        <b/>
        <sz val="11"/>
        <color theme="1"/>
        <rFont val="Arial"/>
      </rPr>
      <t>ar-ūiattan</t>
    </r>
    <r>
      <rPr>
        <sz val="11"/>
        <color theme="1"/>
        <rFont val="Arial"/>
      </rPr>
      <t xml:space="preserve"> basqa eşteñe joq.
</t>
    </r>
    <r>
      <rPr>
        <b/>
        <sz val="11"/>
        <color theme="1"/>
        <rFont val="Arial"/>
      </rPr>
      <t>TRANSLATION:</t>
    </r>
    <r>
      <rPr>
        <sz val="11"/>
        <color theme="1"/>
        <rFont val="Arial"/>
      </rPr>
      <t xml:space="preserve"> There is nothing, — he repeated, — nothing other than </t>
    </r>
    <r>
      <rPr>
        <b/>
        <sz val="11"/>
        <color theme="1"/>
        <rFont val="Arial"/>
      </rPr>
      <t>conscience</t>
    </r>
    <r>
      <rPr>
        <sz val="11"/>
        <color theme="1"/>
        <rFont val="Arial"/>
      </rPr>
      <t>/</t>
    </r>
    <r>
      <rPr>
        <b/>
        <sz val="11"/>
        <color theme="1"/>
        <rFont val="Arial"/>
      </rPr>
      <t>honor</t>
    </r>
    <r>
      <rPr>
        <sz val="11"/>
        <color theme="1"/>
        <rFont val="Arial"/>
      </rPr>
      <t>.</t>
    </r>
  </si>
  <si>
    <t>Scarlett writhed at his words. Of course, Ashley loved her for just these things. It was this knowledge that made life endurable, this knowledge that Ashley, bound by honor, loved her from afar for beautiful things deep buried in her that he alone could see. But they did not seem so beautiful when dragged to the light by Rhett, especially in that deceptively smooth voice that covered sarcasm.</t>
  </si>
  <si>
    <t>TERM: chesti (чести) — honour (gen./dat./prep.) [ORD] (lemma: честь)
PASSAGE: Сознание того, что Эшли, связанный соображениями чести, любит ее на расстоянии за то прекрасное, что глубоко скрыто в ней и что один, только он видит, — это сознание как раз и позволяло ей жить.
TRANS: Soznanie togo, chto Eshli, svyazannyy soobrazheniyami chesti, lyubit ee na rasstoyanii za to prekrasnoe, chto gluboko skryto v ney i chto odin, tol'ko on vidit, — eto soznanie kak raz i pozvolyalo ey zhit'.
TRANSLATION: The awareness that Ashley, bound by considerations of honor, loves her from a distance for the beautiful that is deeply hidden in her, which only he sees — this awareness was precisely what allowed her to live.</t>
  </si>
  <si>
    <r>
      <rPr>
        <b/>
        <sz val="11"/>
        <color theme="1"/>
        <rFont val="Arial"/>
      </rPr>
      <t>TERM:</t>
    </r>
    <r>
      <rPr>
        <sz val="11"/>
        <color theme="1"/>
        <rFont val="Arial"/>
      </rPr>
      <t xml:space="preserve"> AR-OJDAN (АР-ОЖДАН) — conscience (compound from Arabic wijdān): the inalienable inner tribunal [KED, SZK]
</t>
    </r>
    <r>
      <rPr>
        <b/>
        <sz val="11"/>
        <color theme="1"/>
        <rFont val="Arial"/>
      </rPr>
      <t xml:space="preserve">PASSAGE: Ар-ождан </t>
    </r>
    <r>
      <rPr>
        <sz val="11"/>
        <color theme="1"/>
        <rFont val="Arial"/>
      </rPr>
      <t>тазалығын бәрінен биік қойғандықтан да Эшли пәк сезімін ластамас үшін бойын аулақ сала ұстап, мұның тереңге жасырылған асып қасиеттеріне бола жақсы көреді.</t>
    </r>
    <r>
      <rPr>
        <b/>
        <sz val="11"/>
        <color theme="1"/>
        <rFont val="Arial"/>
      </rPr>
      <t xml:space="preserve">
TRANS: Ar-ojdan </t>
    </r>
    <r>
      <rPr>
        <sz val="11"/>
        <color theme="1"/>
        <rFont val="Arial"/>
      </rPr>
      <t>tazalyğyn bärınen biık qoiğandyqtan da Eşli päk sezımın lastamas üşın boiyn aulaq sala ūstap, mūnyñ tereñge jasyrylğan asyp qasietterıne bola jaqsy köredı.</t>
    </r>
    <r>
      <rPr>
        <b/>
        <sz val="11"/>
        <color theme="1"/>
        <rFont val="Arial"/>
      </rPr>
      <t xml:space="preserve">
TRANSLATION: </t>
    </r>
    <r>
      <rPr>
        <sz val="11"/>
        <color theme="1"/>
        <rFont val="Arial"/>
      </rPr>
      <t xml:space="preserve">Because he placed the purity of his </t>
    </r>
    <r>
      <rPr>
        <b/>
        <sz val="11"/>
        <color theme="1"/>
        <rFont val="Arial"/>
      </rPr>
      <t>conscience</t>
    </r>
    <r>
      <rPr>
        <sz val="11"/>
        <color theme="1"/>
        <rFont val="Arial"/>
      </rPr>
      <t xml:space="preserve"> above all, Ashley keeps himself at a distance so as not to soil his pure feeling; he loves her for the noble qualities hidden deep within her.</t>
    </r>
  </si>
  <si>
    <t>Knowing how Ashley valued honor above his life, Scarlett knew he must be writhing. He, like Scarlett, was forced to shelter behind Melanie's skirts. While Scarlett realized the necessity for this and knew that the blame for his false position lay mostly at her own door, still—still— Womanlike she would have respected Ashley more, had he shot Archie and admitted everything to Melanie and the world. She knew she was being unfair but she was too miserable to care for such fine points. Some of Rhett's taunting words of contempt came back to her and she wondered if indeed Ashley had played the manly part in this mess. And, for the first time, some of the bright glow which had enveloped him since the first day she fell in love with him began to fade imperceptibly.</t>
  </si>
  <si>
    <t>TERM: chest' (честь) — honour; honor [ORD]
PASSAGE: Зная, что Эшли ставит честь выше жизни, Скарлетт понимала, что он, должно быть, кипит от ярости.
TRANS: Znaya, chto Eshli stavit chest' vyshe zhizni, Skarlett ponimala, chto on, dolzhno byt', kipit ot yarosti.
TRANSLATION: Knowing that Ashley placed honor above life, Scarlett understood that he must be seething with rage.</t>
  </si>
  <si>
    <r>
      <rPr>
        <b/>
        <sz val="11"/>
        <color theme="1"/>
        <rFont val="Arial"/>
      </rPr>
      <t>TERM:</t>
    </r>
    <r>
      <rPr>
        <sz val="11"/>
        <color theme="1"/>
        <rFont val="Arial"/>
      </rPr>
      <t xml:space="preserve"> AR-NAMYS (АР-НАМЫС) — honour; observable behavioural code (compound) [KED, SZK]
</t>
    </r>
    <r>
      <rPr>
        <b/>
        <sz val="11"/>
        <color theme="1"/>
        <rFont val="Arial"/>
      </rPr>
      <t>PASSAGE:</t>
    </r>
    <r>
      <rPr>
        <sz val="11"/>
        <color theme="1"/>
        <rFont val="Arial"/>
      </rPr>
      <t xml:space="preserve"> Эшлидің </t>
    </r>
    <r>
      <rPr>
        <b/>
        <sz val="11"/>
        <color theme="1"/>
        <rFont val="Arial"/>
      </rPr>
      <t>ар-намысын</t>
    </r>
    <r>
      <rPr>
        <sz val="11"/>
        <color theme="1"/>
        <rFont val="Arial"/>
      </rPr>
      <t xml:space="preserve"> өмірінен де жоғары қоятынын білген Скарлетт оның ыза мен өкініштен жарылардай боп жүргенін топшылайды.
</t>
    </r>
    <r>
      <rPr>
        <b/>
        <sz val="11"/>
        <color theme="1"/>
        <rFont val="Arial"/>
      </rPr>
      <t xml:space="preserve">TRANS: </t>
    </r>
    <r>
      <rPr>
        <sz val="11"/>
        <color theme="1"/>
        <rFont val="Arial"/>
      </rPr>
      <t xml:space="preserve">Eşlidıñ </t>
    </r>
    <r>
      <rPr>
        <b/>
        <sz val="11"/>
        <color theme="1"/>
        <rFont val="Arial"/>
      </rPr>
      <t xml:space="preserve">ar-namysyn </t>
    </r>
    <r>
      <rPr>
        <sz val="11"/>
        <color theme="1"/>
        <rFont val="Arial"/>
      </rPr>
      <t xml:space="preserve">ömırınen de joğary qoiatynyn bılgen Skarlett onyñ yza men ökınışten jarylardai bop jürgenın topşylaidy.
</t>
    </r>
    <r>
      <rPr>
        <b/>
        <sz val="11"/>
        <color theme="1"/>
        <rFont val="Arial"/>
      </rPr>
      <t>TRANSLATION:</t>
    </r>
    <r>
      <rPr>
        <sz val="11"/>
        <color theme="1"/>
        <rFont val="Arial"/>
      </rPr>
      <t xml:space="preserve"> Knowing that Ashley places his </t>
    </r>
    <r>
      <rPr>
        <b/>
        <sz val="11"/>
        <color theme="1"/>
        <rFont val="Arial"/>
      </rPr>
      <t>honor</t>
    </r>
    <r>
      <rPr>
        <sz val="11"/>
        <color theme="1"/>
        <rFont val="Arial"/>
      </rPr>
      <t>-</t>
    </r>
    <r>
      <rPr>
        <b/>
        <sz val="11"/>
        <color theme="1"/>
        <rFont val="Arial"/>
      </rPr>
      <t xml:space="preserve">pride </t>
    </r>
    <r>
      <rPr>
        <sz val="11"/>
        <color theme="1"/>
        <rFont val="Arial"/>
      </rPr>
      <t>above his very life, Scarlett guesses that he is on the verge of bursting from anger and regret.</t>
    </r>
  </si>
  <si>
    <t>Honor — Nobility of character</t>
  </si>
  <si>
    <t>dishonor / absent honor — violation or accusation; outside the code</t>
  </si>
  <si>
    <t>"Yes, you will listen. And I'll tell you this to ease your worry. Miss Melly is a fool but not the kind you think. It was obvious that someone had told her but she didn't believe it. Even if she saw, she wouldn't believe. There's too much honor in her to conceive of dishonor in anyone she loves. I don't know what lie Ashley Wilkes told her—but any clumsy one would do, for she loves Ashley and she loves you. I'm sure I can't see why she loves you but she does. Let that be one of your crosses."</t>
  </si>
  <si>
    <t>TERM: blagorodstvo (благородство) — nobility; nobleness of character [ORD]
PASSAGE: otsutstvie blagorodstva (отсутствие благородства) = nobleness, absence of nobleness Слишком много в ней благородства, чтобы она могла поверить в отсутствие благородства у тех, кого любит.
TRANS: otsutstvie blagorodstva (otsutstvie blagorodstva) = nobleness, absence of nobleness Slishkom mnogo v ney blagorodstva, chtoby ona mogla poverit' v otsutstvie blagorodstva u tekh, kogo lyubit.
TRANSLATION: absence of nobility = There is too much nobility in her for her to be able to believe in the absence of nobility in those whom she loves.</t>
  </si>
  <si>
    <r>
      <rPr>
        <b/>
        <sz val="11"/>
        <color theme="1"/>
        <rFont val="Arial"/>
      </rPr>
      <t>TERM:</t>
    </r>
    <r>
      <rPr>
        <sz val="11"/>
        <color theme="1"/>
        <rFont val="Arial"/>
      </rPr>
      <t xml:space="preserve"> Janınıñ asıldığı, päktigi (Жанының асылдығы, пәктігі) = the nobility and purity of her soul
</t>
    </r>
    <r>
      <rPr>
        <b/>
        <sz val="11"/>
        <color theme="1"/>
        <rFont val="Arial"/>
      </rPr>
      <t>PASSAGE:</t>
    </r>
    <r>
      <rPr>
        <sz val="11"/>
        <color theme="1"/>
        <rFont val="Arial"/>
      </rPr>
      <t xml:space="preserve"> </t>
    </r>
    <r>
      <rPr>
        <b/>
        <sz val="11"/>
        <color theme="1"/>
        <rFont val="Arial"/>
      </rPr>
      <t>Жанының асылдығы, пәктігі</t>
    </r>
    <r>
      <rPr>
        <sz val="11"/>
        <color theme="1"/>
        <rFont val="Arial"/>
      </rPr>
      <t xml:space="preserve"> сондай өзі аса қатты жақсы көретін адамының сатқын болуы мүмкін екеніне сене алмайды.
</t>
    </r>
    <r>
      <rPr>
        <b/>
        <sz val="11"/>
        <color theme="1"/>
        <rFont val="Arial"/>
      </rPr>
      <t>TRANS:</t>
    </r>
    <r>
      <rPr>
        <sz val="11"/>
        <color theme="1"/>
        <rFont val="Arial"/>
      </rPr>
      <t xml:space="preserve"> </t>
    </r>
    <r>
      <rPr>
        <b/>
        <sz val="11"/>
        <color theme="1"/>
        <rFont val="Arial"/>
      </rPr>
      <t xml:space="preserve">Janynyñ asyldyğy, päktıgı </t>
    </r>
    <r>
      <rPr>
        <sz val="11"/>
        <color theme="1"/>
        <rFont val="Arial"/>
      </rPr>
      <t xml:space="preserve">sondai özı asa qatty jaqsy köretın adamynyñ satqyn boluy mümkın ekenıne sene almaidy.
</t>
    </r>
    <r>
      <rPr>
        <b/>
        <sz val="11"/>
        <color theme="1"/>
        <rFont val="Arial"/>
      </rPr>
      <t>TRANSLATION:</t>
    </r>
    <r>
      <rPr>
        <sz val="11"/>
        <color theme="1"/>
        <rFont val="Arial"/>
      </rPr>
      <t xml:space="preserve"> The </t>
    </r>
    <r>
      <rPr>
        <b/>
        <sz val="11"/>
        <color theme="1"/>
        <rFont val="Arial"/>
      </rPr>
      <t>nobility</t>
    </r>
    <r>
      <rPr>
        <sz val="11"/>
        <color theme="1"/>
        <rFont val="Arial"/>
      </rPr>
      <t xml:space="preserve">, </t>
    </r>
    <r>
      <rPr>
        <b/>
        <sz val="11"/>
        <color theme="1"/>
        <rFont val="Arial"/>
      </rPr>
      <t xml:space="preserve">the purity of her soul </t>
    </r>
    <r>
      <rPr>
        <sz val="11"/>
        <color theme="1"/>
        <rFont val="Arial"/>
      </rPr>
      <t>is such that she cannot believe that the person she loves so very much could be a traitor.</t>
    </r>
  </si>
  <si>
    <t>Scarlett sacrificed herself and did shameful things to prevent Ashley from doing dishonorable things</t>
  </si>
  <si>
    <t>"Yes, it's done now," he said with slow bitterness. "You wouldn't have let me do anything dishonorable but you would sell yourself to a man you didn't love—and bear his child, so that my family and I wouldn't starve. It was kind of you to shelter my helplessness."</t>
  </si>
  <si>
    <t>TERM: beschestnyy (бесчестный) — dishonourable; ignoble [ORD]
PASSAGE: Вы бы не допустили, чтобы я совершил бесчестный поступок, а сами продались человеку, которого не любили, и теперь носите под сердцем его ребенка, и все ради того, чтобы я и моя семья не умерли с голоду.
TRANS: Vy by ne dopustili, chtoby ya sovershil beschestnyy postupok, a sami prodalis' cheloveku, kotorogo ne lyubili, i teper' nosite pod serdtsem ego rebenka, i vse radi togo, chtoby ya i moya sem'ya ne umerli s golodu.
TRANSLATION: You would never have allowed me to commit a dishonorable deed, and yet you sold yourself to a man you did not love, and now bear his child beneath your heart, all so that I and my family would not die of starvation.</t>
  </si>
  <si>
    <r>
      <rPr>
        <b/>
        <sz val="11"/>
        <color theme="1"/>
        <rFont val="Arial"/>
      </rPr>
      <t xml:space="preserve">TERM: </t>
    </r>
    <r>
      <rPr>
        <sz val="11"/>
        <color theme="1"/>
        <rFont val="Arial"/>
      </rPr>
      <t xml:space="preserve">ARSYZDYQ (АРСЫЗДЫҚ) - shamelessness
</t>
    </r>
    <r>
      <rPr>
        <b/>
        <sz val="11"/>
        <color theme="1"/>
        <rFont val="Arial"/>
      </rPr>
      <t>PASSAGE:</t>
    </r>
    <r>
      <rPr>
        <sz val="11"/>
        <color theme="1"/>
        <rFont val="Arial"/>
      </rPr>
      <t xml:space="preserve"> Мені </t>
    </r>
    <r>
      <rPr>
        <b/>
        <sz val="11"/>
        <color theme="1"/>
        <rFont val="Arial"/>
      </rPr>
      <t>арсыздыққа</t>
    </r>
    <r>
      <rPr>
        <sz val="11"/>
        <color theme="1"/>
        <rFont val="Arial"/>
      </rPr>
      <t xml:space="preserve"> қайтсеңіз де жібермес едіңіз, бірақ өзіңізді еш сүймейтін адамға сатып жібердіңіз де, жүрегіңіздің астында соның баласын сақтап жүрсіз.
</t>
    </r>
    <r>
      <rPr>
        <b/>
        <sz val="11"/>
        <color theme="1"/>
        <rFont val="Arial"/>
      </rPr>
      <t>TRANS:</t>
    </r>
    <r>
      <rPr>
        <sz val="11"/>
        <color theme="1"/>
        <rFont val="Arial"/>
      </rPr>
      <t xml:space="preserve"> Menı </t>
    </r>
    <r>
      <rPr>
        <b/>
        <sz val="11"/>
        <color theme="1"/>
        <rFont val="Arial"/>
      </rPr>
      <t>arsyzdyqqa</t>
    </r>
    <r>
      <rPr>
        <sz val="11"/>
        <color theme="1"/>
        <rFont val="Arial"/>
      </rPr>
      <t xml:space="preserve"> qaitseñız de jıbermes edıñız, bıraq özıñızdı eş süimeitın adamğa satyp jıberdıñız de, jüregıñızdıñ astynda sonyñ balasyn saqtap jürsız.
</t>
    </r>
    <r>
      <rPr>
        <b/>
        <sz val="11"/>
        <color theme="1"/>
        <rFont val="Arial"/>
      </rPr>
      <t>TRANSLATION:</t>
    </r>
    <r>
      <rPr>
        <sz val="11"/>
        <color theme="1"/>
        <rFont val="Arial"/>
      </rPr>
      <t xml:space="preserve"> You, no matter what, would not have let me act </t>
    </r>
    <r>
      <rPr>
        <b/>
        <sz val="11"/>
        <color theme="1"/>
        <rFont val="Arial"/>
      </rPr>
      <t>shamelessly</t>
    </r>
    <r>
      <rPr>
        <sz val="11"/>
        <color theme="1"/>
        <rFont val="Arial"/>
      </rPr>
      <t>, but you yourself sold yourself off to a man you did not love at all, and now you carry his child beneath your heart.</t>
    </r>
  </si>
  <si>
    <t>Non-scrupulous</t>
  </si>
  <si>
    <t>TERM: poryadochnost' (порядочность) — decency; respectability; integrity [ORD]
PASSAGE: По мало-помалу от частых повторений этой проделки ее не слишком остро развитое чувство порядочности и вовсе притупилось, да и страх сам собой исчез.
TRANS: Po malo-pomalu ot chastykh povtoreniy etoy prodelki ee ne slishkom ostro razvitoe chuvstvo poryadochnosti i vovse pritupilos', da i strakh sam soboy ischez.
TRANSLATION: But little by little, with frequent repetitions of this trick, her not very sharply developed sense of decency was completely dulled, and the fear itself disappeared.</t>
  </si>
  <si>
    <r>
      <rPr>
        <b/>
        <sz val="11"/>
        <color theme="1"/>
        <rFont val="Arial"/>
      </rPr>
      <t>TERM:</t>
    </r>
    <r>
      <rPr>
        <sz val="11"/>
        <color theme="1"/>
        <rFont val="Arial"/>
      </rPr>
      <t xml:space="preserve">AR-ŪİAT(АР-ҰЯТ) — conscience-shame (compound): the active inner moral faculty [KED, SZK]
</t>
    </r>
    <r>
      <rPr>
        <b/>
        <sz val="11"/>
        <color theme="1"/>
        <rFont val="Arial"/>
      </rPr>
      <t>PASSAGE:</t>
    </r>
    <r>
      <rPr>
        <sz val="11"/>
        <color theme="1"/>
        <rFont val="Arial"/>
      </rPr>
      <t xml:space="preserve"> оның </t>
    </r>
    <r>
      <rPr>
        <b/>
        <sz val="11"/>
        <color theme="1"/>
        <rFont val="Arial"/>
      </rPr>
      <t>ар-ұят</t>
    </r>
    <r>
      <rPr>
        <sz val="11"/>
        <color theme="1"/>
        <rFont val="Arial"/>
      </rPr>
      <t xml:space="preserve">, әдептілік сезімі мүлдем өшіп, қорқынышы өзіненөзі жоғалып кетті
</t>
    </r>
    <r>
      <rPr>
        <b/>
        <sz val="11"/>
        <color theme="1"/>
        <rFont val="Arial"/>
      </rPr>
      <t>TRANS:</t>
    </r>
    <r>
      <rPr>
        <sz val="11"/>
        <color theme="1"/>
        <rFont val="Arial"/>
      </rPr>
      <t xml:space="preserve"> onyñ </t>
    </r>
    <r>
      <rPr>
        <b/>
        <sz val="11"/>
        <color theme="1"/>
        <rFont val="Arial"/>
      </rPr>
      <t>ar-ūiat</t>
    </r>
    <r>
      <rPr>
        <sz val="11"/>
        <color theme="1"/>
        <rFont val="Arial"/>
      </rPr>
      <t xml:space="preserve">, ädeptılık sezımı müldem öşıp, qorqynyşy özınenözı joğalyp kettı
</t>
    </r>
    <r>
      <rPr>
        <b/>
        <sz val="11"/>
        <color theme="1"/>
        <rFont val="Arial"/>
      </rPr>
      <t>TRANSLATION:</t>
    </r>
    <r>
      <rPr>
        <sz val="11"/>
        <color theme="1"/>
        <rFont val="Arial"/>
      </rPr>
      <t xml:space="preserve"> her sense of </t>
    </r>
    <r>
      <rPr>
        <b/>
        <sz val="11"/>
        <color theme="1"/>
        <rFont val="Arial"/>
      </rPr>
      <t>conscience-shame</t>
    </r>
    <r>
      <rPr>
        <sz val="11"/>
        <color theme="1"/>
        <rFont val="Arial"/>
      </rPr>
      <t xml:space="preserve"> and propriety was extinguished entirely, and her fear too vanished of itself.</t>
    </r>
  </si>
  <si>
    <t>Code of behavior</t>
  </si>
  <si>
    <t>Nothing her mother had taught her was of any value whatsoever now and Scarlett's heart was sore and puzzled. It did not occur to her that Ellen could not have foreseen the collapse of the civilization in which she raised her daughters, could not have anticipated the disappearings of the places in society for which she trained them so well. It did not occur to her that Ellen had looked down a vista of placid future years, all like the uneventful years of her own life, when she had taught her to be gentle and gracious, honorable and kind, modest and truthful. Life treated women well when they had learned those lessons, said Ellen.</t>
  </si>
  <si>
    <t>TERM: , chestnoy, pravdivoy (, честной, правдивой) = honest
PASSAGE: уча ее быть доброй, мягкой, уступчивой, честной, правдивой и скромной,
TRANS: ucha ee byt' dobroy, myagkoy, ustupchivoy, chestnoy, pravdivoy i skromnoy,
TRANSLATION: teaching her to be kind, gentle, yielding, honest, truthful, and modest,</t>
  </si>
  <si>
    <r>
      <rPr>
        <b/>
        <sz val="11"/>
        <color theme="1"/>
        <rFont val="Arial"/>
      </rPr>
      <t>TERM:</t>
    </r>
    <r>
      <rPr>
        <sz val="11"/>
        <color theme="1"/>
        <rFont val="Arial"/>
      </rPr>
      <t xml:space="preserve"> şynşyl, adal, adal (шыншыл, адал) = honest, loyal
</t>
    </r>
    <r>
      <rPr>
        <b/>
        <sz val="11"/>
        <color theme="1"/>
        <rFont val="Arial"/>
      </rPr>
      <t>PASSAGE:</t>
    </r>
    <r>
      <rPr>
        <sz val="11"/>
        <color theme="1"/>
        <rFont val="Arial"/>
      </rPr>
      <t xml:space="preserve"> Скарлетт Эллиннің мұны мейірімді, жұмсақ, мойынсұнғыш, </t>
    </r>
    <r>
      <rPr>
        <b/>
        <sz val="11"/>
        <color theme="1"/>
        <rFont val="Arial"/>
      </rPr>
      <t>шыншыл, адал</t>
    </r>
    <r>
      <rPr>
        <sz val="11"/>
        <color theme="1"/>
        <rFont val="Arial"/>
      </rPr>
      <t xml:space="preserve"> және қарапайым болуға үйрете отырып, өзінің өлшенген өмірі сияқты алдағы өмірден бейбіт, өзгеріссіз жылдар тізбегін ғана көргенін түсінбеді.
</t>
    </r>
    <r>
      <rPr>
        <b/>
        <sz val="11"/>
        <color theme="1"/>
        <rFont val="Arial"/>
      </rPr>
      <t>TRANS:</t>
    </r>
    <r>
      <rPr>
        <sz val="11"/>
        <color theme="1"/>
        <rFont val="Arial"/>
      </rPr>
      <t xml:space="preserve"> Skarlett Elinnıñ mūny meiırımdı, jūmsaq, moiynsūnğyş, şynşyl, adal jäne qarapaiym boluğa üirete otyryp, özınıñ ölşengen ömırı siaqty aldağy ömırden beibıt, özgerıssız jyldar tızbegın ğana körgenın tüsınbedı.
</t>
    </r>
    <r>
      <rPr>
        <b/>
        <sz val="11"/>
        <color theme="1"/>
        <rFont val="Arial"/>
      </rPr>
      <t>TRANSLATION:</t>
    </r>
    <r>
      <rPr>
        <sz val="11"/>
        <color theme="1"/>
        <rFont val="Arial"/>
      </rPr>
      <t xml:space="preserve"> Scarlett, while Ellen was teaching her to be kind, gentle, submissive, truthful, honest, and </t>
    </r>
    <r>
      <rPr>
        <b/>
        <sz val="11"/>
        <color theme="1"/>
        <rFont val="Arial"/>
      </rPr>
      <t>modest</t>
    </r>
    <r>
      <rPr>
        <sz val="11"/>
        <color theme="1"/>
        <rFont val="Arial"/>
      </rPr>
      <t>, did not understand that, like Ellen's measured life, [Ellen] was seeing only a row of peaceful and unchanging years stretching ahead.</t>
    </r>
  </si>
  <si>
    <t>Both social and moral honor</t>
  </si>
  <si>
    <t>There was no doubt what Ellen would say to a daughter who told lies and engaged in sharp practices. She would be stunned and incredulous and would speak gentle words that stung despite their gentleness, would talk of honor and honesty and truth and duty to one's neighbor. Momentarily, Scarlett cringed as she pictured the look on her mother's face.</t>
  </si>
  <si>
    <t>Ellen</t>
  </si>
  <si>
    <t>TERM: chesti (чести) — honour (gen./dat./prep.) [ORD] (lemma: честь)
PASSAGE: Она была бы потрясена, она бы ушам своим не поверила и так и сказала бы Скарлетт — мягко, но слова ее жгли бы каленым железом, — сказала бы о чести, и о честности, и о правде, и о долге перед ближними.
TRANS: Ona byla by potryasena, ona by usham svoim ne poverila i tak i skazala by Skarlett — myagko, no slova ee zhgli by kalenym zhelezom, — skazala by o chesti, i o chestnosti, i o pravde, i o dolge pered blizhnimi.
TRANSLATION: She would be shocked, she would not believe her ears and would say so to Scarlett — gently, but her words would burn like a red-hot iron — would speak of honor, and of honesty, and of truth, and of duty toward one's neighbors.</t>
  </si>
  <si>
    <r>
      <rPr>
        <b/>
        <sz val="11"/>
        <color theme="1"/>
        <rFont val="Arial"/>
      </rPr>
      <t>TERM:</t>
    </r>
    <r>
      <rPr>
        <sz val="11"/>
        <color theme="1"/>
        <rFont val="Arial"/>
      </rPr>
      <t xml:space="preserve"> AR-OJDAN (АР-ОЖДАН) — conscience (compound from Arabic wijdān): the inalienable inner tribunal [KED, SZK]
</t>
    </r>
    <r>
      <rPr>
        <b/>
        <sz val="11"/>
        <color theme="1"/>
        <rFont val="Arial"/>
      </rPr>
      <t>PASSAGE:</t>
    </r>
    <r>
      <rPr>
        <sz val="11"/>
        <color theme="1"/>
        <rFont val="Arial"/>
      </rPr>
      <t xml:space="preserve"> Алдымен өз құлағына өзі сенбей, көзі шарасынан шыға таңданар еді де, соншалық бәсең, бірақ намысыңа тигенде темірмен етіңді тіліп түскендей үнмен "Скарлетт" дер еді де, </t>
    </r>
    <r>
      <rPr>
        <b/>
        <sz val="11"/>
        <color theme="1"/>
        <rFont val="Arial"/>
      </rPr>
      <t>ар-ождан</t>
    </r>
    <r>
      <rPr>
        <sz val="11"/>
        <color theme="1"/>
        <rFont val="Arial"/>
      </rPr>
      <t xml:space="preserve"> туралы, адалдық, шындық, туыс-бауыр алдындағы міндеті туралы айтар еді.
</t>
    </r>
    <r>
      <rPr>
        <b/>
        <sz val="11"/>
        <color theme="1"/>
        <rFont val="Arial"/>
      </rPr>
      <t>TRANS:</t>
    </r>
    <r>
      <rPr>
        <sz val="11"/>
        <color theme="1"/>
        <rFont val="Arial"/>
      </rPr>
      <t xml:space="preserve"> Aldymen öz qūlağyna özı senbei, közı şarasynan şyğa tañdanar edı de, sonşalyq bäseñ, bıraq namysyña tigende temırmen etıñdı tılıp tüskendei ünmen "Skarlett" der edı de, </t>
    </r>
    <r>
      <rPr>
        <b/>
        <sz val="11"/>
        <color theme="1"/>
        <rFont val="Arial"/>
      </rPr>
      <t>ar-ojdan</t>
    </r>
    <r>
      <rPr>
        <sz val="11"/>
        <color theme="1"/>
        <rFont val="Arial"/>
      </rPr>
      <t xml:space="preserve"> turaly, adaldyq, şyndyq, tuys-bauyr aldyndağy mındetı turaly aitar edı.
</t>
    </r>
    <r>
      <rPr>
        <b/>
        <sz val="11"/>
        <color theme="1"/>
        <rFont val="Arial"/>
      </rPr>
      <t>TRANSLATION:</t>
    </r>
    <r>
      <rPr>
        <sz val="11"/>
        <color theme="1"/>
        <rFont val="Arial"/>
      </rPr>
      <t xml:space="preserve"> At first she would hardly believe her own ears and would stare in astonishment with her eyes wide, then say “Scarlett” in a voice so soft yet so cutting it was as if it sliced through your flesh with iron, and then she would speak of </t>
    </r>
    <r>
      <rPr>
        <b/>
        <sz val="11"/>
        <color theme="1"/>
        <rFont val="Arial"/>
      </rPr>
      <t>conscience</t>
    </r>
    <r>
      <rPr>
        <sz val="11"/>
        <color theme="1"/>
        <rFont val="Arial"/>
      </rPr>
      <t>, loyalty, truth, and one’s duty to family.</t>
    </r>
  </si>
  <si>
    <t>Morality, decency, honest behavior</t>
  </si>
  <si>
    <t>"I shouldn't have expected either truth or honor or fair dealing from you, knowing you as I do. But foolishly, I trusted you."</t>
  </si>
  <si>
    <t>TERM: chestnyy (честный) — honest; honourable [ORD]
PASSAGE: Зная вас, мне, конечно, не следовало ожидать, что вы будете правдивы, порядочны и честны со мной.
TRANS: Znaya vas, mne, konechno, ne sledovalo ozhidat', chto vy budete pravdivy, poryadochny i chestny so mnoy.
TRANSLATION: Knowing you, of course, I should not have expected you to be truthful, decent, and honest with me.</t>
  </si>
  <si>
    <r>
      <rPr>
        <b/>
        <sz val="11"/>
        <color theme="1"/>
        <rFont val="Arial"/>
      </rPr>
      <t>TERM:</t>
    </r>
    <r>
      <rPr>
        <sz val="11"/>
        <color theme="1"/>
        <rFont val="Arial"/>
      </rPr>
      <t xml:space="preserve"> ADAL (АДАЛ) — honest; faithful; pure; lawful (Arabic ḥalāl) [KED, SZK]
</t>
    </r>
    <r>
      <rPr>
        <b/>
        <sz val="11"/>
        <color theme="1"/>
        <rFont val="Arial"/>
      </rPr>
      <t>PASSAGE:</t>
    </r>
    <r>
      <rPr>
        <sz val="11"/>
        <color theme="1"/>
        <rFont val="Arial"/>
      </rPr>
      <t xml:space="preserve"> Сізді бұрыннан танып, біле тұра, менімен барынша </t>
    </r>
    <r>
      <rPr>
        <b/>
        <sz val="11"/>
        <color theme="1"/>
        <rFont val="Arial"/>
      </rPr>
      <t>адал</t>
    </r>
    <r>
      <rPr>
        <sz val="11"/>
        <color theme="1"/>
        <rFont val="Arial"/>
      </rPr>
      <t xml:space="preserve">, бүкпесіз ашық болады деп илануымның өзі қателік екенін білемін.
</t>
    </r>
    <r>
      <rPr>
        <b/>
        <sz val="11"/>
        <color theme="1"/>
        <rFont val="Arial"/>
      </rPr>
      <t>TRANS:</t>
    </r>
    <r>
      <rPr>
        <sz val="11"/>
        <color theme="1"/>
        <rFont val="Arial"/>
      </rPr>
      <t xml:space="preserve"> Sızdı būrynnan tanyp, bıle tūra, menımen barynşa </t>
    </r>
    <r>
      <rPr>
        <b/>
        <sz val="11"/>
        <color theme="1"/>
        <rFont val="Arial"/>
      </rPr>
      <t>adal</t>
    </r>
    <r>
      <rPr>
        <sz val="11"/>
        <color theme="1"/>
        <rFont val="Arial"/>
      </rPr>
      <t xml:space="preserve">, bükpesız aşyq bolady dep ilanuymnyñ özı qatelık ekenın bılemın.
</t>
    </r>
    <r>
      <rPr>
        <b/>
        <sz val="11"/>
        <color theme="1"/>
        <rFont val="Arial"/>
      </rPr>
      <t>TRANSLATION:</t>
    </r>
    <r>
      <rPr>
        <sz val="11"/>
        <color theme="1"/>
        <rFont val="Arial"/>
      </rPr>
      <t xml:space="preserve"> Knowing you of old, I myself know it was a mistake to believe you would be utterly </t>
    </r>
    <r>
      <rPr>
        <b/>
        <sz val="11"/>
        <color theme="1"/>
        <rFont val="Arial"/>
      </rPr>
      <t>honest</t>
    </r>
    <r>
      <rPr>
        <sz val="11"/>
        <color theme="1"/>
        <rFont val="Arial"/>
      </rPr>
      <t xml:space="preserve"> with me, open without concealment.</t>
    </r>
  </si>
  <si>
    <t>moral honor</t>
  </si>
  <si>
    <t>"Pride and honor and truth and virtue and kindliness," he enumerated silkily. "You are right, Scarlett. They aren't important when a boat is sinking. But look around you at your friends. Either they are bringing their boats ashore safely with cargoes intact or they are content to go down with all flags flying."</t>
  </si>
  <si>
    <t>TERM: chest' (честь) — honour; honor [ORD]
PASSAGE: Гордость, и честь, и правдивость, и целомудрие, и милосердие, — хмуро перечислил он.
TRANS: Gordost', i chest', i pravdivost', i tselomudrie, i miloserdie, — khmuro perechislil on.
TRANSLATION: Pride, and honor, and truthfulness, and chastity, and mercy, — he listed gloomily.</t>
  </si>
  <si>
    <r>
      <rPr>
        <b/>
        <sz val="11"/>
        <color theme="1"/>
        <rFont val="Arial"/>
      </rPr>
      <t>TERM:</t>
    </r>
    <r>
      <rPr>
        <sz val="11"/>
        <color theme="1"/>
        <rFont val="Arial"/>
      </rPr>
      <t xml:space="preserve"> AR (АР) — honour; conscience; inalienable inner moral principle [KED, SZK]
</t>
    </r>
    <r>
      <rPr>
        <b/>
        <sz val="11"/>
        <color theme="1"/>
        <rFont val="Arial"/>
      </rPr>
      <t>PASSAGE: Ар</t>
    </r>
    <r>
      <rPr>
        <sz val="11"/>
        <color theme="1"/>
        <rFont val="Arial"/>
      </rPr>
      <t>, адалдық, шыншылдық, тәкаппарлық, мақсатшылдық, мейірімділік</t>
    </r>
    <r>
      <rPr>
        <b/>
        <sz val="11"/>
        <color theme="1"/>
        <rFont val="Arial"/>
      </rPr>
      <t xml:space="preserve">
TRANS: Ar</t>
    </r>
    <r>
      <rPr>
        <sz val="11"/>
        <color theme="1"/>
        <rFont val="Arial"/>
      </rPr>
      <t>, adaldyq, şynşyldyq, täkapparlyq, maqsatşyldyq, meiırımdılık</t>
    </r>
    <r>
      <rPr>
        <b/>
        <sz val="11"/>
        <color theme="1"/>
        <rFont val="Arial"/>
      </rPr>
      <t xml:space="preserve">
TRANSLATION: Conscience</t>
    </r>
    <r>
      <rPr>
        <sz val="11"/>
        <color theme="1"/>
        <rFont val="Arial"/>
      </rPr>
      <t>, honesty, truthfulness, dignity, purpose, mercy</t>
    </r>
  </si>
  <si>
    <t>"You can afford to be—but you won't. It's hard to salvage jettisoned cargo and, if it is retrieved, it's usually irreparably damaged. And I fear that when you can afford to fish up the honor and virtue and kindness you've thrown overboard, you'll find they have suffered a sea change and not, I fear, into something rich and strange..."</t>
  </si>
  <si>
    <t>TERM: chest' (честь) — honour; honor [ORD]
PASSAGE: И боюсь, что когда вы сочтете возможным втянуть обратно в лодку честь, целомудрие и милосердие, которые вышвырнули за борт, вы обнаружите, что они претерпели в воде существенные изменения, причем отнюдь не к лучшему…
TRANS: I boyus', chto kogda vy sochtete vozmozhnym vtyanut' obratno v lodku chest', tselomudrie i miloserdie, kotorye vyshvyrnuli za bort, vy obnaruzhite, chto oni preterpeli v vode sushchestvennye izmeneniya, prichem otnyud' ne k luchshemu…
TRANSLATION: And I fear that when you find it possible to pull back into the boat the honor, chastity, and mercy that you tossed overboard, you will discover that they have undergone substantial changes in the water, and not at all for the better...</t>
  </si>
  <si>
    <r>
      <rPr>
        <b/>
        <sz val="11"/>
        <color theme="1"/>
        <rFont val="Arial"/>
      </rPr>
      <t>TERM:</t>
    </r>
    <r>
      <rPr>
        <sz val="11"/>
        <color theme="1"/>
        <rFont val="Arial"/>
      </rPr>
      <t xml:space="preserve"> AR-ŪİAT (АР-ҰЯТ) — conscience-shame (compound): the active inner moral faculty [KED, SZK]
</t>
    </r>
    <r>
      <rPr>
        <b/>
        <sz val="11"/>
        <color theme="1"/>
        <rFont val="Arial"/>
      </rPr>
      <t>PASSAGE:</t>
    </r>
    <r>
      <rPr>
        <sz val="11"/>
        <color theme="1"/>
        <rFont val="Arial"/>
      </rPr>
      <t xml:space="preserve"> Сіз </t>
    </r>
    <r>
      <rPr>
        <b/>
        <sz val="11"/>
        <color theme="1"/>
        <rFont val="Arial"/>
      </rPr>
      <t>ар-ұятыңызды</t>
    </r>
    <r>
      <rPr>
        <sz val="11"/>
        <color theme="1"/>
        <rFont val="Arial"/>
      </rPr>
      <t xml:space="preserve">, мейірімділік пен адалдығыңызды қайтадан қажетсініп қайыққа тартып алған кезде де, олардың бұрынғы мәнін жойып, суда қалған кездерінде мүлдем танымастай өзгергенін байқайсыз, және жақсы жағына қарай өзгермес...
</t>
    </r>
    <r>
      <rPr>
        <b/>
        <sz val="11"/>
        <color theme="1"/>
        <rFont val="Arial"/>
      </rPr>
      <t>TRANS:</t>
    </r>
    <r>
      <rPr>
        <sz val="11"/>
        <color theme="1"/>
        <rFont val="Arial"/>
      </rPr>
      <t xml:space="preserve"> Sız </t>
    </r>
    <r>
      <rPr>
        <b/>
        <sz val="11"/>
        <color theme="1"/>
        <rFont val="Arial"/>
      </rPr>
      <t>ar-ūiatyñyzdy</t>
    </r>
    <r>
      <rPr>
        <sz val="11"/>
        <color theme="1"/>
        <rFont val="Arial"/>
      </rPr>
      <t xml:space="preserve">, meiırımdılık pen adaldyğyñyzdy qaitadan qajetsınıp qaiyqqa tartyp alğan kezde de, olardyñ būrynğy mänın joiyp, suda qalğan kezderınde müldem tanymastai özgergenın baiqaisyz, jäne jaqsy jağyna qarai özgermes...
</t>
    </r>
    <r>
      <rPr>
        <b/>
        <sz val="11"/>
        <color theme="1"/>
        <rFont val="Arial"/>
      </rPr>
      <t>TRANSLATION:</t>
    </r>
    <r>
      <rPr>
        <sz val="11"/>
        <color theme="1"/>
        <rFont val="Arial"/>
      </rPr>
      <t xml:space="preserve"> When you again come to need your </t>
    </r>
    <r>
      <rPr>
        <b/>
        <sz val="11"/>
        <color theme="1"/>
        <rFont val="Arial"/>
      </rPr>
      <t>conscience</t>
    </r>
    <r>
      <rPr>
        <sz val="11"/>
        <color theme="1"/>
        <rFont val="Arial"/>
      </rPr>
      <t>, your mercy, and your honesty and pull them back into the boat, you will discover that they have lost their original substance and changed beyond recognition while in the water — and not for the better...</t>
    </r>
  </si>
  <si>
    <t>Moral code</t>
  </si>
  <si>
    <t>"Ashley Wilkes has never taken a cent from me! I couldn't make him take a cent if he were starving! You don't understand him, how honorable, how proud he is! Of course, you can't understand him, being what you are—"</t>
  </si>
  <si>
    <t>TERM: blagorodnyy (благородный) — noble; of noble character [ORD]
PASSAGE: Вам в жизни не понять, какой он благородный, какой гордый!
TRANS: Vam v zhizni ne ponyat', kakoy on blagorodnyy, kakoy gordyy!
TRANSLATION: You will never in your life understand how noble he is, how proud!</t>
  </si>
  <si>
    <r>
      <rPr>
        <b/>
        <sz val="11"/>
        <color theme="1"/>
        <rFont val="Arial"/>
      </rPr>
      <t>TERM:</t>
    </r>
    <r>
      <rPr>
        <sz val="11"/>
        <color theme="1"/>
        <rFont val="Arial"/>
      </rPr>
      <t xml:space="preserve"> ASYL (АСЫЛ) — noble; precious; intrinsically valuable [KED, SZK]
</t>
    </r>
    <r>
      <rPr>
        <b/>
        <sz val="11"/>
        <color theme="1"/>
        <rFont val="Arial"/>
      </rPr>
      <t>PASSAGE:</t>
    </r>
    <r>
      <rPr>
        <sz val="11"/>
        <color theme="1"/>
        <rFont val="Arial"/>
      </rPr>
      <t xml:space="preserve"> Оның қандай жаны </t>
    </r>
    <r>
      <rPr>
        <b/>
        <sz val="11"/>
        <color theme="1"/>
        <rFont val="Arial"/>
      </rPr>
      <t>асыл</t>
    </r>
    <r>
      <rPr>
        <sz val="11"/>
        <color theme="1"/>
        <rFont val="Arial"/>
      </rPr>
      <t xml:space="preserve">, қандай ар-ұятты биік қоятын адам екенін мәңгі түсінбей өтесіз!
</t>
    </r>
    <r>
      <rPr>
        <b/>
        <sz val="11"/>
        <color theme="1"/>
        <rFont val="Arial"/>
      </rPr>
      <t>TRANS:</t>
    </r>
    <r>
      <rPr>
        <sz val="11"/>
        <color theme="1"/>
        <rFont val="Arial"/>
      </rPr>
      <t xml:space="preserve"> Onyñ qandai jany </t>
    </r>
    <r>
      <rPr>
        <b/>
        <sz val="11"/>
        <color theme="1"/>
        <rFont val="Arial"/>
      </rPr>
      <t>asyl</t>
    </r>
    <r>
      <rPr>
        <sz val="11"/>
        <color theme="1"/>
        <rFont val="Arial"/>
      </rPr>
      <t xml:space="preserve">, qandai ar-ūiatty biık qoiatyn adam ekenın mäñgı tüsınbei ötesız!
</t>
    </r>
    <r>
      <rPr>
        <b/>
        <sz val="11"/>
        <color theme="1"/>
        <rFont val="Arial"/>
      </rPr>
      <t>TRANSLATION:</t>
    </r>
    <r>
      <rPr>
        <sz val="11"/>
        <color theme="1"/>
        <rFont val="Arial"/>
      </rPr>
      <t xml:space="preserve"> You will never understand all your life what kind of soul he is — how nobly elevated, how high he holds his </t>
    </r>
    <r>
      <rPr>
        <b/>
        <sz val="11"/>
        <color theme="1"/>
        <rFont val="Arial"/>
      </rPr>
      <t>conscience</t>
    </r>
    <r>
      <rPr>
        <sz val="11"/>
        <color theme="1"/>
        <rFont val="Arial"/>
      </rPr>
      <t>!</t>
    </r>
  </si>
  <si>
    <t>Moral honor, code of behavior</t>
  </si>
  <si>
    <t>"If you are comparing him with yourself, you conceited thing, why— He's not like you, thank God! He wouldn't soil his hands as you do, making money with Carpetbaggers and Scallawags and Yankees. He's scrupulous and honorable!"</t>
  </si>
  <si>
    <t>TERM: uvazhayushchiy sebya (уважающий себя) — self-respecting (lit. respecting oneself) [ORD] (lemma: уважать)
PASSAGE: Он человек, уважающий себя, совестливый!
TRANS: On chelovek, uvazhayushchiy sebya, sovestlivyy!
TRANSLATION: He is a man who respects himself, conscientious!</t>
  </si>
  <si>
    <r>
      <rPr>
        <b/>
        <sz val="11"/>
        <color theme="1"/>
        <rFont val="Arial"/>
      </rPr>
      <t>TERM:</t>
    </r>
    <r>
      <rPr>
        <sz val="11"/>
        <color theme="1"/>
        <rFont val="Arial"/>
      </rPr>
      <t xml:space="preserve"> qūrmetti (ҚҰРМЕТTІ) = құрмет respected, honourable
</t>
    </r>
    <r>
      <rPr>
        <b/>
        <sz val="11"/>
        <color theme="1"/>
        <rFont val="Arial"/>
      </rPr>
      <t>PASSAGE:</t>
    </r>
    <r>
      <rPr>
        <sz val="11"/>
        <color theme="1"/>
        <rFont val="Arial"/>
      </rPr>
      <t xml:space="preserve"> Ол - өзін </t>
    </r>
    <r>
      <rPr>
        <b/>
        <sz val="11"/>
        <color theme="1"/>
        <rFont val="Arial"/>
      </rPr>
      <t>құрметтейтін</t>
    </r>
    <r>
      <rPr>
        <sz val="11"/>
        <color theme="1"/>
        <rFont val="Arial"/>
      </rPr>
      <t xml:space="preserve">, ұяты бар адам.
</t>
    </r>
    <r>
      <rPr>
        <b/>
        <sz val="11"/>
        <color theme="1"/>
        <rFont val="Arial"/>
      </rPr>
      <t>TRANS:</t>
    </r>
    <r>
      <rPr>
        <sz val="11"/>
        <color theme="1"/>
        <rFont val="Arial"/>
      </rPr>
      <t xml:space="preserve"> Ol - özın </t>
    </r>
    <r>
      <rPr>
        <b/>
        <sz val="11"/>
        <color theme="1"/>
        <rFont val="Arial"/>
      </rPr>
      <t>qūrmetteitın</t>
    </r>
    <r>
      <rPr>
        <sz val="11"/>
        <color theme="1"/>
        <rFont val="Arial"/>
      </rPr>
      <t xml:space="preserve">, ūiaty bar adam.
</t>
    </r>
    <r>
      <rPr>
        <b/>
        <sz val="11"/>
        <color theme="1"/>
        <rFont val="Arial"/>
      </rPr>
      <t>TRANSLATION:</t>
    </r>
    <r>
      <rPr>
        <sz val="11"/>
        <color theme="1"/>
        <rFont val="Arial"/>
      </rPr>
      <t xml:space="preserve"> He is a man who </t>
    </r>
    <r>
      <rPr>
        <b/>
        <sz val="11"/>
        <color theme="1"/>
        <rFont val="Arial"/>
      </rPr>
      <t>respects</t>
    </r>
    <r>
      <rPr>
        <sz val="11"/>
        <color theme="1"/>
        <rFont val="Arial"/>
      </rPr>
      <t xml:space="preserve"> himself, who has conscience.</t>
    </r>
  </si>
  <si>
    <t>"But not too scrupulous and honorable to take aid and money from a woman."</t>
  </si>
  <si>
    <t>TERM: uvazhayushchiy sebya (уважающий себя) — self-respecting (lit. respecting oneself) [ORD] (lemma: уважать)
PASSAGE: Но не настолько уважающий себя и не настолько совестливый, чтобы отказаться от помощи и денег женщины.
TRANS: No ne nastol'ko uvazhayushchiy sebya i ne nastol'ko sovestlivyy, chtoby otkazat'sya ot pomoshchi i deneg zhenshchiny.
TRANSLATION: But not so self-respecting and not so conscientious as to refuse a woman's help and money.</t>
  </si>
  <si>
    <r>
      <rPr>
        <b/>
        <sz val="11"/>
        <color theme="1"/>
        <rFont val="Arial"/>
      </rPr>
      <t>TERM:</t>
    </r>
    <r>
      <rPr>
        <sz val="11"/>
        <color theme="1"/>
        <rFont val="Arial"/>
      </rPr>
      <t xml:space="preserve"> QŪRMETTI (ҚҰРМЕТTІ) = құрмет respected, honourable
</t>
    </r>
    <r>
      <rPr>
        <b/>
        <sz val="11"/>
        <color theme="1"/>
        <rFont val="Arial"/>
      </rPr>
      <t>PASSAGE:</t>
    </r>
    <r>
      <rPr>
        <sz val="11"/>
        <color theme="1"/>
        <rFont val="Arial"/>
      </rPr>
      <t xml:space="preserve"> Дегенмен әйелдің ақшасы мен көмегінен бас тартпайтынына қарағанда, соншалық құрметті, соншалық </t>
    </r>
    <r>
      <rPr>
        <b/>
        <sz val="11"/>
        <color theme="1"/>
        <rFont val="Arial"/>
      </rPr>
      <t>ұятты</t>
    </r>
    <r>
      <rPr>
        <sz val="11"/>
        <color theme="1"/>
        <rFont val="Arial"/>
      </rPr>
      <t xml:space="preserve"> емес те сияқты ғой.
</t>
    </r>
    <r>
      <rPr>
        <b/>
        <sz val="11"/>
        <color theme="1"/>
        <rFont val="Arial"/>
      </rPr>
      <t>TRANS:</t>
    </r>
    <r>
      <rPr>
        <sz val="11"/>
        <color theme="1"/>
        <rFont val="Arial"/>
      </rPr>
      <t xml:space="preserve"> Degenmen äieldıñ aqşasy men kömegınen bas tartpaitynyna qarağanda, sonşalyq </t>
    </r>
    <r>
      <rPr>
        <b/>
        <sz val="11"/>
        <color theme="1"/>
        <rFont val="Arial"/>
      </rPr>
      <t>qūrmettı</t>
    </r>
    <r>
      <rPr>
        <sz val="11"/>
        <color theme="1"/>
        <rFont val="Arial"/>
      </rPr>
      <t xml:space="preserve">, sonşalyq ūiatty emes te siaqty ğoi.
</t>
    </r>
    <r>
      <rPr>
        <b/>
        <sz val="11"/>
        <color theme="1"/>
        <rFont val="Arial"/>
      </rPr>
      <t>TRANSLATION:</t>
    </r>
    <r>
      <rPr>
        <sz val="11"/>
        <color theme="1"/>
        <rFont val="Arial"/>
      </rPr>
      <t xml:space="preserve">  And yet, since he did not refuse the woman’s money or assistance, he did not seem quite so </t>
    </r>
    <r>
      <rPr>
        <b/>
        <sz val="11"/>
        <color theme="1"/>
        <rFont val="Arial"/>
      </rPr>
      <t>honorable</t>
    </r>
    <r>
      <rPr>
        <sz val="11"/>
        <color theme="1"/>
        <rFont val="Arial"/>
      </rPr>
      <t>—or so shameful after all.</t>
    </r>
  </si>
  <si>
    <t>Code of behavior, moral</t>
  </si>
  <si>
    <t>TERM: blagorodnyy (благородный) — noble; of noble character [ORD]
PASSAGE: Эшли ведь такой благородный, такой правдивый, такой добрый, и он видит все так ясно, без прикрас.
TRANS: Eshli ved' takoy blagorodnyy, takoy pravdivyy, takoy dobryy, i on vidit vse tak yasno, bez prikras.
TRANSLATION: Ashley is so noble, so truthful, so kind, and he sees everything so clearly, without embellishment.</t>
  </si>
  <si>
    <r>
      <rPr>
        <b/>
        <sz val="11"/>
        <color theme="1"/>
        <rFont val="Arial"/>
      </rPr>
      <t>TERM:</t>
    </r>
    <r>
      <rPr>
        <sz val="11"/>
        <color theme="1"/>
        <rFont val="Arial"/>
      </rPr>
      <t xml:space="preserve"> keñpeiıl (кеңпейіл) = ‘broad-souled’ (noble) 
</t>
    </r>
    <r>
      <rPr>
        <b/>
        <sz val="11"/>
        <color theme="1"/>
        <rFont val="Arial"/>
      </rPr>
      <t>PASSAGE:</t>
    </r>
    <r>
      <rPr>
        <sz val="11"/>
        <color theme="1"/>
        <rFont val="Arial"/>
      </rPr>
      <t xml:space="preserve"> Ол сондай </t>
    </r>
    <r>
      <rPr>
        <b/>
        <sz val="11"/>
        <color theme="1"/>
        <rFont val="Arial"/>
      </rPr>
      <t>кеңпейіл</t>
    </r>
    <r>
      <rPr>
        <sz val="11"/>
        <color theme="1"/>
        <rFont val="Arial"/>
      </rPr>
      <t xml:space="preserve">, сондай шыншыл, сондай қамқор, мейірімді, бәрін жақсы ашық көңілмен қабылдайды.
</t>
    </r>
    <r>
      <rPr>
        <b/>
        <sz val="11"/>
        <color theme="1"/>
        <rFont val="Arial"/>
      </rPr>
      <t>TRANS:</t>
    </r>
    <r>
      <rPr>
        <sz val="11"/>
        <color theme="1"/>
        <rFont val="Arial"/>
      </rPr>
      <t xml:space="preserve"> Ol sondai </t>
    </r>
    <r>
      <rPr>
        <b/>
        <sz val="11"/>
        <color theme="1"/>
        <rFont val="Arial"/>
      </rPr>
      <t>keñpeiıl</t>
    </r>
    <r>
      <rPr>
        <sz val="11"/>
        <color theme="1"/>
        <rFont val="Arial"/>
      </rPr>
      <t xml:space="preserve">, sondai şynşyl, sondai qamqor, meiırımdı, bärın jaqsy aşyq köñılmen qabyldaidy.
</t>
    </r>
    <r>
      <rPr>
        <b/>
        <sz val="11"/>
        <color theme="1"/>
        <rFont val="Arial"/>
      </rPr>
      <t>TRANSLATION:</t>
    </r>
    <r>
      <rPr>
        <sz val="11"/>
        <color theme="1"/>
        <rFont val="Arial"/>
      </rPr>
      <t xml:space="preserve"> He is so </t>
    </r>
    <r>
      <rPr>
        <b/>
        <sz val="11"/>
        <color theme="1"/>
        <rFont val="Arial"/>
      </rPr>
      <t>broad-souled</t>
    </r>
    <r>
      <rPr>
        <sz val="11"/>
        <color theme="1"/>
        <rFont val="Arial"/>
      </rPr>
      <t>, so truthful, so caring, so merciful — he accepts everything with an open and clear heart.</t>
    </r>
  </si>
  <si>
    <t>"Oh, for God's sake, hush!" interrupted Scarlett, annoyed as usual when he made her look like a conceited fool, and not caring to have Ashley and his honor become the subject of further conversation. "What was the other thing you wanted to tell me?"</t>
  </si>
  <si>
    <t>TERM: poryadochnost' (порядочность) — decency; respectability; integrity [ORD]
PASSAGE: к тому же ей вовсе не хотелось обсуждать Эшли и его порядочность.
TRANS: k tomu zhe ey vovse ne khotelos' obsuzhdat' Eshli i ego poryadochnost'.
TRANSLATION: besides, she did not at all want to discuss Ashley and his decency.</t>
  </si>
  <si>
    <r>
      <rPr>
        <b/>
        <sz val="11"/>
        <color theme="1"/>
        <rFont val="Arial"/>
      </rPr>
      <t>TERM:</t>
    </r>
    <r>
      <rPr>
        <sz val="11"/>
        <color theme="1"/>
        <rFont val="Arial"/>
      </rPr>
      <t xml:space="preserve"> ÄDEPTILIK (ӘДЕПТІЛІК) — politeness; decency; propriety [KED, SZK]
</t>
    </r>
    <r>
      <rPr>
        <b/>
        <sz val="11"/>
        <color theme="1"/>
        <rFont val="Arial"/>
      </rPr>
      <t>PASSAGE:</t>
    </r>
    <r>
      <rPr>
        <sz val="11"/>
        <color theme="1"/>
        <rFont val="Arial"/>
      </rPr>
      <t xml:space="preserve"> Бұрын да өзімшіл екенін бетіне басып, өкпелететін кездеріндей қиналып кетті де, Эшлидің </t>
    </r>
    <r>
      <rPr>
        <b/>
        <sz val="11"/>
        <color theme="1"/>
        <rFont val="Arial"/>
      </rPr>
      <t>әдептілігі</t>
    </r>
    <r>
      <rPr>
        <sz val="11"/>
        <color theme="1"/>
        <rFont val="Arial"/>
      </rPr>
      <t xml:space="preserve"> туралы да сөз қозғатқысы келмеді.
</t>
    </r>
    <r>
      <rPr>
        <b/>
        <sz val="11"/>
        <color theme="1"/>
        <rFont val="Arial"/>
      </rPr>
      <t>TRANS:</t>
    </r>
    <r>
      <rPr>
        <sz val="11"/>
        <color theme="1"/>
        <rFont val="Arial"/>
      </rPr>
      <t xml:space="preserve"> Būryn da özımşıl ekenın betıne basyp, ökpeletetın kezderındei qinalyp kettı de, Eşlidıñ </t>
    </r>
    <r>
      <rPr>
        <b/>
        <sz val="11"/>
        <color theme="1"/>
        <rFont val="Arial"/>
      </rPr>
      <t>ädeptılıgı</t>
    </r>
    <r>
      <rPr>
        <sz val="11"/>
        <color theme="1"/>
        <rFont val="Arial"/>
      </rPr>
      <t xml:space="preserve"> turaly da söz qozğatqysy kelmedı.
</t>
    </r>
    <r>
      <rPr>
        <b/>
        <sz val="11"/>
        <color theme="1"/>
        <rFont val="Arial"/>
      </rPr>
      <t>TRANSLATION:</t>
    </r>
    <r>
      <rPr>
        <sz val="11"/>
        <color theme="1"/>
        <rFont val="Arial"/>
      </rPr>
      <t xml:space="preserve"> As before when he had thrown her self-centeredness in her face, she felt distressed, and did not want to bring up Ashley's </t>
    </r>
    <r>
      <rPr>
        <b/>
        <sz val="11"/>
        <color theme="1"/>
        <rFont val="Arial"/>
      </rPr>
      <t>decency</t>
    </r>
    <r>
      <rPr>
        <sz val="11"/>
        <color theme="1"/>
        <rFont val="Arial"/>
      </rPr>
      <t xml:space="preserve"> for discussion either.</t>
    </r>
  </si>
  <si>
    <t>honor cited ironically / sarcastically — Rhett's deflation of the concept</t>
  </si>
  <si>
    <t>"I still laugh—but I've reached the end of roaming, Scarlett. I'm forty-five—the age when a man begins to value some of the things he's thrown away so lightly in youth, the clannishness of families, honor and security, roots that go deep— Oh, no! I'm not recanting, I'm not regretting anything I've ever done. I've had a hell of a good time—such a hell of a good time that it's begun to pall and now I want something different. No, I never intend to change more than my spots. But I want the outer semblance of the things I used to know, the utter boredom of respectability—other people's respectability, my pet, not my own—the calm dignity life can have when it's lived by gentle folks, the genial grace of days that are gone. When I lived those days I didn't realize the slow charm of them—"</t>
  </si>
  <si>
    <t>TERM: chest' (честь) — honour; honor [ORD]
PASSAGE: Мне сорок пять лет, и в этом возрасте человек начинает ценить то, что он так легко отбрасывал в юности: свой клан, свою семью, свою честь и безопасность, корни, уходящие глубоко…
TRANS: Mne sorok pyat' let, i v etom vozraste chelovek nachinaet tsenit' to, chto on tak legko otbrasyval v yunosti: svoy klan, svoyu sem'yu, svoyu chest' i bezopasnost', korni, ukhodyashchie gluboko…
TRANSLATION: I am forty-five years old, and at this age a person begins to value what he so easily cast aside in his youth: his clan, his family, his honor and security, roots that go deep...</t>
  </si>
  <si>
    <r>
      <rPr>
        <b/>
        <sz val="11"/>
        <color theme="1"/>
        <rFont val="Arial"/>
      </rPr>
      <t>TERM:</t>
    </r>
    <r>
      <rPr>
        <sz val="11"/>
        <color theme="1"/>
        <rFont val="Arial"/>
      </rPr>
      <t xml:space="preserve"> AR-NAMYS (АР-НАМЫС) — honour; observable behavioural code (compound) [KED, SZK]
</t>
    </r>
    <r>
      <rPr>
        <b/>
        <sz val="11"/>
        <color theme="1"/>
        <rFont val="Arial"/>
      </rPr>
      <t>PASSAGE:</t>
    </r>
    <r>
      <rPr>
        <sz val="11"/>
        <color theme="1"/>
        <rFont val="Arial"/>
      </rPr>
      <t xml:space="preserve"> Менің жасым қырық беске келіпті, бұл адамның жас кезінде қолын бір сілтеп, керек қылмай кеткен нәрселерін - отбасын, </t>
    </r>
    <r>
      <rPr>
        <b/>
        <sz val="11"/>
        <color theme="1"/>
        <rFont val="Arial"/>
      </rPr>
      <t>ар-намысын</t>
    </r>
    <r>
      <rPr>
        <sz val="11"/>
        <color theme="1"/>
        <rFont val="Arial"/>
      </rPr>
      <t xml:space="preserve">, қауіпсіздігін, түп-тамырын бағалайтын, қадірлейтін тұсы!
</t>
    </r>
    <r>
      <rPr>
        <b/>
        <sz val="11"/>
        <color theme="1"/>
        <rFont val="Arial"/>
      </rPr>
      <t>TRANS:</t>
    </r>
    <r>
      <rPr>
        <sz val="11"/>
        <color theme="1"/>
        <rFont val="Arial"/>
      </rPr>
      <t xml:space="preserve"> Menıñ jasym qyryq beske kelıptı, būl adamnyñ jas kezınde qolyn bır sıltep, kerek qylmai ketken närselerın - otbasyn, </t>
    </r>
    <r>
      <rPr>
        <b/>
        <sz val="11"/>
        <color theme="1"/>
        <rFont val="Arial"/>
      </rPr>
      <t>ar-namysyn,</t>
    </r>
    <r>
      <rPr>
        <sz val="11"/>
        <color theme="1"/>
        <rFont val="Arial"/>
      </rPr>
      <t xml:space="preserve"> qauıpsızdıgın, tüp-tamyryn bağalaityn, qadırleitın tūsy!
</t>
    </r>
    <r>
      <rPr>
        <b/>
        <sz val="11"/>
        <color theme="1"/>
        <rFont val="Arial"/>
      </rPr>
      <t>TRANSLATION:</t>
    </r>
    <r>
      <rPr>
        <sz val="11"/>
        <color theme="1"/>
        <rFont val="Arial"/>
      </rPr>
      <t xml:space="preserve"> I am forty-five years old now — this is the age when a person begins to value and treasure the things he so easily cast aside in his youth: family, </t>
    </r>
    <r>
      <rPr>
        <b/>
        <sz val="11"/>
        <color theme="1"/>
        <rFont val="Arial"/>
      </rPr>
      <t>honor</t>
    </r>
    <r>
      <rPr>
        <sz val="11"/>
        <color theme="1"/>
        <rFont val="Arial"/>
      </rPr>
      <t>-</t>
    </r>
    <r>
      <rPr>
        <b/>
        <sz val="11"/>
        <color theme="1"/>
        <rFont val="Arial"/>
      </rPr>
      <t>pride</t>
    </r>
    <r>
      <rPr>
        <sz val="11"/>
        <color theme="1"/>
        <rFont val="Arial"/>
      </rPr>
      <t>, security, deep roots!</t>
    </r>
  </si>
  <si>
    <t>Moral guide</t>
  </si>
  <si>
    <t>"You made it with the money I lent you to give you your start. That's what you mean. My money is being used to support Ashley. You are a woman quite without honor and if you hadn't repaid my loan, I'd take great pleasure in calling it in now and selling you out at public auction if you couldn't pay."</t>
  </si>
  <si>
    <t>TERM: beschestnaya (бесчестная) — dishonourable (adj. fem.) [ORD] (lemma: бесчестный)
PASSAGE: Вы бесчестная женщина, и если бы вы не вернули мне долг, я бы с удовольствием востребовал его сейчас, а не заплати вы мне — все ваше добро пошло бы с аукциона.
TRANS: Vy beschestnaya zhenshchina, i esli by vy ne vernuli mne dolg, ya by s udovol'stviem vostreboval ego seychas, a ne zaplati vy mne — vse vashe dobro poshlo by s auktsiona.
TRANSLATION: You are a dishonest woman, and if you had not returned me the debt, I would gladly have demanded it now, and had you not paid me — all your goods would have gone under the hammer.</t>
  </si>
  <si>
    <r>
      <rPr>
        <b/>
        <sz val="11"/>
        <color theme="1"/>
        <rFont val="Arial"/>
      </rPr>
      <t>TERM:</t>
    </r>
    <r>
      <rPr>
        <sz val="11"/>
        <color theme="1"/>
        <rFont val="Arial"/>
      </rPr>
      <t xml:space="preserve"> ÄDILETSIZ (ӘДІЛЕТСІЗ) = unjust
</t>
    </r>
    <r>
      <rPr>
        <b/>
        <sz val="11"/>
        <color theme="1"/>
        <rFont val="Arial"/>
      </rPr>
      <t>PASSAGE:</t>
    </r>
    <r>
      <rPr>
        <sz val="11"/>
        <color theme="1"/>
        <rFont val="Arial"/>
      </rPr>
      <t xml:space="preserve"> Сіз </t>
    </r>
    <r>
      <rPr>
        <b/>
        <sz val="11"/>
        <color theme="1"/>
        <rFont val="Arial"/>
      </rPr>
      <t>әділетсіз</t>
    </r>
    <r>
      <rPr>
        <sz val="11"/>
        <color theme="1"/>
        <rFont val="Arial"/>
      </rPr>
      <t xml:space="preserve"> әйел екенсіз, егер қарызды қайтармағаныңызда, мен үстемелеп төлеуге заң арқылы мәжбүрлей алар едім.
</t>
    </r>
    <r>
      <rPr>
        <b/>
        <sz val="11"/>
        <color theme="1"/>
        <rFont val="Arial"/>
      </rPr>
      <t>TRANS:</t>
    </r>
    <r>
      <rPr>
        <sz val="11"/>
        <color theme="1"/>
        <rFont val="Arial"/>
      </rPr>
      <t xml:space="preserve"> Sız </t>
    </r>
    <r>
      <rPr>
        <b/>
        <sz val="11"/>
        <color theme="1"/>
        <rFont val="Arial"/>
      </rPr>
      <t>ädıletsız</t>
    </r>
    <r>
      <rPr>
        <sz val="11"/>
        <color theme="1"/>
        <rFont val="Arial"/>
      </rPr>
      <t xml:space="preserve"> äiel ekensız, eger qaryzdy qaitarmağanyñyzda, men üstemelep töleuge zañ arqyly mäjbürlei alar edım.
</t>
    </r>
    <r>
      <rPr>
        <b/>
        <sz val="11"/>
        <color theme="1"/>
        <rFont val="Arial"/>
      </rPr>
      <t>TRANSLATION:</t>
    </r>
    <r>
      <rPr>
        <sz val="11"/>
        <color theme="1"/>
        <rFont val="Arial"/>
      </rPr>
      <t xml:space="preserve"> You are an </t>
    </r>
    <r>
      <rPr>
        <b/>
        <sz val="11"/>
        <color theme="1"/>
        <rFont val="Arial"/>
      </rPr>
      <t>unjust</t>
    </r>
    <r>
      <rPr>
        <sz val="11"/>
        <color theme="1"/>
        <rFont val="Arial"/>
      </rPr>
      <t xml:space="preserve"> woman; had you not returned the debt, I could have made you pay double through the law.</t>
    </r>
  </si>
  <si>
    <t>Honor — Reputation / standing</t>
  </si>
  <si>
    <t>social honor — reputation, community standing, publicly conferred dignity</t>
  </si>
  <si>
    <t>There was no more warmth in him than in a marsh light, no more security than in quicksand. It was Rhett—Rhett who had strong arms to hold her, a broad chest to pillow her tired head, jeering laughter to pull her affairs into proper perspective. And complete understanding, because he, like her, saw truth as truth, unobstructed by impractical notions of honor, sacrifice, or high belief in human nature. He loved her! Why hadn't she realized that he loved her, for all his taunting remarks to the contrary? Melanie had seen it and with her last breath had said, "Be kind to him."</t>
  </si>
  <si>
    <t>TERM: chest' (честь) — honour; honor [ORD]
PASSAGE: а не затуманенную всякими так называемыми высокими представлениями о чести, самопожертвовании или вере в человеческую натуру.
TRANS: a ne zatumanennuyu vsyakimi tak nazyvaemymi vysokimi predstavleniyami o chesti, samopozhertvovanii ili vere v chelovecheskuyu naturu.
TRANSLATION: and not [a vision] clouded by all sorts of so-called lofty notions of honor, self-sacrifice, or faith in human nature.</t>
  </si>
  <si>
    <r>
      <rPr>
        <b/>
        <sz val="11"/>
        <color theme="1"/>
        <rFont val="Arial"/>
      </rPr>
      <t>TERM:</t>
    </r>
    <r>
      <rPr>
        <sz val="11"/>
        <color theme="1"/>
        <rFont val="Arial"/>
      </rPr>
      <t xml:space="preserve"> adal AR (адал АР) — honest ar; pure conscience [KED, SZK] (lemma: ар)
Abyroy (абырой) = dignity 
</t>
    </r>
    <r>
      <rPr>
        <b/>
        <sz val="11"/>
        <color theme="1"/>
        <rFont val="Arial"/>
      </rPr>
      <t>PASSAGE:</t>
    </r>
    <r>
      <rPr>
        <sz val="11"/>
        <color theme="1"/>
        <rFont val="Arial"/>
      </rPr>
      <t xml:space="preserve"> Өзі де бұл тақылеттес болғандықтан мұны толық түсінетін, ақиқатты сол күйімен қабылдайтын, биік мақсат, </t>
    </r>
    <r>
      <rPr>
        <b/>
        <sz val="11"/>
        <color theme="1"/>
        <rFont val="Arial"/>
      </rPr>
      <t>адал ар</t>
    </r>
    <r>
      <rPr>
        <sz val="11"/>
        <color theme="1"/>
        <rFont val="Arial"/>
      </rPr>
      <t xml:space="preserve">, </t>
    </r>
    <r>
      <rPr>
        <b/>
        <sz val="11"/>
        <color theme="1"/>
        <rFont val="Arial"/>
      </rPr>
      <t>абырой</t>
    </r>
    <r>
      <rPr>
        <sz val="11"/>
        <color theme="1"/>
        <rFont val="Arial"/>
      </rPr>
      <t xml:space="preserve"> туралы жұмбақ түсініктермен ештеңені әсірелемейтін, адам келбетінің бар шынайылығын солай көре қоятын жан.
</t>
    </r>
    <r>
      <rPr>
        <b/>
        <sz val="11"/>
        <color theme="1"/>
        <rFont val="Arial"/>
      </rPr>
      <t>TRANS:</t>
    </r>
    <r>
      <rPr>
        <sz val="11"/>
        <color theme="1"/>
        <rFont val="Arial"/>
      </rPr>
      <t xml:space="preserve"> Özı de būl taqylettes bolğandyqtan mūny tolyq tüsınetın, aqiqatty sol küiımen qabyldaityn, biık maqsat, </t>
    </r>
    <r>
      <rPr>
        <b/>
        <sz val="11"/>
        <color theme="1"/>
        <rFont val="Arial"/>
      </rPr>
      <t xml:space="preserve">adal ar, abyroi </t>
    </r>
    <r>
      <rPr>
        <sz val="11"/>
        <color theme="1"/>
        <rFont val="Arial"/>
      </rPr>
      <t xml:space="preserve">turaly jūmbaq tüsınıktermen eşteñenı äsırelemeitın, adam kelbetınıñ bar şynaiylyğyn solai köre qoiatyn jan.
</t>
    </r>
    <r>
      <rPr>
        <b/>
        <sz val="11"/>
        <color theme="1"/>
        <rFont val="Arial"/>
      </rPr>
      <t>TRANSLATION:</t>
    </r>
    <r>
      <rPr>
        <sz val="11"/>
        <color theme="1"/>
        <rFont val="Arial"/>
      </rPr>
      <t xml:space="preserve"> He himself, being of this same kind, fully understood her, accepting the truth as it is — a soul who did not exaggerate anything with mysterious notions of lofty aim, true </t>
    </r>
    <r>
      <rPr>
        <b/>
        <sz val="11"/>
        <color theme="1"/>
        <rFont val="Arial"/>
      </rPr>
      <t>conscience</t>
    </r>
    <r>
      <rPr>
        <sz val="11"/>
        <color theme="1"/>
        <rFont val="Arial"/>
      </rPr>
      <t xml:space="preserve">, or </t>
    </r>
    <r>
      <rPr>
        <b/>
        <sz val="11"/>
        <color theme="1"/>
        <rFont val="Arial"/>
      </rPr>
      <t>dignity</t>
    </r>
    <r>
      <rPr>
        <sz val="11"/>
        <color theme="1"/>
        <rFont val="Arial"/>
      </rPr>
      <t>, but saw the whole reality of human appearance as it is.</t>
    </r>
  </si>
  <si>
    <t>Moral honor, Rhett’s irony with regard to Ashley</t>
  </si>
  <si>
    <t>"I understand practically everything about you and Ashley, now," Rhett resumed. "I began with your inelegant scene at Twelve Oaks and, since then, I've picked up many things by keeping my eyes open. What things? Oh, that you still cherish a romantic schoolgirl passion for him which he reciprocates as well as his honorable nature will permit him. And that Mrs. Wilkes knows nothing and that, between the two of you, you've done her a pretty trick. I understand practically everything, except one thing that piques my curiosity. Did the honorable Ashley ever jeopardize his immortal soul by kissing you?"</t>
  </si>
  <si>
    <t>TERM: blagorodnaya vozvyshennaya natura (благородная возвышенная натура) — noble and elevated nature (descriptive phrase) [ORD] (lemma: благородный)
PASSAGE: в той мере, в какой ему позволяет это его благородная возвышенная натура.
TRANS: v toy mere, v kakoy emu pozvolyaet eto ego blagorodnaya vozvyshennaya natura.
TRANSLATION: to the extent that his noble, lofty nature allows him to.</t>
  </si>
  <si>
    <r>
      <rPr>
        <b/>
        <sz val="11"/>
        <color theme="1"/>
        <rFont val="Arial"/>
      </rPr>
      <t>TERM:</t>
    </r>
    <r>
      <rPr>
        <sz val="11"/>
        <color theme="1"/>
        <rFont val="Arial"/>
      </rPr>
      <t xml:space="preserve"> bekzat bolmysty asqaq tabiğaty (бекзат болмысты асқақ табиғаты) — elevated nature of his noble being (descriptive phrase) [KED, SZK] (lemma: бекзат)
</t>
    </r>
    <r>
      <rPr>
        <b/>
        <sz val="11"/>
        <color theme="1"/>
        <rFont val="Arial"/>
      </rPr>
      <t>PASSAGE:</t>
    </r>
    <r>
      <rPr>
        <sz val="11"/>
        <color theme="1"/>
        <rFont val="Arial"/>
      </rPr>
      <t xml:space="preserve"> оның </t>
    </r>
    <r>
      <rPr>
        <b/>
        <sz val="11"/>
        <color theme="1"/>
        <rFont val="Arial"/>
      </rPr>
      <t>бекзат болмысты асқақ табиғаты</t>
    </r>
    <r>
      <rPr>
        <sz val="11"/>
        <color theme="1"/>
        <rFont val="Arial"/>
      </rPr>
      <t xml:space="preserve"> оған мүмкіндік беретіндігінен.
</t>
    </r>
    <r>
      <rPr>
        <b/>
        <sz val="11"/>
        <color theme="1"/>
        <rFont val="Arial"/>
      </rPr>
      <t>TRANS:</t>
    </r>
    <r>
      <rPr>
        <sz val="11"/>
        <color theme="1"/>
        <rFont val="Arial"/>
      </rPr>
      <t xml:space="preserve"> onyñ </t>
    </r>
    <r>
      <rPr>
        <b/>
        <sz val="11"/>
        <color theme="1"/>
        <rFont val="Arial"/>
      </rPr>
      <t>bekzat bolmysty asqaq tabiğaty</t>
    </r>
    <r>
      <rPr>
        <sz val="11"/>
        <color theme="1"/>
        <rFont val="Arial"/>
      </rPr>
      <t xml:space="preserve"> oğan mümkındık beretındıgınen.
</t>
    </r>
    <r>
      <rPr>
        <b/>
        <sz val="11"/>
        <color theme="1"/>
        <rFont val="Arial"/>
      </rPr>
      <t>TRANSLATION:</t>
    </r>
    <r>
      <rPr>
        <sz val="11"/>
        <color theme="1"/>
        <rFont val="Arial"/>
      </rPr>
      <t xml:space="preserve"> because of what his </t>
    </r>
    <r>
      <rPr>
        <b/>
        <sz val="11"/>
        <color theme="1"/>
        <rFont val="Arial"/>
      </rPr>
      <t>aristocratic, exalted</t>
    </r>
    <r>
      <rPr>
        <sz val="11"/>
        <color theme="1"/>
        <rFont val="Arial"/>
      </rPr>
      <t xml:space="preserve"> nature allows him.</t>
    </r>
  </si>
  <si>
    <t>Moral honor, not leaving his wife</t>
  </si>
  <si>
    <t>At the mention of Melanie, Scarlett began to breathe hard and could scarcely restrain herself from crying out the whole story, that only honor kept Ashley with Melanie. She opened her mouth to speak and then closed it.</t>
  </si>
  <si>
    <t>TERM: chesti (чести) — honour (gen./dat./prep.) [ORD] (lemma: честь)
PASSAGE: что только соображения чести удерживают Эшли подле Мелани.
TRANS: chto tol'ko soobrazheniya chesti uderzhivayut Eshli podle Melani.
TRANSLATION: that only considerations of honor were keeping Ashley by Melanie's side.</t>
  </si>
  <si>
    <r>
      <rPr>
        <b/>
        <sz val="11"/>
        <color theme="1"/>
        <rFont val="Arial"/>
      </rPr>
      <t>TERM:</t>
    </r>
    <r>
      <rPr>
        <sz val="11"/>
        <color theme="1"/>
        <rFont val="Arial"/>
      </rPr>
      <t xml:space="preserve"> ABYROİ (АБЫРОЙ) — dignity; prestige; public standing; reputation (Arabic-Persian loan) [KED, SZK]
</t>
    </r>
    <r>
      <rPr>
        <b/>
        <sz val="11"/>
        <color theme="1"/>
        <rFont val="Arial"/>
      </rPr>
      <t>PASSAGE:</t>
    </r>
    <r>
      <rPr>
        <sz val="11"/>
        <color theme="1"/>
        <rFont val="Arial"/>
      </rPr>
      <t xml:space="preserve"> Меланидің есімі аталғанда Скарлеттің көкірегіне ащы запыран жиналғандай, Реттке бар даусымен Меланидің </t>
    </r>
    <r>
      <rPr>
        <b/>
        <sz val="11"/>
        <color theme="1"/>
        <rFont val="Arial"/>
      </rPr>
      <t>абыройына</t>
    </r>
    <r>
      <rPr>
        <sz val="11"/>
        <color theme="1"/>
        <rFont val="Arial"/>
      </rPr>
      <t xml:space="preserve"> дақ түсірмеу үшін Эшли соның қасында жүргенін айтып, айқайлағысы келіп тұрды да, аузын аша беріп, қайта жапты.
</t>
    </r>
    <r>
      <rPr>
        <b/>
        <sz val="11"/>
        <color theme="1"/>
        <rFont val="Arial"/>
      </rPr>
      <t>TRANS:</t>
    </r>
    <r>
      <rPr>
        <sz val="11"/>
        <color theme="1"/>
        <rFont val="Arial"/>
      </rPr>
      <t xml:space="preserve"> Melanidıñ esımı atalğanda Skarlettıñ kökıregıne aşşy zapyran jinalğandai, Rettke bar dausymen Melanidıñ </t>
    </r>
    <r>
      <rPr>
        <b/>
        <sz val="11"/>
        <color theme="1"/>
        <rFont val="Arial"/>
      </rPr>
      <t>abyroiyna</t>
    </r>
    <r>
      <rPr>
        <sz val="11"/>
        <color theme="1"/>
        <rFont val="Arial"/>
      </rPr>
      <t xml:space="preserve"> daq tüsırmeu üşın Eşli sonyñ qasynda jürgenın aityp, aiqailağysy kelıp tūrdy da, auzyn aşa berıp, qaita japty.
</t>
    </r>
    <r>
      <rPr>
        <b/>
        <sz val="11"/>
        <color theme="1"/>
        <rFont val="Arial"/>
      </rPr>
      <t>TRANSLATION:</t>
    </r>
    <r>
      <rPr>
        <sz val="11"/>
        <color theme="1"/>
        <rFont val="Arial"/>
      </rPr>
      <t xml:space="preserve"> When Melanie's name was mentioned, bitter bile gathered in Scarlett's chest; she wanted to shout to Rhett at the top of her voice that Ashley remained beside Melanie so as not to stain her </t>
    </r>
    <r>
      <rPr>
        <b/>
        <sz val="11"/>
        <color theme="1"/>
        <rFont val="Arial"/>
      </rPr>
      <t>dignity</t>
    </r>
    <r>
      <rPr>
        <sz val="11"/>
        <color theme="1"/>
        <rFont val="Arial"/>
      </rPr>
      <t>, but she opened her mouth and shut it again.</t>
    </r>
  </si>
  <si>
    <t>Moral honor – uninteresting to Rhett, as self-claimed</t>
  </si>
  <si>
    <t>"Oh, I've never denied coveting you, if that's what you mean. But, thank God, I'm not bothered about matters of honor. What I want I take if I can get it, and so I wrestle neither with angels nor devils. What a merry hell you must have made for Ashley! Almost I can be sorry for him."</t>
  </si>
  <si>
    <t>TERM: chesti (чести) — honour (gen./dat./prep.) [ORD] (lemma: честь)
PASSAGE: Но слава богу, меня не волнуют проблемы чести.
TRANS: No slava bogu, menya ne volnuyut problemy chesti.
TRANSLATION: But thank God, I am not troubled by problems of honor.</t>
  </si>
  <si>
    <r>
      <rPr>
        <b/>
        <sz val="11"/>
        <color theme="1"/>
        <rFont val="Arial"/>
      </rPr>
      <t>TERM:</t>
    </r>
    <r>
      <rPr>
        <sz val="11"/>
        <color theme="1"/>
        <rFont val="Arial"/>
      </rPr>
      <t xml:space="preserve"> AR-ŪİAT(АР-ҰЯТ) — conscience-shame (compound): the active inner moral faculty [KED, SZK]
</t>
    </r>
    <r>
      <rPr>
        <b/>
        <sz val="11"/>
        <color theme="1"/>
        <rFont val="Arial"/>
      </rPr>
      <t>PASSAGE:</t>
    </r>
    <r>
      <rPr>
        <sz val="11"/>
        <color theme="1"/>
        <rFont val="Arial"/>
      </rPr>
      <t xml:space="preserve"> Бірақ, құдайға шүкір, мені </t>
    </r>
    <r>
      <rPr>
        <b/>
        <sz val="11"/>
        <color theme="1"/>
        <rFont val="Arial"/>
      </rPr>
      <t>ар-ұяттың</t>
    </r>
    <r>
      <rPr>
        <sz val="11"/>
        <color theme="1"/>
        <rFont val="Arial"/>
      </rPr>
      <t xml:space="preserve"> мәселесі мазаламайды.
</t>
    </r>
    <r>
      <rPr>
        <b/>
        <sz val="11"/>
        <color theme="1"/>
        <rFont val="Arial"/>
      </rPr>
      <t>TRANS:</t>
    </r>
    <r>
      <rPr>
        <sz val="11"/>
        <color theme="1"/>
        <rFont val="Arial"/>
      </rPr>
      <t xml:space="preserve"> Bıraq, qūdaiğa şükır, menı</t>
    </r>
    <r>
      <rPr>
        <b/>
        <sz val="11"/>
        <color theme="1"/>
        <rFont val="Arial"/>
      </rPr>
      <t xml:space="preserve"> ar-ūiattyñ</t>
    </r>
    <r>
      <rPr>
        <sz val="11"/>
        <color theme="1"/>
        <rFont val="Arial"/>
      </rPr>
      <t xml:space="preserve"> mäselesı mazalamaidy.
</t>
    </r>
    <r>
      <rPr>
        <b/>
        <sz val="11"/>
        <color theme="1"/>
        <rFont val="Arial"/>
      </rPr>
      <t>TRANSLATION:</t>
    </r>
    <r>
      <rPr>
        <sz val="11"/>
        <color theme="1"/>
        <rFont val="Arial"/>
      </rPr>
      <t xml:space="preserve"> But, thank God, the question of </t>
    </r>
    <r>
      <rPr>
        <b/>
        <sz val="11"/>
        <color theme="1"/>
        <rFont val="Arial"/>
      </rPr>
      <t xml:space="preserve">conscience </t>
    </r>
    <r>
      <rPr>
        <sz val="11"/>
        <color theme="1"/>
        <rFont val="Arial"/>
      </rPr>
      <t>does not trouble me.</t>
    </r>
  </si>
  <si>
    <t>Moral honor</t>
  </si>
  <si>
    <t>How unfair he was! As if Ashley was a mind reader! As if Ashley could have stopped her, even had he known! But, she knew suddenly, Ashley could have stopped her. The faintest intimation from him, in the orchard, that some day things might be different and she would never have thought of going to Rhett. A word of tenderness, even a parting caress when she was getting on the train, would have held her back. But he had only talked of honor. Yet—was Rhett right? Should Ashley have known her mind?</t>
  </si>
  <si>
    <t>TERM: chesti (чести) — honour (gen./dat./prep.) [ORD] (lemma: честь)
PASSAGE: Но он говорил только о чести.
TRANS: No on govoril tol'ko o chesti.
TRANSLATION: But he spoke only of honor.</t>
  </si>
  <si>
    <r>
      <rPr>
        <b/>
        <sz val="11"/>
        <color theme="1"/>
        <rFont val="Arial"/>
      </rPr>
      <t>TERM:</t>
    </r>
    <r>
      <rPr>
        <sz val="11"/>
        <color theme="1"/>
        <rFont val="Arial"/>
      </rPr>
      <t xml:space="preserve"> AR-ŪİAT (АР-ҰЯТ) — conscience-shame (compound): the active inner moral faculty [KED, SZK]
</t>
    </r>
    <r>
      <rPr>
        <b/>
        <sz val="11"/>
        <color theme="1"/>
        <rFont val="Arial"/>
      </rPr>
      <t>PASSAGE:</t>
    </r>
    <r>
      <rPr>
        <sz val="11"/>
        <color theme="1"/>
        <rFont val="Arial"/>
      </rPr>
      <t xml:space="preserve"> Бірақ ол тек </t>
    </r>
    <r>
      <rPr>
        <b/>
        <sz val="11"/>
        <color theme="1"/>
        <rFont val="Arial"/>
      </rPr>
      <t>ар-ұят</t>
    </r>
    <r>
      <rPr>
        <sz val="11"/>
        <color theme="1"/>
        <rFont val="Arial"/>
      </rPr>
      <t xml:space="preserve"> туралы ғана айтқан.
</t>
    </r>
    <r>
      <rPr>
        <b/>
        <sz val="11"/>
        <color theme="1"/>
        <rFont val="Arial"/>
      </rPr>
      <t>TRANS:</t>
    </r>
    <r>
      <rPr>
        <sz val="11"/>
        <color theme="1"/>
        <rFont val="Arial"/>
      </rPr>
      <t xml:space="preserve"> Bıraq ol tek</t>
    </r>
    <r>
      <rPr>
        <b/>
        <sz val="11"/>
        <color theme="1"/>
        <rFont val="Arial"/>
      </rPr>
      <t xml:space="preserve"> ar-ūiat </t>
    </r>
    <r>
      <rPr>
        <sz val="11"/>
        <color theme="1"/>
        <rFont val="Arial"/>
      </rPr>
      <t xml:space="preserve">turaly ğana aitqan.
</t>
    </r>
    <r>
      <rPr>
        <b/>
        <sz val="11"/>
        <color theme="1"/>
        <rFont val="Arial"/>
      </rPr>
      <t>TRANSLATION:</t>
    </r>
    <r>
      <rPr>
        <sz val="11"/>
        <color theme="1"/>
        <rFont val="Arial"/>
      </rPr>
      <t xml:space="preserve"> But he spoke only of </t>
    </r>
    <r>
      <rPr>
        <b/>
        <sz val="11"/>
        <color theme="1"/>
        <rFont val="Arial"/>
      </rPr>
      <t>conscience</t>
    </r>
    <r>
      <rPr>
        <sz val="11"/>
        <color theme="1"/>
        <rFont val="Arial"/>
      </rPr>
      <t>.</t>
    </r>
  </si>
  <si>
    <t>Moral</t>
  </si>
  <si>
    <t>But, she promised herself, never, never would she again try to prod him into words of love, never again would she try to make him throw away that foolish honor he valued more than love. Somehow, she must delicately convey to him this new resolution of hers. Otherwise he might refuse, fearing another scene such as that last terrible one had been.</t>
  </si>
  <si>
    <t>TERM: chest'yu (честью) — honour (instr.); honourably [ORD] (lemma: честь)
PASSAGE: никогда не будет вынуждать его поступиться этой дурацкой честью, которую он ставит выше любви.
TRANS: nikogda ne budet vynuzhdat' ego postupit'sya etoy duratskoy chest'yu, kotoruyu on stavit vyshe lyubvi.
TRANSLATION: will never force him to compromise that foolish honor that he places above love.</t>
  </si>
  <si>
    <r>
      <rPr>
        <b/>
        <sz val="11"/>
        <color theme="1"/>
        <rFont val="Arial"/>
      </rPr>
      <t>TERM:</t>
    </r>
    <r>
      <rPr>
        <sz val="11"/>
        <color theme="1"/>
        <rFont val="Arial"/>
      </rPr>
      <t xml:space="preserve"> AR-OJDAN (АР-ОЖДАН) — conscience (compound from Arabic wijdān): the inalienable inner tribunal [KED, SZK]
</t>
    </r>
    <r>
      <rPr>
        <b/>
        <sz val="11"/>
        <color theme="1"/>
        <rFont val="Arial"/>
      </rPr>
      <t>PASSAGE:</t>
    </r>
    <r>
      <rPr>
        <sz val="11"/>
        <color theme="1"/>
        <rFont val="Arial"/>
      </rPr>
      <t xml:space="preserve"> Ол үшін тірлігінен биік қоятын </t>
    </r>
    <r>
      <rPr>
        <b/>
        <sz val="11"/>
        <color theme="1"/>
        <rFont val="Arial"/>
      </rPr>
      <t>ар-ожданына</t>
    </r>
    <r>
      <rPr>
        <sz val="11"/>
        <color theme="1"/>
        <rFont val="Arial"/>
      </rPr>
      <t xml:space="preserve"> дақ түсірмеуге келіседі.
</t>
    </r>
    <r>
      <rPr>
        <b/>
        <sz val="11"/>
        <color theme="1"/>
        <rFont val="Arial"/>
      </rPr>
      <t>TRANS:</t>
    </r>
    <r>
      <rPr>
        <sz val="11"/>
        <color theme="1"/>
        <rFont val="Arial"/>
      </rPr>
      <t xml:space="preserve"> Ol üşın tırlıgınen biık qoiatyn ar-ojdanyna daq tüsırmeuge kelısedı.
</t>
    </r>
    <r>
      <rPr>
        <b/>
        <sz val="11"/>
        <color theme="1"/>
        <rFont val="Arial"/>
      </rPr>
      <t>TRANSLATION:</t>
    </r>
    <r>
      <rPr>
        <sz val="11"/>
        <color theme="1"/>
        <rFont val="Arial"/>
      </rPr>
      <t xml:space="preserve"> For his sake she agrees not to soil the </t>
    </r>
    <r>
      <rPr>
        <b/>
        <sz val="11"/>
        <color theme="1"/>
        <rFont val="Arial"/>
      </rPr>
      <t>conscience</t>
    </r>
    <r>
      <rPr>
        <sz val="11"/>
        <color theme="1"/>
        <rFont val="Arial"/>
      </rPr>
      <t xml:space="preserve"> he places above his life.</t>
    </r>
  </si>
  <si>
    <t>"Oh, no! You are so fine, so honorable and he—" She broke off, confused.</t>
  </si>
  <si>
    <t>TERM: blagorodnyy (благородный) — noble; of noble character [ORD]
PASSAGE: Вы — такой тонкий, такой благородный, а он…
TRANS: Vy — takoy tonkiy, takoy blagorodnyy, a on…
TRANSLATION: You — so refined, so noble, while he...</t>
  </si>
  <si>
    <r>
      <rPr>
        <b/>
        <sz val="11"/>
        <color theme="1"/>
        <rFont val="Arial"/>
      </rPr>
      <t>TERM:</t>
    </r>
    <r>
      <rPr>
        <sz val="11"/>
        <color theme="1"/>
        <rFont val="Arial"/>
      </rPr>
      <t xml:space="preserve"> BEKZAT adam (БЕКЗАТ адам) — aristocrat; man of noble birth [KED, SZK] (lemma: бекзат)
</t>
    </r>
    <r>
      <rPr>
        <b/>
        <sz val="11"/>
        <color theme="1"/>
        <rFont val="Arial"/>
      </rPr>
      <t>PASSAGE:</t>
    </r>
    <r>
      <rPr>
        <sz val="11"/>
        <color theme="1"/>
        <rFont val="Arial"/>
      </rPr>
      <t xml:space="preserve"> Ой, жоқ, ұқсамайсыздар. Ол сондай нәзік сезімді, </t>
    </r>
    <r>
      <rPr>
        <b/>
        <sz val="11"/>
        <color theme="1"/>
        <rFont val="Arial"/>
      </rPr>
      <t>бекзат адам</t>
    </r>
    <r>
      <rPr>
        <sz val="11"/>
        <color theme="1"/>
        <rFont val="Arial"/>
      </rPr>
      <t xml:space="preserve"> ғой, және...
</t>
    </r>
    <r>
      <rPr>
        <b/>
        <sz val="11"/>
        <color theme="1"/>
        <rFont val="Arial"/>
      </rPr>
      <t>TRANS:</t>
    </r>
    <r>
      <rPr>
        <sz val="11"/>
        <color theme="1"/>
        <rFont val="Arial"/>
      </rPr>
      <t xml:space="preserve"> Oi, joq, ūqsamaisyzdar. Ol sondai näzık sezımdı, </t>
    </r>
    <r>
      <rPr>
        <b/>
        <sz val="11"/>
        <color theme="1"/>
        <rFont val="Arial"/>
      </rPr>
      <t>bekzat</t>
    </r>
    <r>
      <rPr>
        <sz val="11"/>
        <color theme="1"/>
        <rFont val="Arial"/>
      </rPr>
      <t xml:space="preserve"> adam ğoi, jäne...
</t>
    </r>
    <r>
      <rPr>
        <b/>
        <sz val="11"/>
        <color theme="1"/>
        <rFont val="Arial"/>
      </rPr>
      <t>TRANSLATION:</t>
    </r>
    <r>
      <rPr>
        <sz val="11"/>
        <color theme="1"/>
        <rFont val="Arial"/>
      </rPr>
      <t xml:space="preserve"> Oh, no, you are not alike. He is such a man of refined feeling, a noble man, and...</t>
    </r>
  </si>
  <si>
    <t>If I were dead, if Miss Melly were dead and you had your precious honorable lover, do you think you'd be happy with him?</t>
  </si>
  <si>
    <t>TERM: blagorodnogo (благородного) — noble (adj. masc. gen.) [ORD] (lemma: благородный)
PASSAGE: Если б я умер и если бы мисс Мелли умерла и вы получили бы своего бесценного благородного возлюбленного, вы думаете, что были бы счастливы с ним?
TRANS: Esli b ya umer i esli by miss Melli umerla i vy poluchili by svoego bestsennogo blagorodnogo vozlyublennogo, vy dumaete, chto byli by schastlivy s nim?
TRANSLATION: If I died and if Miss Melly died, and you got your priceless noble beloved, do you think you would be happy with him?</t>
  </si>
  <si>
    <r>
      <rPr>
        <b/>
        <sz val="11"/>
        <color theme="1"/>
        <rFont val="Arial"/>
      </rPr>
      <t>PASSAGE:</t>
    </r>
    <r>
      <rPr>
        <sz val="11"/>
        <color theme="1"/>
        <rFont val="Arial"/>
      </rPr>
      <t xml:space="preserve"> Егер мен жер бетінен жоғалып кететін болсам, немесе Мелли ханым өліп қалса, баға жетпес байлығыңызға, махаббатыңызбен бас қосамын деп армандайтын да шығарсыз.
</t>
    </r>
    <r>
      <rPr>
        <b/>
        <sz val="11"/>
        <color theme="1"/>
        <rFont val="Arial"/>
      </rPr>
      <t>TRANS:</t>
    </r>
    <r>
      <rPr>
        <sz val="11"/>
        <color theme="1"/>
        <rFont val="Arial"/>
      </rPr>
      <t xml:space="preserve"> Eger men jer betınen joğalyp ketetın bolsam, nemese Melli hanym ölıp qalsa, bağa jetpes bailyğyñyzğa, mahabbatyñyzben bas qosamyn dep armandaityn da şyğarsyz.
</t>
    </r>
    <r>
      <rPr>
        <b/>
        <sz val="11"/>
        <color theme="1"/>
        <rFont val="Arial"/>
      </rPr>
      <t>TRANSLATION:</t>
    </r>
    <r>
      <rPr>
        <sz val="11"/>
        <color theme="1"/>
        <rFont val="Arial"/>
      </rPr>
      <t xml:space="preserve"> If I were to disappear from the face of the earth, or if Mrs Melly were to die, you may even be dreaming of joining your priceless treasure, your love.</t>
    </r>
  </si>
  <si>
    <t>"What you've gone through! Don't you think that I— Oh, Ashley, you should have known, years ago, that you loved her and not me! Why didn't you! Everything would have been so different, so— Oh, you should have realized and not kept me dangling with all your talk about honor and sacrifice! If you'd told me, years ago, I'd have— It would have killed me but I could have stood it somehow. But you wait till now, till Melly's dying, to find it out and now it's too late to do anything.</t>
  </si>
  <si>
    <t>TERM: chesti (чести) — honour (gen./dat./prep.) [ORD] (lemma: честь)
PASSAGE: Все могло бы быть иначе, а теперь… ах, тебе бы следовало понять и не держать меня на привязи, рассуждая о чести и жертвах!
TRANS: Vse moglo by byt' inache, a teper'… akh, tebe by sledovalo ponyat' i ne derzhat' menya na privyazi, rassuzhdaya o chesti i zhertvakh!
TRANSLATION: Everything could have been different, and now... ah, you should have understood and not kept me on a leash, talking of honor and sacrifices!</t>
  </si>
  <si>
    <r>
      <rPr>
        <b/>
        <sz val="11"/>
        <color theme="1"/>
        <rFont val="Arial"/>
      </rPr>
      <t>TERM:</t>
    </r>
    <r>
      <rPr>
        <sz val="11"/>
        <color theme="1"/>
        <rFont val="Arial"/>
      </rPr>
      <t xml:space="preserve"> AR-ŪİAT(АР-ҰЯТ) — conscience-shame (compound): the active inner moral faculty [KED, SZK]
</t>
    </r>
    <r>
      <rPr>
        <b/>
        <sz val="11"/>
        <color theme="1"/>
        <rFont val="Arial"/>
      </rPr>
      <t>PASSAGE:</t>
    </r>
    <r>
      <rPr>
        <sz val="11"/>
        <color theme="1"/>
        <rFont val="Arial"/>
      </rPr>
      <t xml:space="preserve"> Ой, құдайым-ай, мені де емексітпей, құрбандықтар мен </t>
    </r>
    <r>
      <rPr>
        <b/>
        <sz val="11"/>
        <color theme="1"/>
        <rFont val="Arial"/>
      </rPr>
      <t>ар-ұят</t>
    </r>
    <r>
      <rPr>
        <sz val="11"/>
        <color theme="1"/>
        <rFont val="Arial"/>
      </rPr>
      <t xml:space="preserve"> туралы ой толғай бермей, алдымен өз сеніміңді анықтап алуың керек еді ғой!
</t>
    </r>
    <r>
      <rPr>
        <b/>
        <sz val="11"/>
        <color theme="1"/>
        <rFont val="Arial"/>
      </rPr>
      <t>TRANS:</t>
    </r>
    <r>
      <rPr>
        <sz val="11"/>
        <color theme="1"/>
        <rFont val="Arial"/>
      </rPr>
      <t xml:space="preserve"> Oi, qūdaiym-ai, menı de emeksıtpei, qūrbandyqtar men </t>
    </r>
    <r>
      <rPr>
        <b/>
        <sz val="11"/>
        <color theme="1"/>
        <rFont val="Arial"/>
      </rPr>
      <t>ar-ūiat</t>
    </r>
    <r>
      <rPr>
        <sz val="11"/>
        <color theme="1"/>
        <rFont val="Arial"/>
      </rPr>
      <t xml:space="preserve"> turaly oi tolğai bermei, aldymen öz senımıñdı anyqtap aluyñ kerek edı ğoi!
</t>
    </r>
    <r>
      <rPr>
        <b/>
        <sz val="11"/>
        <color theme="1"/>
        <rFont val="Arial"/>
      </rPr>
      <t>TRANSLATION:</t>
    </r>
    <r>
      <rPr>
        <sz val="11"/>
        <color theme="1"/>
        <rFont val="Arial"/>
      </rPr>
      <t xml:space="preserve"> Oh, my God, you should have decided your own conviction first, and not gone on tantalizing me, holding forth about sacrifices and </t>
    </r>
    <r>
      <rPr>
        <b/>
        <sz val="11"/>
        <color theme="1"/>
        <rFont val="Arial"/>
      </rPr>
      <t>honor</t>
    </r>
    <r>
      <rPr>
        <sz val="11"/>
        <color theme="1"/>
        <rFont val="Arial"/>
      </rPr>
      <t>!</t>
    </r>
  </si>
  <si>
    <t>"What a fool I've been," she thought bitterly. "And now I've got to pay for it. What I've wished for so often has happened. I've wished Melly was dead so I could have him. And now she's dead and I've got him and I don't want him. His damned honor will make him ask me if I want to divorce Rhett and marry him. Marry him? I wouldn't have him on a silver platter!</t>
  </si>
  <si>
    <t>TERM: proklyatoe ponyatie o chesti (проклятое понятие о чести) — that cursed notion of honour [ORD] (lemma: понятие)
PASSAGE: Его проклятое понятие о чести заставит его спросить меня, не соглашусь ли я развестись с Реттом и выйти за него замуж.
TRANS: Ego proklyatoe ponyatie o chesti zastavit ego sprosit' menya, ne soglashus' li ya razvestis' s Rettom i vyyti za nego zamuzh.
TRANSLATION: His cursed concept of honor will compel him to ask me whether I will agree to divorce Rhett and marry him.</t>
  </si>
  <si>
    <r>
      <rPr>
        <b/>
        <sz val="11"/>
        <color theme="1"/>
        <rFont val="Arial"/>
      </rPr>
      <t>PASSAGE:</t>
    </r>
    <r>
      <rPr>
        <sz val="11"/>
        <color theme="1"/>
        <rFont val="Arial"/>
      </rPr>
      <t xml:space="preserve"> Оның тұманды сезімі менен Ретті тастап, өзіне күйеуге шығуымды сұратар әлі.
</t>
    </r>
    <r>
      <rPr>
        <b/>
        <sz val="11"/>
        <color theme="1"/>
        <rFont val="Arial"/>
      </rPr>
      <t>TRANS:</t>
    </r>
    <r>
      <rPr>
        <sz val="11"/>
        <color theme="1"/>
        <rFont val="Arial"/>
      </rPr>
      <t xml:space="preserve"> Onyñ tūmandy sezımı menen Rettı tastap, özıne küieuge şyğuymdy sūratar älı.
</t>
    </r>
    <r>
      <rPr>
        <b/>
        <sz val="11"/>
        <color theme="1"/>
        <rFont val="Arial"/>
      </rPr>
      <t>TRANSLATION:</t>
    </r>
    <r>
      <rPr>
        <sz val="11"/>
        <color theme="1"/>
        <rFont val="Arial"/>
      </rPr>
      <t xml:space="preserve"> His clouded sense will yet make him ask me to leave Rhett and marry him.</t>
    </r>
  </si>
  <si>
    <t>"Ashley!" she said, and made an impatient gesture. "I—I don't believe I've cared anything about him for ages. It was—well, a sort of habit I hung onto from when I was a little girl. Rhett, I'd never even thought I cared about him if I'd ever known what he was really like. He's such a helpless, poor-spirited creature, for all his prattle about truth and honor and—"</t>
  </si>
  <si>
    <t>TERM: o pravde, i o chesti, (о правде, и о чести,) = about truth, about honor
PASSAGE: А ведь он такое беспомощное, жалкое существо, несмотря на всю свою болтовню о правде, и о чести, и о…
TRANS: A ved' on takoe bespomoshchnoe, zhalkoe sushchestvo, nesmotrya na vsyu svoyu boltovnyu o pravde, i o chesti, i o…
TRANSLATION: And he is such a helpless, pitiful creature, despite all his prattle of truth, and of honor, and of...</t>
  </si>
  <si>
    <r>
      <rPr>
        <b/>
        <sz val="11"/>
        <color theme="1"/>
        <rFont val="Arial"/>
      </rPr>
      <t>TERM:</t>
    </r>
    <r>
      <rPr>
        <sz val="11"/>
        <color theme="1"/>
        <rFont val="Arial"/>
      </rPr>
      <t xml:space="preserve"> AR-ŪİAT (АР-ҰЯТ) — conscience-shame (compound): the active inner moral faculty [KED, SZK]
</t>
    </r>
    <r>
      <rPr>
        <b/>
        <sz val="11"/>
        <color theme="1"/>
        <rFont val="Arial"/>
      </rPr>
      <t>PASSAGE:</t>
    </r>
    <r>
      <rPr>
        <sz val="11"/>
        <color theme="1"/>
        <rFont val="Arial"/>
      </rPr>
      <t xml:space="preserve"> Өзінің шындық, </t>
    </r>
    <r>
      <rPr>
        <b/>
        <sz val="11"/>
        <color theme="1"/>
        <rFont val="Arial"/>
      </rPr>
      <t>ар-ұят</t>
    </r>
    <r>
      <rPr>
        <sz val="11"/>
        <color theme="1"/>
        <rFont val="Arial"/>
      </rPr>
      <t xml:space="preserve">, намыс туралы әңгімелеріне қарамастан, ол сондай дәрменсіз, аянышты адам.
</t>
    </r>
    <r>
      <rPr>
        <b/>
        <sz val="11"/>
        <color theme="1"/>
        <rFont val="Arial"/>
      </rPr>
      <t>TRANS:</t>
    </r>
    <r>
      <rPr>
        <sz val="11"/>
        <color theme="1"/>
        <rFont val="Arial"/>
      </rPr>
      <t xml:space="preserve"> Özınıñ şyndyq, </t>
    </r>
    <r>
      <rPr>
        <b/>
        <sz val="11"/>
        <color theme="1"/>
        <rFont val="Arial"/>
      </rPr>
      <t>ar-ūiat</t>
    </r>
    <r>
      <rPr>
        <sz val="11"/>
        <color theme="1"/>
        <rFont val="Arial"/>
      </rPr>
      <t xml:space="preserve">, namys turaly äñgımelerıne qaramastan, ol sondai därmensız, aianyşty adam.
</t>
    </r>
    <r>
      <rPr>
        <b/>
        <sz val="11"/>
        <color theme="1"/>
        <rFont val="Arial"/>
      </rPr>
      <t>TRANSLATION:</t>
    </r>
    <r>
      <rPr>
        <sz val="11"/>
        <color theme="1"/>
        <rFont val="Arial"/>
      </rPr>
      <t xml:space="preserve"> Despite his talk of truth, </t>
    </r>
    <r>
      <rPr>
        <b/>
        <sz val="11"/>
        <color theme="1"/>
        <rFont val="Arial"/>
      </rPr>
      <t>conscience/honor</t>
    </r>
    <r>
      <rPr>
        <sz val="11"/>
        <color theme="1"/>
        <rFont val="Arial"/>
      </rPr>
      <t>, and honor, he is such a helpless, pitiful person.</t>
    </r>
  </si>
  <si>
    <t>Living with Rhett, she learned many new things about him, and she had thought she knew him so well. She learned that his voice could be as silky as a cat's fur one moment and crisp and crackling with oaths the next. He could tell, with apparent sincerity and approval, stories of courage and honor and virtue and love in the odd places he had been, and follow them with ribald stories of coldest cynicism.</t>
  </si>
  <si>
    <t>TERM: blagorodnykh (благородных) — noble (adj. pl. gen.) [ORD] (lemma: благородный)
PASSAGE: Он мог вроде бы откровенно и с одобрением рассказывать о мужественных, благородных, добродетельных, подсказанных любовью поступках, коим он был свидетелем в тех странных местах, куда его заносило, и тут же с холодным цинизмом добавлять скабрезнейшие истории.
TRANS: On mog vrode by otkrovenno i s odobreniem rasskazyvat' o muzhestvennykh, blagorodnykh, dobrodetel'nykh, podskazannykh lyubov'yu postupkakh, koim on byl svidetelem v tekh strannykh mestakh, kuda ego zanosilo, i tut zhe s kholodnym tsinizmom dobavlyat' skabrezneyshie istorii.
TRANSLATION: He could, as it were, frankly and with approval tell of brave, noble, virtuous, love-prompted deeds, of which he had been witness in those strange places where he had been carried, and at the same instant with cold cynicism add the most scabrous stories.</t>
  </si>
  <si>
    <r>
      <rPr>
        <b/>
        <sz val="11"/>
        <color theme="1"/>
        <rFont val="Arial"/>
      </rPr>
      <t>TERM:</t>
    </r>
    <r>
      <rPr>
        <sz val="11"/>
        <color theme="1"/>
        <rFont val="Arial"/>
      </rPr>
      <t xml:space="preserve"> ADAMGERŞILIK (АДАМГЕРШІЛІК) — humanity; civility; humanness (the secularised humanist moral term) [KED, SZK]
</t>
    </r>
    <r>
      <rPr>
        <b/>
        <sz val="11"/>
        <color theme="1"/>
        <rFont val="Arial"/>
      </rPr>
      <t>PASSAGE:</t>
    </r>
    <r>
      <rPr>
        <sz val="11"/>
        <color theme="1"/>
        <rFont val="Arial"/>
      </rPr>
      <t xml:space="preserve"> Ер міңезді, кең пейіл, мейірім шапағаты себелеген, жүрек елжіретер оқиғаларды ашық-жарқын әңгімелеп, </t>
    </r>
    <r>
      <rPr>
        <b/>
        <sz val="11"/>
        <color theme="1"/>
        <rFont val="Arial"/>
      </rPr>
      <t>адамгершілік</t>
    </r>
    <r>
      <rPr>
        <sz val="11"/>
        <color theme="1"/>
        <rFont val="Arial"/>
      </rPr>
      <t xml:space="preserve"> қағидаларын қоштай отырып, аяқастынан әдепсіз, ерсі, жағымсыз жайттарға көшіп, түсі де суып сала береді.
</t>
    </r>
    <r>
      <rPr>
        <b/>
        <sz val="11"/>
        <color theme="1"/>
        <rFont val="Arial"/>
      </rPr>
      <t>TRANS:</t>
    </r>
    <r>
      <rPr>
        <sz val="11"/>
        <color theme="1"/>
        <rFont val="Arial"/>
      </rPr>
      <t xml:space="preserve"> Er mıñezdı, keñ peiıl, meiırım şapağaty sebelegen, jürek eljıreter oqiğalardy aşyq-jarqyn äñgımelep, </t>
    </r>
    <r>
      <rPr>
        <b/>
        <sz val="11"/>
        <color theme="1"/>
        <rFont val="Arial"/>
      </rPr>
      <t>adamgerşılık</t>
    </r>
    <r>
      <rPr>
        <sz val="11"/>
        <color theme="1"/>
        <rFont val="Arial"/>
      </rPr>
      <t xml:space="preserve"> qağidalaryn qoştai otyryp, aiaqastynan ädepsız, ersı, jağymsyz jaittarğa köşıp, tüsı de suyp sala beredı.
</t>
    </r>
    <r>
      <rPr>
        <b/>
        <sz val="11"/>
        <color theme="1"/>
        <rFont val="Arial"/>
      </rPr>
      <t>TRANSLATION:</t>
    </r>
    <r>
      <rPr>
        <sz val="11"/>
        <color theme="1"/>
        <rFont val="Arial"/>
      </rPr>
      <t xml:space="preserve"> He would tell openly and frankly of manly, broad-souled, mercy-strewn, heart-melting events, supporting the principles of </t>
    </r>
    <r>
      <rPr>
        <b/>
        <sz val="11"/>
        <color theme="1"/>
        <rFont val="Arial"/>
      </rPr>
      <t>humanity</t>
    </r>
    <r>
      <rPr>
        <sz val="11"/>
        <color theme="1"/>
        <rFont val="Arial"/>
      </rPr>
      <t>; and then suddenly switch to indecent, unseemly, unpleasant matters, his expression cooling.</t>
    </r>
  </si>
  <si>
    <t>The upshot of the matter was that every planter agreed to pay for equipping his own sons and a certain number of the others, but the manner of handling the arrangements was such that the less wealthy members of the outfit could accept horses and uniforms without offense to their honor.</t>
  </si>
  <si>
    <t>TERM: bez maleyshego ushchemleniya svoey gordosti. (без малейшего ущемления своей гордости.) = without harm to their pride
PASSAGE: что менее имущие члены Эскадрона могли получить обмундирование и лошадь без малейшего ущемления своей гордости.
TRANS: chto menee imushchie chleny Eskadrona mogli poluchit' obmundirovanie i loshad' bez maleyshego ushchemleniya svoey gordosti.
TRANSLATION: so that less wealthy members of the Squadron could obtain equipment and a horse without the slightest infringement of their pride.</t>
  </si>
  <si>
    <r>
      <rPr>
        <b/>
        <sz val="11"/>
        <color theme="1"/>
        <rFont val="Arial"/>
      </rPr>
      <t>PASSAGE:</t>
    </r>
    <r>
      <rPr>
        <sz val="11"/>
        <color theme="1"/>
        <rFont val="Arial"/>
      </rPr>
      <t xml:space="preserve"> ... жылқыларды алғанда ешқандай кемсітушілік пен қысымды сезінбеуі тиіс болды.
</t>
    </r>
    <r>
      <rPr>
        <b/>
        <sz val="11"/>
        <color theme="1"/>
        <rFont val="Arial"/>
      </rPr>
      <t>TRANS:</t>
    </r>
    <r>
      <rPr>
        <sz val="11"/>
        <color theme="1"/>
        <rFont val="Arial"/>
      </rPr>
      <t xml:space="preserve"> ... jylqylardy alğanda eşqandai kemsıtuşılık pen qysymdy sezınbeuı tiıs boldy.
</t>
    </r>
    <r>
      <rPr>
        <b/>
        <sz val="11"/>
        <color theme="1"/>
        <rFont val="Arial"/>
      </rPr>
      <t>TRANSLATION:</t>
    </r>
    <r>
      <rPr>
        <sz val="11"/>
        <color theme="1"/>
        <rFont val="Arial"/>
      </rPr>
      <t xml:space="preserve"> ...so that they should feel no slighting or pressure when receiving the horses.</t>
    </r>
  </si>
  <si>
    <t>The white children clamored to sit on his knee and be trotted, while he denounced to their elders the infamy of Yankee politicians; the daughters of his friends took him into their confidence about their love affairs, and the youths of the neighborhood, fearful of confessing debts of honor upon the carpets of their fathers, found him a friend in need.</t>
  </si>
  <si>
    <t>PASSAGE: Дочери его приятелей поверяли ему свои сердечные тайны, а сыновья, страшась признаться родителям в карточных долгах, знали, что могут рассчитывать на его дружбу в трудную минуту.
TRANS: Docheri ego priyateley poveryali emu svoi serdechnye tayny, a synov'ya, strashas' priznat'sya roditelyam v kartochnykh dolgakh, znali, chto mogut rasschityvat' na ego druzhbu v trudnuyu minutu.
TRANSLATION: His friends' daughters confided their heart's secrets to him, and their sons, fearing to admit card debts to their parents, knew they could rely on his friendship in difficult moments.</t>
  </si>
  <si>
    <r>
      <rPr>
        <b/>
        <sz val="11"/>
        <color theme="1"/>
        <rFont val="Arial"/>
      </rPr>
      <t>PASSAGE:</t>
    </r>
    <r>
      <rPr>
        <sz val="11"/>
        <color theme="1"/>
        <rFont val="Arial"/>
      </rPr>
      <t xml:space="preserve"> Оның достарының қыздары оған жүректеріндегі құпияларын сеніп айта алады, ал ұлдары өздерінің ата-аналары алдында құмар ойындар бойынша қарыздарын мойындаудан қорқып, қиын сәтте оның достығына сенім артушы еді.
</t>
    </r>
    <r>
      <rPr>
        <b/>
        <sz val="11"/>
        <color theme="1"/>
        <rFont val="Arial"/>
      </rPr>
      <t>TRANS:</t>
    </r>
    <r>
      <rPr>
        <sz val="11"/>
        <color theme="1"/>
        <rFont val="Arial"/>
      </rPr>
      <t xml:space="preserve"> Onyñ dostarynyñ qyzdary oğan jürekterındegı qūpialaryn senıp aita alady, al ūldary özderınıñ ata-analary aldynda qūmar oiyndar boiynşa qaryzdaryn moiyndaudan qorqyp, qiyn sätte onyñ dostyğyna senım artuşy edı.
</t>
    </r>
    <r>
      <rPr>
        <b/>
        <sz val="11"/>
        <color theme="1"/>
        <rFont val="Arial"/>
      </rPr>
      <t>TRANSLATION:</t>
    </r>
    <r>
      <rPr>
        <sz val="11"/>
        <color theme="1"/>
        <rFont val="Arial"/>
      </rPr>
      <t xml:space="preserve"> His friends' daughters could confide the secrets of their hearts to him, and their sons, fearing to confess gambling debts to their parents, used to rely on his friendship in difficult moments.</t>
    </r>
  </si>
  <si>
    <t>She shrugged in irritation. Perhaps these people were right and she was wrong but, just the same, these proud fools weren't looking forward as she was doing, straining every nerve, risking even honor and good name to get back what they had lost. It was beneath the dignity of any of them to indulge in a scramble for money. The times were rude and hard. They called for rude and hard struggle if one was to conquer them. Scarlett knew that family tradition would forcibly restrain many of these people from such a struggle— with the making of money admittedly its aim.</t>
  </si>
  <si>
    <t>TERM: chest'yu (честью) — honour (instr.); honourably [ORD] (lemma: честь)
PASSAGE: рискуя даже честью и добрым своим именем,
TRANS: riskuya dazhe chest'yu i dobrym svoim imenem,
TRANSLATION: risking even his honor and his good name,</t>
  </si>
  <si>
    <r>
      <rPr>
        <b/>
        <sz val="11"/>
        <color theme="1"/>
        <rFont val="Arial"/>
      </rPr>
      <t>TERM:</t>
    </r>
    <r>
      <rPr>
        <sz val="11"/>
        <color theme="1"/>
        <rFont val="Arial"/>
      </rPr>
      <t xml:space="preserve"> AR (АР) — honour; conscience; inalienable inner moral principle [KED, SZK]
</t>
    </r>
    <r>
      <rPr>
        <b/>
        <sz val="11"/>
        <color theme="1"/>
        <rFont val="Arial"/>
      </rPr>
      <t>PASSAGE:</t>
    </r>
    <r>
      <rPr>
        <sz val="11"/>
        <color theme="1"/>
        <rFont val="Arial"/>
      </rPr>
      <t xml:space="preserve"> Бәлкім, олардікі дұрыс та, өзінікі бұрыс шығар, бірақ мына менменсігендердің болашаққа тура қарайтын түрлері жоқ сияқты да, бұл бар жүйкесіне салмақ түсіре, </t>
    </r>
    <r>
      <rPr>
        <b/>
        <sz val="11"/>
        <color theme="1"/>
        <rFont val="Arial"/>
      </rPr>
      <t>ары</t>
    </r>
    <r>
      <rPr>
        <sz val="11"/>
        <color theme="1"/>
        <rFont val="Arial"/>
      </rPr>
      <t xml:space="preserve"> мен адал атын бәйгеге тігіп, алдырғанының бәрін қайтаруға жанталасып бағуда.
</t>
    </r>
    <r>
      <rPr>
        <b/>
        <sz val="11"/>
        <color theme="1"/>
        <rFont val="Arial"/>
      </rPr>
      <t>TRANS:</t>
    </r>
    <r>
      <rPr>
        <sz val="11"/>
        <color theme="1"/>
        <rFont val="Arial"/>
      </rPr>
      <t xml:space="preserve"> Bälkım, olardıkı dūrys ta, özınıkı būrys şyğar, bıraq myna menmensıgenderdıñ bolaşaqqa tura qaraityn türlerı joq siaqty da, būl bar jüikesıne salmaq tüsıre, </t>
    </r>
    <r>
      <rPr>
        <b/>
        <sz val="11"/>
        <color theme="1"/>
        <rFont val="Arial"/>
      </rPr>
      <t>ary</t>
    </r>
    <r>
      <rPr>
        <sz val="11"/>
        <color theme="1"/>
        <rFont val="Arial"/>
      </rPr>
      <t xml:space="preserve"> men adal atyn bäigege tıgıp, aldyrğanynyñ bärın qaitaruğa jantalasyp bağuda. 
</t>
    </r>
    <r>
      <rPr>
        <b/>
        <sz val="11"/>
        <color theme="1"/>
        <rFont val="Arial"/>
      </rPr>
      <t>TRANSLATION:</t>
    </r>
    <r>
      <rPr>
        <sz val="11"/>
        <color theme="1"/>
        <rFont val="Arial"/>
      </rPr>
      <t xml:space="preserve"> Perhaps they were right and he was wrong, but these arrogant ones do not appear to be facing the future squarely; this places a strain on all his nerves, and he is straining with his </t>
    </r>
    <r>
      <rPr>
        <b/>
        <sz val="11"/>
        <color theme="1"/>
        <rFont val="Arial"/>
      </rPr>
      <t>honor</t>
    </r>
    <r>
      <rPr>
        <sz val="11"/>
        <color theme="1"/>
        <rFont val="Arial"/>
      </rPr>
      <t xml:space="preserve"> and good name on the line, struggling to recoup all that he had lost.</t>
    </r>
  </si>
  <si>
    <t>collective honor as community property — betrayal of group solidarity, loss of group honor</t>
  </si>
  <si>
    <t>To them she had done worse than murder her father. She had tried to betray him into disloyalty to the South. And to that grim and close-knit community it was as if she had tried to betray the honor of them all. She had broken the solid front the County presented to the world. By her attempt to get money from the Yankee government she had aligned herself with Carpetbaggers and Scallawags, more hated enemies than the Yankee soldiers had ever been. She, a member of an old and staunchly Confederate family, a planter's family, had gone over to the enemy and by so doing had brought shame on every family in the County.</t>
  </si>
  <si>
    <r>
      <rPr>
        <b/>
        <sz val="11"/>
        <color theme="1"/>
        <rFont val="Arial"/>
      </rPr>
      <t>TERM:</t>
    </r>
    <r>
      <rPr>
        <sz val="11"/>
        <color theme="1"/>
        <rFont val="Arial"/>
      </rPr>
      <t xml:space="preserve"> KÜYE (КҮЙЕ) — soot; grime (used metaphorically: "stain") [KED, SZK]
</t>
    </r>
    <r>
      <rPr>
        <b/>
        <sz val="11"/>
        <color theme="1"/>
        <rFont val="Arial"/>
      </rPr>
      <t>PASSAGE:</t>
    </r>
    <r>
      <rPr>
        <sz val="11"/>
        <color theme="1"/>
        <rFont val="Arial"/>
      </rPr>
      <t xml:space="preserve"> Конфедерацияға шын берілген, плантатор отбасында туған әйел қас дұшпанға тек өз басын ғана иген жоқ, күллі графтықтардың бетіне </t>
    </r>
    <r>
      <rPr>
        <b/>
        <sz val="11"/>
        <color theme="1"/>
        <rFont val="Arial"/>
      </rPr>
      <t>күйе</t>
    </r>
    <r>
      <rPr>
        <sz val="11"/>
        <color theme="1"/>
        <rFont val="Arial"/>
      </rPr>
      <t xml:space="preserve"> жақты.
</t>
    </r>
    <r>
      <rPr>
        <b/>
        <sz val="11"/>
        <color theme="1"/>
        <rFont val="Arial"/>
      </rPr>
      <t>TRANS:</t>
    </r>
    <r>
      <rPr>
        <sz val="11"/>
        <color theme="1"/>
        <rFont val="Arial"/>
      </rPr>
      <t xml:space="preserve"> Konfederasiağa şyn berılgen, plantator otbasynda tuğan äiel qas dūşpanğa tek öz basyn ğana igen joq, küllı graftyqtardyñ betıne </t>
    </r>
    <r>
      <rPr>
        <b/>
        <sz val="11"/>
        <color theme="1"/>
        <rFont val="Arial"/>
      </rPr>
      <t>küie</t>
    </r>
    <r>
      <rPr>
        <sz val="11"/>
        <color theme="1"/>
        <rFont val="Arial"/>
      </rPr>
      <t xml:space="preserve"> jaqty.
</t>
    </r>
    <r>
      <rPr>
        <b/>
        <sz val="11"/>
        <color theme="1"/>
        <rFont val="Arial"/>
      </rPr>
      <t>TRANSLATION:</t>
    </r>
    <r>
      <rPr>
        <sz val="11"/>
        <color theme="1"/>
        <rFont val="Arial"/>
      </rPr>
      <t xml:space="preserve"> A woman truly devoted to the Confederacy, born in a planter's family — she did not only bow her head to the arch-enemy, she put </t>
    </r>
    <r>
      <rPr>
        <b/>
        <sz val="11"/>
        <color theme="1"/>
        <rFont val="Arial"/>
      </rPr>
      <t>soot</t>
    </r>
    <r>
      <rPr>
        <sz val="11"/>
        <color theme="1"/>
        <rFont val="Arial"/>
      </rPr>
      <t xml:space="preserve"> on the faces of all the counties.</t>
    </r>
  </si>
  <si>
    <t>social honor — reputation, community standing, behavior, publicly conferred dignity</t>
  </si>
  <si>
    <t>She could talk to him about almost everything, with no care for concealing her motives or her real opinions and she never ran out of things to say as she did with Frank—or even with Ashley, if she must be honest with herself. But of course, in all her conversations with Ashley there were so many things which could not be said, for honor's sake, that the sheer force of them inhibited other remarks.</t>
  </si>
  <si>
    <t>TERM: soobrazheniya chesti (соображения чести) — considerations of honour [ORD] (lemma: соображение)
PASSAGE: Правда, когда она разговаривала с Эшли, возникало много такого, чего соображения чести не позволяли ей говорить, и эти невысказанные слова и мысли, естественно, влияли на ход беседы.
TRANS: Pravda, kogda ona razgovarivala s Eshli, voznikalo mnogo takogo, chego soobrazheniya chesti ne pozvolyali ey govorit', i eti nevyskazannye slova i mysli, estestvenno, vliyali na khod besedy.
TRANSLATION: True, when she spoke with Ashley, much arose that considerations of honor did not allow her to say, and these unspoken words and thoughts, naturally, influenced the course of the conversation.</t>
  </si>
  <si>
    <r>
      <rPr>
        <b/>
        <sz val="11"/>
        <color theme="1"/>
        <rFont val="Arial"/>
      </rPr>
      <t>TERM:</t>
    </r>
    <r>
      <rPr>
        <sz val="11"/>
        <color theme="1"/>
        <rFont val="Arial"/>
      </rPr>
      <t xml:space="preserve"> AR (АР) — honour; conscience; inalienable inner moral principle [KED, SZK]
</t>
    </r>
    <r>
      <rPr>
        <b/>
        <sz val="11"/>
        <color theme="1"/>
        <rFont val="Arial"/>
      </rPr>
      <t>PASSAGE:</t>
    </r>
    <r>
      <rPr>
        <sz val="11"/>
        <color theme="1"/>
        <rFont val="Arial"/>
      </rPr>
      <t xml:space="preserve"> Анығында, Эшлимен әңгімелескенде кейбір </t>
    </r>
    <r>
      <rPr>
        <b/>
        <sz val="11"/>
        <color theme="1"/>
        <rFont val="Arial"/>
      </rPr>
      <t>ары</t>
    </r>
    <r>
      <rPr>
        <sz val="11"/>
        <color theme="1"/>
        <rFont val="Arial"/>
      </rPr>
      <t xml:space="preserve"> жібермейтін нәрселер, айтылмай қалған ойлар әңгіме өрбуіне тосқауыл болып, кеселін тигізетін.
</t>
    </r>
    <r>
      <rPr>
        <b/>
        <sz val="11"/>
        <color theme="1"/>
        <rFont val="Arial"/>
      </rPr>
      <t>TRANS:</t>
    </r>
    <r>
      <rPr>
        <sz val="11"/>
        <color theme="1"/>
        <rFont val="Arial"/>
      </rPr>
      <t xml:space="preserve"> Anyğynda, Eşlimen äñgımeleskende keibır </t>
    </r>
    <r>
      <rPr>
        <b/>
        <sz val="11"/>
        <color theme="1"/>
        <rFont val="Arial"/>
      </rPr>
      <t>ary</t>
    </r>
    <r>
      <rPr>
        <sz val="11"/>
        <color theme="1"/>
        <rFont val="Arial"/>
      </rPr>
      <t xml:space="preserve"> jıbermeitın närseler, aitylmai qalğan oilar äñgıme örbuıne tosqauyl bolyp, keselın tigızetın.
</t>
    </r>
    <r>
      <rPr>
        <b/>
        <sz val="11"/>
        <color theme="1"/>
        <rFont val="Arial"/>
      </rPr>
      <t>TRANSLATION:</t>
    </r>
    <r>
      <rPr>
        <sz val="11"/>
        <color theme="1"/>
        <rFont val="Arial"/>
      </rPr>
      <t xml:space="preserve"> In truth, when she conversed with Ashley, things that her sense of </t>
    </r>
    <r>
      <rPr>
        <b/>
        <sz val="11"/>
        <color theme="1"/>
        <rFont val="Arial"/>
      </rPr>
      <t>honor</t>
    </r>
    <r>
      <rPr>
        <sz val="11"/>
        <color theme="1"/>
        <rFont val="Arial"/>
      </rPr>
      <t xml:space="preserve"> would not let her speak — those unsaid thoughts — became obstacles to the development of conversation and disrupted it.</t>
    </r>
  </si>
  <si>
    <t>Ironic, quotative description by Rhett</t>
  </si>
  <si>
    <t>"Oh, yes, I know. Let's grant that he does the best he can but I don't imagine he's much help. You'll never make a farm hand out of a Wilkes—or anything else that's useful. The breed is purely ornamental. Now, quiet your ruffled feathers and overlook my boorish remarks about the proud and honorable Ashley. Strange how these illusions will persist even in women as hard headed as you are. How much money do you want and what do you want it for?"</t>
  </si>
  <si>
    <t>TERM: vysokochtimogo (высокочтимого) — highly respected; revered (adj. masc. gen., archaic-elevated) [ORD] (lemma: высокочтимый)
PASSAGE: Ну, а теперь пригладьте свои взъерошенные перышки и забудьте о моих грубых высказываниях по адресу гордого и высокочтимого Эшли.
TRANS: Nu, a teper' priglad'te svoi vz"eroshennye peryshki i zabud'te o moikh grubykh vyskazyvaniyakh po adresu gordogo i vysokochtimogo Eshli.
TRANSLATION: Well, now smooth out your ruffled feathers and forget my crude remarks at the address of the proud and highly-revered Ashley.</t>
  </si>
  <si>
    <r>
      <rPr>
        <b/>
        <sz val="11"/>
        <color theme="1"/>
        <rFont val="Arial"/>
      </rPr>
      <t>TERM:</t>
    </r>
    <r>
      <rPr>
        <sz val="11"/>
        <color theme="1"/>
        <rFont val="Arial"/>
      </rPr>
      <t xml:space="preserve"> QADIRLI (ҚАДІРЛІ) — respected; held in due regard [KED, SZK]
</t>
    </r>
    <r>
      <rPr>
        <b/>
        <sz val="11"/>
        <color theme="1"/>
        <rFont val="Arial"/>
      </rPr>
      <t>PASSAGE:</t>
    </r>
    <r>
      <rPr>
        <sz val="11"/>
        <color theme="1"/>
        <rFont val="Arial"/>
      </rPr>
      <t xml:space="preserve"> Ал енді өзіңіздің шашылып, үкі-түкі болған қауырсындарыңызды тегістеп жіберіңіз де, менің мақтаншақ та аса </t>
    </r>
    <r>
      <rPr>
        <b/>
        <sz val="11"/>
        <color theme="1"/>
        <rFont val="Arial"/>
      </rPr>
      <t>қадірлі</t>
    </r>
    <r>
      <rPr>
        <sz val="11"/>
        <color theme="1"/>
        <rFont val="Arial"/>
      </rPr>
      <t xml:space="preserve"> Эшлиіңіздің ауласына атқан тасымды жинап ала қойыңыз да, ерсі сөздерімді ұмытып қалыңыз.
</t>
    </r>
    <r>
      <rPr>
        <b/>
        <sz val="11"/>
        <color theme="1"/>
        <rFont val="Arial"/>
      </rPr>
      <t>TRANS:</t>
    </r>
    <r>
      <rPr>
        <sz val="11"/>
        <color theme="1"/>
        <rFont val="Arial"/>
      </rPr>
      <t xml:space="preserve"> Al endı özıñızdıñ şaşylyp, ükı-tükı bolğan qauyrsyndaryñyzdy tegıstep jıberıñız de, menıñ maqtanşaq ta asa </t>
    </r>
    <r>
      <rPr>
        <b/>
        <sz val="11"/>
        <color theme="1"/>
        <rFont val="Arial"/>
      </rPr>
      <t>qadırlı</t>
    </r>
    <r>
      <rPr>
        <sz val="11"/>
        <color theme="1"/>
        <rFont val="Arial"/>
      </rPr>
      <t xml:space="preserve"> Eşliıñızdıñ aulasyna atqan tasymdy jinap ala qoiyñyz da, ersı sözderımdı ūmytyp qalyñyz.
</t>
    </r>
    <r>
      <rPr>
        <b/>
        <sz val="11"/>
        <color theme="1"/>
        <rFont val="Arial"/>
      </rPr>
      <t>TRANSLATION:</t>
    </r>
    <r>
      <rPr>
        <sz val="11"/>
        <color theme="1"/>
        <rFont val="Arial"/>
      </rPr>
      <t xml:space="preserve"> And now smooth out your scattered, downy-fluffed feathers, gather up the stones I have thrown at the courtyard of your boastful and </t>
    </r>
    <r>
      <rPr>
        <b/>
        <sz val="11"/>
        <color theme="1"/>
        <rFont val="Arial"/>
      </rPr>
      <t>highly esteemed</t>
    </r>
    <r>
      <rPr>
        <sz val="11"/>
        <color theme="1"/>
        <rFont val="Arial"/>
      </rPr>
      <t xml:space="preserve"> Ashley, and forget my unseemly words.</t>
    </r>
  </si>
  <si>
    <t>Would he hate her now, her darling honorable Ashley, because she had shamed him?</t>
  </si>
  <si>
    <t>TERM: blagorodnyy (благородный) — noble; of noble character [ORD]
PASSAGE: Неужели он теперь возненавидит ее — он, ее дорогой благородный Эшли, — за то, что она опозорила его?
TRANS: Neuzheli on teper' voznenavidit ee — on, ee dorogoy blagorodnyy Eshli, — za to, chto ona opozorila ego?
TRANSLATION: Could it be that he will now hate her — he, her dear noble Ashley — because she has disgraced him?</t>
  </si>
  <si>
    <r>
      <rPr>
        <b/>
        <sz val="11"/>
        <color theme="1"/>
        <rFont val="Arial"/>
      </rPr>
      <t>TERM:</t>
    </r>
    <r>
      <rPr>
        <sz val="11"/>
        <color theme="1"/>
        <rFont val="Arial"/>
      </rPr>
      <t xml:space="preserve"> ASYL (АСЫЛ) — noble; precious; intrinsically valuable [KED, SZK]
</t>
    </r>
    <r>
      <rPr>
        <b/>
        <sz val="11"/>
        <color theme="1"/>
        <rFont val="Arial"/>
      </rPr>
      <t>PASSAGE:</t>
    </r>
    <r>
      <rPr>
        <sz val="11"/>
        <color theme="1"/>
        <rFont val="Arial"/>
      </rPr>
      <t xml:space="preserve"> Мұның өзіне тигізген зиянынан кейін </t>
    </r>
    <r>
      <rPr>
        <b/>
        <sz val="11"/>
        <color theme="1"/>
        <rFont val="Arial"/>
      </rPr>
      <t>асыл</t>
    </r>
    <r>
      <rPr>
        <sz val="11"/>
        <color theme="1"/>
        <rFont val="Arial"/>
      </rPr>
      <t xml:space="preserve"> </t>
    </r>
    <r>
      <rPr>
        <b/>
        <sz val="11"/>
        <color theme="1"/>
        <rFont val="Arial"/>
      </rPr>
      <t>текті</t>
    </r>
    <r>
      <rPr>
        <sz val="11"/>
        <color theme="1"/>
        <rFont val="Arial"/>
      </rPr>
      <t xml:space="preserve"> Эшлиін көре алмас па екен, тіпті бұл туралы білгісі де келмей қалар ма екен, қайтер екен?
</t>
    </r>
    <r>
      <rPr>
        <b/>
        <sz val="11"/>
        <color theme="1"/>
        <rFont val="Arial"/>
      </rPr>
      <t>TRANS:</t>
    </r>
    <r>
      <rPr>
        <sz val="11"/>
        <color theme="1"/>
        <rFont val="Arial"/>
      </rPr>
      <t xml:space="preserve"> Mūnyñ özıne tigızgen zianynan keiın </t>
    </r>
    <r>
      <rPr>
        <b/>
        <sz val="11"/>
        <color theme="1"/>
        <rFont val="Arial"/>
      </rPr>
      <t>asyl</t>
    </r>
    <r>
      <rPr>
        <sz val="11"/>
        <color theme="1"/>
        <rFont val="Arial"/>
      </rPr>
      <t xml:space="preserve"> </t>
    </r>
    <r>
      <rPr>
        <b/>
        <sz val="11"/>
        <color theme="1"/>
        <rFont val="Arial"/>
      </rPr>
      <t>tektı</t>
    </r>
    <r>
      <rPr>
        <sz val="11"/>
        <color theme="1"/>
        <rFont val="Arial"/>
      </rPr>
      <t xml:space="preserve"> Eşliın köre almas pa eken, tıptı būl turaly bılgısı de kelmei qalar ma eken, qaiter eken?
</t>
    </r>
    <r>
      <rPr>
        <b/>
        <sz val="11"/>
        <color theme="1"/>
        <rFont val="Arial"/>
      </rPr>
      <t>TRANSLATION:</t>
    </r>
    <r>
      <rPr>
        <sz val="11"/>
        <color theme="1"/>
        <rFont val="Arial"/>
      </rPr>
      <t xml:space="preserve"> After the harm she has caused him, could it be that her </t>
    </r>
    <r>
      <rPr>
        <b/>
        <sz val="11"/>
        <color theme="1"/>
        <rFont val="Arial"/>
      </rPr>
      <t>noble-blooded</t>
    </r>
    <r>
      <rPr>
        <sz val="11"/>
        <color theme="1"/>
        <rFont val="Arial"/>
      </rPr>
      <t xml:space="preserve"> Ashley would not be able to bear the sight of her, would no longer want to know about it, what would he do?</t>
    </r>
  </si>
  <si>
    <t>Then, as an afterthought, he added: "The honorable Ashley was over here last night. He wanted to know if I thought you would sell him your mill and the part interest you have in his."</t>
  </si>
  <si>
    <t>TERM: mnogouvazhaemyy (многоуважаемый) — much respected; honoured (epithet) [ORD]
PASSAGE: Кстати, вчера вечером у нас тут был многоуважаемый Эшли.
TRANS: Kstati, vchera vecherom u nas tut byl mnogouvazhaemyy Eshli.
TRANSLATION: By the way, last evening the much-respected Ashley was here.</t>
  </si>
  <si>
    <r>
      <rPr>
        <b/>
        <sz val="11"/>
        <color theme="1"/>
        <rFont val="Arial"/>
      </rPr>
      <t>TERM:</t>
    </r>
    <r>
      <rPr>
        <sz val="11"/>
        <color theme="1"/>
        <rFont val="Arial"/>
      </rPr>
      <t xml:space="preserve"> QŪRMETTI (ҚҰРМЕТTІ) = құрмет respected, honourable
</t>
    </r>
    <r>
      <rPr>
        <b/>
        <sz val="11"/>
        <color theme="1"/>
        <rFont val="Arial"/>
      </rPr>
      <t>PASSAGE:</t>
    </r>
    <r>
      <rPr>
        <sz val="11"/>
        <color theme="1"/>
        <rFont val="Arial"/>
      </rPr>
      <t xml:space="preserve"> Айтпақшы, кеше кешкісін бізге аса </t>
    </r>
    <r>
      <rPr>
        <b/>
        <sz val="11"/>
        <color theme="1"/>
        <rFont val="Arial"/>
      </rPr>
      <t>құрметті</t>
    </r>
    <r>
      <rPr>
        <sz val="11"/>
        <color theme="1"/>
        <rFont val="Arial"/>
      </rPr>
      <t xml:space="preserve"> Эшли келіп кетті.
</t>
    </r>
    <r>
      <rPr>
        <b/>
        <sz val="11"/>
        <color theme="1"/>
        <rFont val="Arial"/>
      </rPr>
      <t>TRANS:</t>
    </r>
    <r>
      <rPr>
        <sz val="11"/>
        <color theme="1"/>
        <rFont val="Arial"/>
      </rPr>
      <t xml:space="preserve"> Aitpaqşy, keşe keşkısın bızge asa </t>
    </r>
    <r>
      <rPr>
        <b/>
        <sz val="11"/>
        <color theme="1"/>
        <rFont val="Arial"/>
      </rPr>
      <t>qūrmettı</t>
    </r>
    <r>
      <rPr>
        <sz val="11"/>
        <color theme="1"/>
        <rFont val="Arial"/>
      </rPr>
      <t xml:space="preserve"> Eşli kelıp kettı.
</t>
    </r>
    <r>
      <rPr>
        <b/>
        <sz val="11"/>
        <color theme="1"/>
        <rFont val="Arial"/>
      </rPr>
      <t>TRANSLATION:</t>
    </r>
    <r>
      <rPr>
        <sz val="11"/>
        <color theme="1"/>
        <rFont val="Arial"/>
      </rPr>
      <t xml:space="preserve"> By the way, the </t>
    </r>
    <r>
      <rPr>
        <b/>
        <sz val="11"/>
        <color theme="1"/>
        <rFont val="Arial"/>
      </rPr>
      <t>highly esteemed</t>
    </r>
    <r>
      <rPr>
        <sz val="11"/>
        <color theme="1"/>
        <rFont val="Arial"/>
      </rPr>
      <t xml:space="preserve"> Ashley came to us yesterday evening.</t>
    </r>
  </si>
  <si>
    <t>It had been her experience that the liar was the hottest to defend his veracity, the coward his courage, the ill-bred his gentlemanliness, and the cad his honor. But not Rhett. He admitted everything and laughed and dared her to say more.</t>
  </si>
  <si>
    <t>cad</t>
  </si>
  <si>
    <t>TERM: chest' (честь) — honour; honor [ORD]
PASSAGE: Она привыкла считать, что никто с таким жаром не доказывает свою правдивость, как лжец, свою храбрость — как трус, свою учтивость — как дурно воспитанный человек, свою незапятнанную честь — как подонок.
TRANS: Ona privykla schitat', chto nikto s takim zharom ne dokazyvaet svoyu pravdivost', kak lzhets, svoyu khrabrost' — kak trus, svoyu uchtivost' — kak durno vospitannyy chelovek, svoyu nezapyatnannuyu chest' — kak podonok.
TRANSLATION: She had grown used to thinking that no one defends his truthfulness as fervently as a liar, his bravery as a coward, his courtesy as an ill-bred man, his unblemished honor as a scoundrel.</t>
  </si>
  <si>
    <r>
      <rPr>
        <b/>
        <sz val="11"/>
        <color theme="1"/>
        <rFont val="Arial"/>
      </rPr>
      <t>TERM:</t>
    </r>
    <r>
      <rPr>
        <sz val="11"/>
        <color theme="1"/>
        <rFont val="Arial"/>
      </rPr>
      <t xml:space="preserve"> abyroi (абырой) — dignity; prestige; public standing; reputation (Arabic-Persian loan) [KED, SZK]
</t>
    </r>
    <r>
      <rPr>
        <b/>
        <sz val="11"/>
        <color theme="1"/>
        <rFont val="Arial"/>
      </rPr>
      <t>PASSAGE:</t>
    </r>
    <r>
      <rPr>
        <sz val="11"/>
        <color theme="1"/>
        <rFont val="Arial"/>
      </rPr>
      <t xml:space="preserve"> Одан басқа ешбір адамның шыншылдығын өтірікші ретінде, батылдығын қорқақ сияқты, сыпайылығын тәрбиесіз адам сияқты, дақ түспеген </t>
    </r>
    <r>
      <rPr>
        <b/>
        <sz val="11"/>
        <color theme="1"/>
        <rFont val="Arial"/>
      </rPr>
      <t>абыройын</t>
    </r>
    <r>
      <rPr>
        <sz val="11"/>
        <color theme="1"/>
        <rFont val="Arial"/>
      </rPr>
      <t xml:space="preserve"> азғын сияқты көрсетпейтіні анық.
</t>
    </r>
    <r>
      <rPr>
        <b/>
        <sz val="11"/>
        <color theme="1"/>
        <rFont val="Arial"/>
      </rPr>
      <t>TRANS:</t>
    </r>
    <r>
      <rPr>
        <sz val="11"/>
        <color theme="1"/>
        <rFont val="Arial"/>
      </rPr>
      <t xml:space="preserve"> Odan basqa eşbır adamnyñ şynşyldyğyn ötırıkşı retınde, batyldyğyn qorqaq siaqty, sypaiylyğyn tärbiesız adam siaqty, daq tüspegen </t>
    </r>
    <r>
      <rPr>
        <b/>
        <sz val="11"/>
        <color theme="1"/>
        <rFont val="Arial"/>
      </rPr>
      <t>abyroiyn</t>
    </r>
    <r>
      <rPr>
        <sz val="11"/>
        <color theme="1"/>
        <rFont val="Arial"/>
      </rPr>
      <t xml:space="preserve"> azğyn siaqty körsetpeitını anyq.
</t>
    </r>
    <r>
      <rPr>
        <b/>
        <sz val="11"/>
        <color theme="1"/>
        <rFont val="Arial"/>
      </rPr>
      <t>TRANSLATION:</t>
    </r>
    <r>
      <rPr>
        <sz val="11"/>
        <color theme="1"/>
        <rFont val="Arial"/>
      </rPr>
      <t xml:space="preserve"> It is clear that no other person defends his truthfulness as a liar does, his courage as a coward does, his politeness as an ill-bred man does, his unstained </t>
    </r>
    <r>
      <rPr>
        <b/>
        <sz val="11"/>
        <color theme="1"/>
        <rFont val="Arial"/>
      </rPr>
      <t>honor/dignity</t>
    </r>
    <r>
      <rPr>
        <sz val="11"/>
        <color theme="1"/>
        <rFont val="Arial"/>
      </rPr>
      <t xml:space="preserve"> as a depraved man does.</t>
    </r>
  </si>
  <si>
    <t>Honor — Tribute / glory</t>
  </si>
  <si>
    <t>The Troop bowed to real worth and moreover, because they liked him, they made him an officer. He bore the honor gravely and with no untoward conceit, as though it were only his due</t>
  </si>
  <si>
    <t>TERM: chest' (честь) — honour; honor [ORD]
PASSAGE: Он принял оказанную ему честь с достоинством и без излишнего зазнайства — просто как положенное.
TRANS: On prinyal okazannuyu emu chest' s dostoinstvom i bez izlishnego zaznaystva — prosto kak polozhennoe.
TRANSLATION: He accepted the honor bestowed on him with dignity and without excessive vanity — simply as something due.</t>
  </si>
  <si>
    <r>
      <rPr>
        <b/>
        <sz val="11"/>
        <color theme="1"/>
        <rFont val="Arial"/>
      </rPr>
      <t>TERM:</t>
    </r>
    <r>
      <rPr>
        <sz val="11"/>
        <color theme="1"/>
        <rFont val="Arial"/>
      </rPr>
      <t xml:space="preserve"> QŪRMET (ҚҰРМЕТ) — respect; honouring (the act of paying respect) [KED, SZK]
</t>
    </r>
    <r>
      <rPr>
        <b/>
        <sz val="11"/>
        <color theme="1"/>
        <rFont val="Arial"/>
      </rPr>
      <t>PASSAGE:</t>
    </r>
    <r>
      <rPr>
        <sz val="11"/>
        <color theme="1"/>
        <rFont val="Arial"/>
      </rPr>
      <t xml:space="preserve"> Ол өзіне берілген </t>
    </r>
    <r>
      <rPr>
        <b/>
        <sz val="11"/>
        <color theme="1"/>
        <rFont val="Arial"/>
      </rPr>
      <t>құрметті</t>
    </r>
    <r>
      <rPr>
        <sz val="11"/>
        <color theme="1"/>
        <rFont val="Arial"/>
      </rPr>
      <t xml:space="preserve"> дандайсымай, абыроймен лайықты түрде қабылдады.
</t>
    </r>
    <r>
      <rPr>
        <b/>
        <sz val="11"/>
        <color theme="1"/>
        <rFont val="Arial"/>
      </rPr>
      <t>TRANS:</t>
    </r>
    <r>
      <rPr>
        <sz val="11"/>
        <color theme="1"/>
        <rFont val="Arial"/>
      </rPr>
      <t xml:space="preserve"> Ol özıne berılgen </t>
    </r>
    <r>
      <rPr>
        <b/>
        <sz val="11"/>
        <color theme="1"/>
        <rFont val="Arial"/>
      </rPr>
      <t>qūrmettı</t>
    </r>
    <r>
      <rPr>
        <sz val="11"/>
        <color theme="1"/>
        <rFont val="Arial"/>
      </rPr>
      <t xml:space="preserve"> dandaisymai, abyroimen laiyqty türde qabyldady.
</t>
    </r>
    <r>
      <rPr>
        <b/>
        <sz val="11"/>
        <color theme="1"/>
        <rFont val="Arial"/>
      </rPr>
      <t>TRANSLATION:</t>
    </r>
    <r>
      <rPr>
        <sz val="11"/>
        <color theme="1"/>
        <rFont val="Arial"/>
      </rPr>
      <t xml:space="preserve"> He accepted the </t>
    </r>
    <r>
      <rPr>
        <b/>
        <sz val="11"/>
        <color theme="1"/>
        <rFont val="Arial"/>
      </rPr>
      <t>honor</t>
    </r>
    <r>
      <rPr>
        <sz val="11"/>
        <color theme="1"/>
        <rFont val="Arial"/>
      </rPr>
      <t xml:space="preserve"> given to him with dignity and propriety, without showing off.</t>
    </r>
  </si>
  <si>
    <t>military / social honor as aspiration — glory, public recognition</t>
  </si>
  <si>
    <t>The unfortunate boy had not only been cheated of the love he thought he had won but also of his high hopes of honor and glory on the field of battle.</t>
  </si>
  <si>
    <t>PASSAGE: Судьба обманула незадачливого мальчика, не подарив ему ни любви, которую, как ему казалось, он завоевал, ни воинских подвигов на полях сражений.
TRANS: Sud'ba obmanula nezadachlivogo mal'chika, ne podariv emu ni lyubvi, kotoruyu, kak emu kazalos', on zavoeval, ni voinskikh podvigov na polyakh srazheniy.
TRANSLATION: Fate deceived the unfortunate boy, granting him neither the love that he thought he had won, nor military feats on the fields of battle.</t>
  </si>
  <si>
    <r>
      <rPr>
        <b/>
        <sz val="11"/>
        <color theme="1"/>
        <rFont val="Arial"/>
      </rPr>
      <t>PASSAGE:</t>
    </r>
    <r>
      <rPr>
        <sz val="11"/>
        <color theme="1"/>
        <rFont val="Arial"/>
      </rPr>
      <t xml:space="preserve"> Тағдыр аңқау баланы алдап, оған жаулап алдым деп ойлаған махаббатты да, ұрыс даласындағы әскері ерліктерді де бұйыртпады.
</t>
    </r>
    <r>
      <rPr>
        <b/>
        <sz val="11"/>
        <color theme="1"/>
        <rFont val="Arial"/>
      </rPr>
      <t>TRANS:</t>
    </r>
    <r>
      <rPr>
        <sz val="11"/>
        <color theme="1"/>
        <rFont val="Arial"/>
      </rPr>
      <t xml:space="preserve"> Tağdyr añqau balany aldap, oğan jaulap aldym dep oilağan mahabbatty da, ūrys dalasyndağy äskerı erlıkterdı de būiyrtpady.
</t>
    </r>
    <r>
      <rPr>
        <b/>
        <sz val="11"/>
        <color theme="1"/>
        <rFont val="Arial"/>
      </rPr>
      <t>TRANSLATION:</t>
    </r>
    <r>
      <rPr>
        <sz val="11"/>
        <color theme="1"/>
        <rFont val="Arial"/>
      </rPr>
      <t xml:space="preserve"> Fate deceived the naive boy: it did not grant him the love he thought he had conquered, nor the military feats on the battlefield.</t>
    </r>
  </si>
  <si>
    <t>But automatically, the words Ellen had taught her to say in such emergencies rose to her lips and casting down her eyes, from force of long habit, she murmured: "Mr. Hamilton, I am not unaware of the honor you have bestowed on me in wanting me to become your wife, but this is all so sudden that I do not know what to say."</t>
  </si>
  <si>
    <t>TERM: chest' (честь) — honour; honor [ORD]
PASSAGE: Мистер Гамильтон, я, разумеется, высоко ценю честь, которую вы оказали мне, прося стать вашей женой,
TRANS: Mister Gamil'ton, ya, razumeetsya, vysoko tsenyu chest', kotoruyu vy okazali mne, prosya stat' vashey zhenoy,
TRANSLATION: Mr. Hamilton, I, of course, value highly the honor that you have shown me by asking me to be your wife,</t>
  </si>
  <si>
    <r>
      <rPr>
        <b/>
        <sz val="11"/>
        <color theme="1"/>
        <rFont val="Arial"/>
      </rPr>
      <t>TERM:</t>
    </r>
    <r>
      <rPr>
        <sz val="11"/>
        <color theme="1"/>
        <rFont val="Arial"/>
      </rPr>
      <t xml:space="preserve"> QŪRMET (ҚҰРМЕТ) — respect; honouring (the act of paying respect) [KED, SZK]
</t>
    </r>
    <r>
      <rPr>
        <b/>
        <sz val="11"/>
        <color theme="1"/>
        <rFont val="Arial"/>
      </rPr>
      <t>PASSAGE:</t>
    </r>
    <r>
      <rPr>
        <sz val="11"/>
        <color theme="1"/>
        <rFont val="Arial"/>
      </rPr>
      <t xml:space="preserve"> Гамильтон мырза, сіздің әйелім деген өтінішіңізді, көрсеткен </t>
    </r>
    <r>
      <rPr>
        <b/>
        <sz val="11"/>
        <color theme="1"/>
        <rFont val="Arial"/>
      </rPr>
      <t>құрметіңізді</t>
    </r>
    <r>
      <rPr>
        <sz val="11"/>
        <color theme="1"/>
        <rFont val="Arial"/>
      </rPr>
      <t xml:space="preserve"> бағалаймын, ...
</t>
    </r>
    <r>
      <rPr>
        <b/>
        <sz val="11"/>
        <color theme="1"/>
        <rFont val="Arial"/>
      </rPr>
      <t>TRANS:</t>
    </r>
    <r>
      <rPr>
        <sz val="11"/>
        <color theme="1"/>
        <rFont val="Arial"/>
      </rPr>
      <t xml:space="preserve"> Gamilton myrza, sızdıñ äielım degen ötınışıñızdı, körsetken </t>
    </r>
    <r>
      <rPr>
        <b/>
        <sz val="11"/>
        <color theme="1"/>
        <rFont val="Arial"/>
      </rPr>
      <t>qūrmetıñızdı</t>
    </r>
    <r>
      <rPr>
        <sz val="11"/>
        <color theme="1"/>
        <rFont val="Arial"/>
      </rPr>
      <t xml:space="preserve"> bağalaimyn, ...
</t>
    </r>
    <r>
      <rPr>
        <b/>
        <sz val="11"/>
        <color theme="1"/>
        <rFont val="Arial"/>
      </rPr>
      <t>TRANSLATION:</t>
    </r>
    <r>
      <rPr>
        <sz val="11"/>
        <color theme="1"/>
        <rFont val="Arial"/>
      </rPr>
      <t xml:space="preserve"> Mr. Hamilton, I value your request that I be your wife and the </t>
    </r>
    <r>
      <rPr>
        <b/>
        <sz val="11"/>
        <color theme="1"/>
        <rFont val="Arial"/>
      </rPr>
      <t>honor</t>
    </r>
    <r>
      <rPr>
        <sz val="11"/>
        <color theme="1"/>
        <rFont val="Arial"/>
      </rPr>
      <t xml:space="preserve"> you have shown me,...</t>
    </r>
  </si>
  <si>
    <t>Suspense grew and the beginnings of dread slowly crawled over the town. Nothing was so bad as not knowing what was happening. Families with sons at the front prayed fervently that their boys were not in Pennsylvania, but those who knew their relatives were in the same regiment with Darcy Meade clamped their teeth and said it was an honor for them to be in the big fight that would lick the Yankees for good and all.</t>
  </si>
  <si>
    <t>TERM: chesti (чести) — honour (gen./dat./prep.) [ORD] (lemma: честь)
PASSAGE: заявляли, что рады выпавшей на долю этих храбрецов чести участвовать в великой битве,
TRANS: zayavlyali, chto rady vypavshey na dolyu etikh khrabretsov chesti uchastvovat' v velikoy bitve,
TRANSLATION: declared that they were glad of the honor that had befallen these brave men of participating in the great battle,</t>
  </si>
  <si>
    <r>
      <rPr>
        <b/>
        <sz val="11"/>
        <color theme="1"/>
        <rFont val="Arial"/>
      </rPr>
      <t>TERM:</t>
    </r>
    <r>
      <rPr>
        <sz val="11"/>
        <color theme="1"/>
        <rFont val="Arial"/>
      </rPr>
      <t xml:space="preserve"> QŪRMET (ҚҰРМЕТ) — respect; honouring (the act of paying respect) [KED, SZK]
</t>
    </r>
    <r>
      <rPr>
        <b/>
        <sz val="11"/>
        <color theme="1"/>
        <rFont val="Arial"/>
      </rPr>
      <t>PASSAGE:</t>
    </r>
    <r>
      <rPr>
        <sz val="11"/>
        <color theme="1"/>
        <rFont val="Arial"/>
      </rPr>
      <t xml:space="preserve"> ұлы шайқасқа қатысу </t>
    </r>
    <r>
      <rPr>
        <b/>
        <sz val="11"/>
        <color theme="1"/>
        <rFont val="Arial"/>
      </rPr>
      <t>құрметі</t>
    </r>
    <r>
      <rPr>
        <sz val="11"/>
        <color theme="1"/>
        <rFont val="Arial"/>
      </rPr>
      <t xml:space="preserve"> бұйрығына қуанышты екенін мәлімдеді.
</t>
    </r>
    <r>
      <rPr>
        <b/>
        <sz val="11"/>
        <color theme="1"/>
        <rFont val="Arial"/>
      </rPr>
      <t>TRANS:</t>
    </r>
    <r>
      <rPr>
        <sz val="11"/>
        <color theme="1"/>
        <rFont val="Arial"/>
      </rPr>
      <t xml:space="preserve"> ūly şaiqasqa qatysu </t>
    </r>
    <r>
      <rPr>
        <b/>
        <sz val="11"/>
        <color theme="1"/>
        <rFont val="Arial"/>
      </rPr>
      <t>qūrmetı</t>
    </r>
    <r>
      <rPr>
        <sz val="11"/>
        <color theme="1"/>
        <rFont val="Arial"/>
      </rPr>
      <t xml:space="preserve"> būiryğyna quanyşty ekenın mälımdedı.
</t>
    </r>
    <r>
      <rPr>
        <b/>
        <sz val="11"/>
        <color theme="1"/>
        <rFont val="Arial"/>
      </rPr>
      <t>TRANSLATION:</t>
    </r>
    <r>
      <rPr>
        <sz val="11"/>
        <color theme="1"/>
        <rFont val="Arial"/>
      </rPr>
      <t xml:space="preserve"> declared that they were rejoicing over the </t>
    </r>
    <r>
      <rPr>
        <b/>
        <sz val="11"/>
        <color theme="1"/>
        <rFont val="Arial"/>
      </rPr>
      <t>honor</t>
    </r>
    <r>
      <rPr>
        <sz val="11"/>
        <color theme="1"/>
        <rFont val="Arial"/>
      </rPr>
      <t xml:space="preserve"> of being called to participate in the great battle.</t>
    </r>
  </si>
  <si>
    <t>honor cited ironically / sarcastically — Rhett's deflation of the concept – dubious honor</t>
  </si>
  <si>
    <t>They do me the dubious honor of thinking me almost one of them because they know my—shall we call it my 'unpopularity'?—among my townsmen. And you see, I was playing poker in Belle's bar earlier in the evening. There are a dozen Yankee soldiers who can testify to that. And Belle and her girls will gladly lie themselves black in the face and say Mr. Wilkes and the others were—upstairs all evening. And the Yankees will believe them. Yankees are queer that way. It won't occur to them that women of—their profession are capable of intense loyalty or patriotism. The Yankees wouldn't take the word of a single nice Atlanta lady as to the whereabouts of the men who were supposed to be at the meeting tonight but they will take the word of—fancy ladies. And I think that between the word of honor of a Scallawag and a dozen fancy ladies, we may have a chance of getting the men off."</t>
  </si>
  <si>
    <t>TERM: chest' (честь) — honour; honor [ORD]
PASSAGE: Они оказывают мне сомнительную честь, считая за своего, ибо знают мою… назовем это «непопулярность»… среди земляков.
TRANS: Oni okazyvayut mne somnitel'nuyu chest', schitaya za svoego, ibo znayut moyu… nazovem eto «nepopulyarnost'»… sredi zemlyakov.
TRANSLATION: They do me the doubtful honor of considering me one of their own, for they know my... let us call it "unpopularity"... among my fellow countrymen.</t>
  </si>
  <si>
    <r>
      <rPr>
        <b/>
        <sz val="11"/>
        <color theme="1"/>
        <rFont val="Arial"/>
      </rPr>
      <t>PASSAGE:</t>
    </r>
    <r>
      <rPr>
        <sz val="11"/>
        <color theme="1"/>
        <rFont val="Arial"/>
      </rPr>
      <t xml:space="preserve"> Маған күмәнданса да, өздерінің адамдары ретінде қарайтын кездері де бар. Әлде менің өз жерлестерімнің арасындағы «танымал еместігімді» біле ме.
</t>
    </r>
    <r>
      <rPr>
        <b/>
        <sz val="11"/>
        <color theme="1"/>
        <rFont val="Arial"/>
      </rPr>
      <t>TRANS:</t>
    </r>
    <r>
      <rPr>
        <sz val="11"/>
        <color theme="1"/>
        <rFont val="Arial"/>
      </rPr>
      <t xml:space="preserve"> Mağan kümändansa da, özderınıñ adamdary retınde qaraityn kezderı de bar. Älde menıñ öz jerlesterımnıñ arasyndağy «tanymal emestıgımdı» bıle me.
</t>
    </r>
    <r>
      <rPr>
        <b/>
        <sz val="11"/>
        <color theme="1"/>
        <rFont val="Arial"/>
      </rPr>
      <t>TRANSLATION:</t>
    </r>
    <r>
      <rPr>
        <sz val="11"/>
        <color theme="1"/>
        <rFont val="Arial"/>
      </rPr>
      <t xml:space="preserve"> There are also times when they look upon me as one of their own, even if they have doubts. Or they may know about my "unpopularity" among my fellow countrymen.</t>
    </r>
  </si>
  <si>
    <t>"Not for honor and glory, certainly. War is a dirty business and I do not like dirt.</t>
  </si>
  <si>
    <t>TERM: pochestey (почестей) — honours; tokens of esteem (gen. pl.) [ORD] (lemma: почести)
PASSAGE: Не ради почестей и славы, разумеется.
TRANS: Ne radi pochestey i slavy, razumeetsya.
TRANSLATION: Not for the sake of honors and glory, of course.</t>
  </si>
  <si>
    <r>
      <rPr>
        <b/>
        <sz val="11"/>
        <color theme="1"/>
        <rFont val="Arial"/>
      </rPr>
      <t>TERM:</t>
    </r>
    <r>
      <rPr>
        <sz val="11"/>
        <color theme="1"/>
        <rFont val="Arial"/>
      </rPr>
      <t xml:space="preserve"> ABYROİ (АБЫРОЙ) — dignity; prestige; public standing; reputation (Arabic-Persian loan) [KED, SZK]
</t>
    </r>
    <r>
      <rPr>
        <b/>
        <sz val="11"/>
        <color theme="1"/>
        <rFont val="Arial"/>
      </rPr>
      <t>PASSAGE:</t>
    </r>
    <r>
      <rPr>
        <sz val="11"/>
        <color theme="1"/>
        <rFont val="Arial"/>
      </rPr>
      <t xml:space="preserve"> Әрине, </t>
    </r>
    <r>
      <rPr>
        <b/>
        <sz val="11"/>
        <color theme="1"/>
        <rFont val="Arial"/>
      </rPr>
      <t>абырой</t>
    </r>
    <r>
      <rPr>
        <sz val="11"/>
        <color theme="1"/>
        <rFont val="Arial"/>
      </rPr>
      <t xml:space="preserve"> мен даңқ үшін емес.
</t>
    </r>
    <r>
      <rPr>
        <b/>
        <sz val="11"/>
        <color theme="1"/>
        <rFont val="Arial"/>
      </rPr>
      <t>TRANS:</t>
    </r>
    <r>
      <rPr>
        <sz val="11"/>
        <color theme="1"/>
        <rFont val="Arial"/>
      </rPr>
      <t xml:space="preserve"> Ärine, </t>
    </r>
    <r>
      <rPr>
        <b/>
        <sz val="11"/>
        <color theme="1"/>
        <rFont val="Arial"/>
      </rPr>
      <t>abyroi</t>
    </r>
    <r>
      <rPr>
        <sz val="11"/>
        <color theme="1"/>
        <rFont val="Arial"/>
      </rPr>
      <t xml:space="preserve"> men dañq üşın emes.
</t>
    </r>
    <r>
      <rPr>
        <b/>
        <sz val="11"/>
        <color theme="1"/>
        <rFont val="Arial"/>
      </rPr>
      <t>TRANSLATION:</t>
    </r>
    <r>
      <rPr>
        <sz val="11"/>
        <color theme="1"/>
        <rFont val="Arial"/>
      </rPr>
      <t xml:space="preserve"> Of course, not for the sake of </t>
    </r>
    <r>
      <rPr>
        <b/>
        <sz val="11"/>
        <color theme="1"/>
        <rFont val="Arial"/>
      </rPr>
      <t>dignity</t>
    </r>
    <r>
      <rPr>
        <sz val="11"/>
        <color theme="1"/>
        <rFont val="Arial"/>
      </rPr>
      <t xml:space="preserve"> and glory.</t>
    </r>
  </si>
  <si>
    <t>Honor — Ironic / mocked</t>
  </si>
  <si>
    <t>"My dear, he doesn't even know you've got a mind. If it was your mind that attracted him, he would not need to struggle against you, as he must have done to keep this love so—shall we say 'holy'? He could rest easily for, after all, a man can admire a woman's mind and soul and still be an honorable gentleman and true to his wife. But it must be difficult for him to reconcile the honor of the Wilkeses with coveting your body as he does."</t>
  </si>
  <si>
    <t>TERM: chest' (честь) — honour; honor [ORD]
PASSAGE: А ему, видимо, трудно примирить честь Уилксов с жаждой обладать вами, которая снедает его.
TRANS: A emu, vidimo, trudno primirit' chest' Uilksov s zhazhdoy obladat' vami, kotoraya snedaet ego.
TRANSLATION: And he, evidently, finds it hard to reconcile the Wilkes honor with the longing to possess you that consumes him.</t>
  </si>
  <si>
    <r>
      <rPr>
        <b/>
        <sz val="11"/>
        <color theme="1"/>
        <rFont val="Arial"/>
      </rPr>
      <t>TERM:</t>
    </r>
    <r>
      <rPr>
        <sz val="11"/>
        <color theme="1"/>
        <rFont val="Arial"/>
      </rPr>
      <t xml:space="preserve"> qūrmetti (ҚҰРМЕТТI) = respected, honoured
 abyroi (АБЫРОЙ) = dignity; authority 
</t>
    </r>
    <r>
      <rPr>
        <b/>
        <sz val="11"/>
        <color theme="1"/>
        <rFont val="Arial"/>
      </rPr>
      <t xml:space="preserve">PASSAGE: </t>
    </r>
    <r>
      <rPr>
        <sz val="11"/>
        <color theme="1"/>
        <rFont val="Arial"/>
      </rPr>
      <t xml:space="preserve">Еркек бәріне </t>
    </r>
    <r>
      <rPr>
        <b/>
        <sz val="11"/>
        <color theme="1"/>
        <rFont val="Arial"/>
      </rPr>
      <t>құрметті</t>
    </r>
    <r>
      <rPr>
        <sz val="11"/>
        <color theme="1"/>
        <rFont val="Arial"/>
      </rPr>
      <t xml:space="preserve"> қожайын бола тұрып, жұбайына да адал күйінде, сүйген әйелінің ақылы мен жан дүниесіне бас ие де алады, тыныш өмірін де сүру алады. Сізді иемденгісі келген ынтық сезімі мен Уилкстердің </t>
    </r>
    <r>
      <rPr>
        <b/>
        <sz val="11"/>
        <color theme="1"/>
        <rFont val="Arial"/>
      </rPr>
      <t>абыройы</t>
    </r>
    <r>
      <rPr>
        <sz val="11"/>
        <color theme="1"/>
        <rFont val="Arial"/>
      </rPr>
      <t xml:space="preserve"> таразыға қатар түскенде, өзін іштен мүжіп жейтін шығар.
</t>
    </r>
    <r>
      <rPr>
        <b/>
        <sz val="11"/>
        <color theme="1"/>
        <rFont val="Arial"/>
      </rPr>
      <t>TRANS:</t>
    </r>
    <r>
      <rPr>
        <sz val="11"/>
        <color theme="1"/>
        <rFont val="Arial"/>
      </rPr>
      <t xml:space="preserve"> Erkek bärıne </t>
    </r>
    <r>
      <rPr>
        <b/>
        <sz val="11"/>
        <color theme="1"/>
        <rFont val="Arial"/>
      </rPr>
      <t>qūrmettı</t>
    </r>
    <r>
      <rPr>
        <sz val="11"/>
        <color theme="1"/>
        <rFont val="Arial"/>
      </rPr>
      <t xml:space="preserve"> qojaiyn bola tūryp, jūbaiyna da adal küiınde, süigen äielınıñ aqyly men jan düniesıne bas ie de alady, tynyş ömırın de süru alady. Sızdı iemdengısı kelgen yntyq sezımı men Uilksterdıñ </t>
    </r>
    <r>
      <rPr>
        <b/>
        <sz val="11"/>
        <color theme="1"/>
        <rFont val="Arial"/>
      </rPr>
      <t>abyroiy</t>
    </r>
    <r>
      <rPr>
        <sz val="11"/>
        <color theme="1"/>
        <rFont val="Arial"/>
      </rPr>
      <t xml:space="preserve"> tarazyğa qatar tüskende, özın ışten müjıp jeitın şyğar.
</t>
    </r>
    <r>
      <rPr>
        <b/>
        <sz val="11"/>
        <color theme="1"/>
        <rFont val="Arial"/>
      </rPr>
      <t>TRANSLATION:</t>
    </r>
    <r>
      <rPr>
        <sz val="11"/>
        <color theme="1"/>
        <rFont val="Arial"/>
      </rPr>
      <t xml:space="preserve"> A man can be </t>
    </r>
    <r>
      <rPr>
        <b/>
        <sz val="11"/>
        <color theme="1"/>
        <rFont val="Arial"/>
      </rPr>
      <t>respected</t>
    </r>
    <r>
      <rPr>
        <sz val="11"/>
        <color theme="1"/>
        <rFont val="Arial"/>
      </rPr>
      <t xml:space="preserve"> master of all and faithful husband, can be lord of the mind and soul of his beloved woman and live a peaceful life. When the longing-feeling that wants to possess you and the Wilkes' </t>
    </r>
    <r>
      <rPr>
        <b/>
        <sz val="11"/>
        <color theme="1"/>
        <rFont val="Arial"/>
      </rPr>
      <t>honor</t>
    </r>
    <r>
      <rPr>
        <sz val="11"/>
        <color theme="1"/>
        <rFont val="Arial"/>
      </rPr>
      <t xml:space="preserve"> are placed on the scales together, he probably eats himself up inwardly.</t>
    </r>
  </si>
  <si>
    <t>"Yes, you! There you are, a constant temptation to him, but like most of his breed he prefers what passes in these parts as honor to any amount of love. And it looks to me as if the poor devil now had neither love nor honor to warm himself!"</t>
  </si>
  <si>
    <t>TERM: chest'yu (честью) — honour (instr.); honourably [ORD] (lemma: честь)
PASSAGE: Но, как большинство людей его породы, он предпочитает самой большой любви то, что в этих краях именуют честью.
TRANS: No, kak bol'shinstvo lyudey ego porody, on predpochitaet samoy bol'shoy lyubvi to, chto v etikh krayakh imenuyut chest'yu.
TRANSLATION: But like most people of his breed, he prefers, to the greatest love, what in these parts they call honor.</t>
  </si>
  <si>
    <r>
      <rPr>
        <b/>
        <sz val="11"/>
        <color theme="1"/>
        <rFont val="Arial"/>
      </rPr>
      <t>TERM:</t>
    </r>
    <r>
      <rPr>
        <sz val="11"/>
        <color theme="1"/>
        <rFont val="Arial"/>
      </rPr>
      <t xml:space="preserve"> ABYROİ (АБЫРОЙ) — dignity; prestige; public standing; reputation (Arabic-Persian loan) [KED, SZK]
</t>
    </r>
    <r>
      <rPr>
        <b/>
        <sz val="11"/>
        <color theme="1"/>
        <rFont val="Arial"/>
      </rPr>
      <t>PASSAGE:</t>
    </r>
    <r>
      <rPr>
        <sz val="11"/>
        <color theme="1"/>
        <rFont val="Arial"/>
      </rPr>
      <t xml:space="preserve"> Бұл өңірдегілер </t>
    </r>
    <r>
      <rPr>
        <b/>
        <sz val="11"/>
        <color theme="1"/>
        <rFont val="Arial"/>
      </rPr>
      <t>абыройға</t>
    </r>
    <r>
      <rPr>
        <sz val="11"/>
        <color theme="1"/>
        <rFont val="Arial"/>
      </rPr>
      <t xml:space="preserve"> санайтын үлкен махаббат иесі болуды ол да қалайтын шығар, тегіндегі басқа адамдар секілді.
</t>
    </r>
    <r>
      <rPr>
        <b/>
        <sz val="11"/>
        <color theme="1"/>
        <rFont val="Arial"/>
      </rPr>
      <t>TRANS:</t>
    </r>
    <r>
      <rPr>
        <sz val="11"/>
        <color theme="1"/>
        <rFont val="Arial"/>
      </rPr>
      <t xml:space="preserve"> Būl öñırdegıler </t>
    </r>
    <r>
      <rPr>
        <b/>
        <sz val="11"/>
        <color theme="1"/>
        <rFont val="Arial"/>
      </rPr>
      <t>abyroiğa</t>
    </r>
    <r>
      <rPr>
        <sz val="11"/>
        <color theme="1"/>
        <rFont val="Arial"/>
      </rPr>
      <t xml:space="preserve"> sanaityn ülken mahabbat iesı boludy ol da qalaityn şyğar, tegındegı basqa adamdar sekıldı.
</t>
    </r>
    <r>
      <rPr>
        <b/>
        <sz val="11"/>
        <color theme="1"/>
        <rFont val="Arial"/>
      </rPr>
      <t>TRANSLATION:</t>
    </r>
    <r>
      <rPr>
        <sz val="11"/>
        <color theme="1"/>
        <rFont val="Arial"/>
      </rPr>
      <t xml:space="preserve"> Perhaps he too desires to be the bearer of a great love that the people of this region count as </t>
    </r>
    <r>
      <rPr>
        <b/>
        <sz val="11"/>
        <color theme="1"/>
        <rFont val="Arial"/>
      </rPr>
      <t>honor</t>
    </r>
    <r>
      <rPr>
        <sz val="11"/>
        <color theme="1"/>
        <rFont val="Arial"/>
      </rPr>
      <t>, like the others of his sort.</t>
    </r>
  </si>
  <si>
    <t>"He's a gentleman," said Rhett, and Scarlett wondered how it was possible to convey such cynicism and contempt in that one honorable word.</t>
  </si>
  <si>
    <t>TERM: chtimoe (чтимое) — esteemed; revered [ORD] (lemma: чтимый)
PASSAGE: и Скарлетт оторопела: как сумел он вложить столько циничного презрения в одно короткое, высоко всеми чтимое слово?
TRANS: i Skarlett otoropela: kak sumel on vlozhit' stol'ko tsinichnogo prezreniya v odno korotkoe, vysoko vsemi chtimoe slovo?
TRANSLATION: and Scarlett was taken aback: how had he managed to put so much cynical contempt into one short word that everyone holds in such high esteem?</t>
  </si>
  <si>
    <r>
      <rPr>
        <b/>
        <sz val="11"/>
        <color theme="1"/>
        <rFont val="Arial"/>
      </rPr>
      <t>TERM:</t>
    </r>
    <r>
      <rPr>
        <sz val="11"/>
        <color theme="1"/>
        <rFont val="Arial"/>
      </rPr>
      <t xml:space="preserve"> ARDAQTAU (АРДАҚТАУ) — to honour; to pay due respect; to cherish (from ардақ "honour, esteem") [KED, SZK]
</t>
    </r>
    <r>
      <rPr>
        <b/>
        <sz val="11"/>
        <color theme="1"/>
        <rFont val="Arial"/>
      </rPr>
      <t>PASSAGE:</t>
    </r>
    <r>
      <rPr>
        <sz val="11"/>
        <color theme="1"/>
        <rFont val="Arial"/>
      </rPr>
      <t xml:space="preserve"> Скарлетт бұған аң-таң болды: ол қысқа ғана, барлығы соншалықты </t>
    </r>
    <r>
      <rPr>
        <b/>
        <sz val="11"/>
        <color theme="1"/>
        <rFont val="Arial"/>
      </rPr>
      <t>ардақтайтын</t>
    </r>
    <r>
      <rPr>
        <sz val="11"/>
        <color theme="1"/>
        <rFont val="Arial"/>
      </rPr>
      <t xml:space="preserve"> осы бір сөзге соншалықты арсыз жеккөрушілікті қалай сыйғызып жіберді?
</t>
    </r>
    <r>
      <rPr>
        <b/>
        <sz val="11"/>
        <color theme="1"/>
        <rFont val="Arial"/>
      </rPr>
      <t>TRANS:</t>
    </r>
    <r>
      <rPr>
        <sz val="11"/>
        <color theme="1"/>
        <rFont val="Arial"/>
      </rPr>
      <t xml:space="preserve"> Skarlett būğan añ-tañ boldy: ol qysqa ğana, barlyğy sonşalyqty </t>
    </r>
    <r>
      <rPr>
        <b/>
        <sz val="11"/>
        <color theme="1"/>
        <rFont val="Arial"/>
      </rPr>
      <t>ardaqtaityn</t>
    </r>
    <r>
      <rPr>
        <sz val="11"/>
        <color theme="1"/>
        <rFont val="Arial"/>
      </rPr>
      <t xml:space="preserve"> osy bır sözge sonşalyqty arsyz jekköruşılıktı qalai syiğyzyp jıberdı?
</t>
    </r>
    <r>
      <rPr>
        <b/>
        <sz val="11"/>
        <color theme="1"/>
        <rFont val="Arial"/>
      </rPr>
      <t>TRANSLATION:</t>
    </r>
    <r>
      <rPr>
        <sz val="11"/>
        <color theme="1"/>
        <rFont val="Arial"/>
      </rPr>
      <t xml:space="preserve"> Scarlett was astonished by this: how had he packed so much shameless contempt into this single short word that everyone </t>
    </r>
    <r>
      <rPr>
        <b/>
        <sz val="11"/>
        <color theme="1"/>
        <rFont val="Arial"/>
      </rPr>
      <t>holds in such high regard</t>
    </r>
    <r>
      <rPr>
        <sz val="11"/>
        <color theme="1"/>
        <rFont val="Arial"/>
      </rPr>
      <t>?</t>
    </r>
  </si>
  <si>
    <t>However, I admired him and tried to copy him far more than I ever did my father, for Father is an amiable gentleman full of honorable habits and pious saws—so you see how it goes.</t>
  </si>
  <si>
    <t>Rhett’s father</t>
  </si>
  <si>
    <t>TERM: pochtennyy (почтенный) — venerable; esteemed [ORD]
PASSAGE: Тем не менее я всегда восхищался им и старался подражать ему куда больше, чем отцу, хотя отец у меня — весьма благовоспитанный господин, чрезвычайно почтенный и религиозный, так что видите, как оно бывает.
TRANS: Tem ne menee ya vsegda voskhishchalsya im i staralsya podrazhat' emu kuda bol'she, chem ottsu, khotya otets u menya — ves'ma blagovospitannyy gospodin, chrezvychayno pochtennyy i religioznyy, tak chto vidite, kak ono byvaet.
TRANSLATION: Nevertheless I always admired him and tried to imitate him much more than my father, although my father is a very well-bred gentleman, extremely respectable and religious, so you see how it goes.</t>
  </si>
  <si>
    <r>
      <rPr>
        <b/>
        <sz val="11"/>
        <color theme="1"/>
        <rFont val="Arial"/>
      </rPr>
      <t>PASSAGE:</t>
    </r>
    <r>
      <rPr>
        <sz val="11"/>
        <color theme="1"/>
        <rFont val="Arial"/>
      </rPr>
      <t xml:space="preserve"> Қалай болғанда да, мен атамның бейнесін қастерлейтінмін, әкем діни наным-сенімі берік, салауатты да тәрбиелі мырза болғанымен, менің атама ұқсағым келетін.
</t>
    </r>
    <r>
      <rPr>
        <b/>
        <sz val="11"/>
        <color theme="1"/>
        <rFont val="Arial"/>
      </rPr>
      <t>TRANS:</t>
    </r>
    <r>
      <rPr>
        <sz val="11"/>
        <color theme="1"/>
        <rFont val="Arial"/>
      </rPr>
      <t xml:space="preserve"> Qalai bolğanda da, men atamnyñ beinesın qasterleitınmın, äkem dıni nanym-senımı berık, salauatty da tärbielı myrza bolğanymen, menıñ atama ūqsağym keletın.
</t>
    </r>
    <r>
      <rPr>
        <b/>
        <sz val="11"/>
        <color theme="1"/>
        <rFont val="Arial"/>
      </rPr>
      <t>TRANSLATION:</t>
    </r>
    <r>
      <rPr>
        <sz val="11"/>
        <color theme="1"/>
        <rFont val="Arial"/>
      </rPr>
      <t xml:space="preserve"> Whatever the case, I venerated my grandfather's figure, although my father, a sober and well-mannered gentleman of firm religious conviction, was such a man, I wanted to resemble my grandfather.</t>
    </r>
  </si>
  <si>
    <t>honor cited ironically / sarcastically — Rhett's deflation of the concept of moral honor</t>
  </si>
  <si>
    <t>"Yes, my dear, it is my much advertised chivalry that makes me protect you." The mocking light began to dance in his black eyes and all signs of earnestness fled from his face. "And why? Because of my deep love for you, Mrs. Kennedy. Yes, I have silently hungered and thirsted for you and worshipped you from afar; but being an honorable man, like Mr. Ashley Wilkes, I have concealed it from you. You are, alas, Frank's wife and honor has forbidden my telling this to you. But even as Mr. Wilkes' honor cracks occasionally, so mine is cracking now and I reveal my secret passion and my—"</t>
  </si>
  <si>
    <t>TERM: poryadochnost' (порядочность) — decency; respectability; integrity [ORD]
PASSAGE: К сожалению, вы — супруга Фрэнка, и порядочность запрещает мне говорить вам о своих чувствах.
TRANS: K sozhaleniyu, vy — supruga Frenka, i poryadochnost' zapreshchaet mne govorit' vam o svoikh chuvstvakh.
TRANSLATION: Unfortunately, you are Frank's wife, and decency forbids me to speak to you of my feelings.</t>
  </si>
  <si>
    <r>
      <rPr>
        <b/>
        <sz val="11"/>
        <color theme="1"/>
        <rFont val="Arial"/>
      </rPr>
      <t>TERM:</t>
    </r>
    <r>
      <rPr>
        <sz val="11"/>
        <color theme="1"/>
        <rFont val="Arial"/>
      </rPr>
      <t xml:space="preserve"> ADAMGERŞILIK (АДАМГЕРШІЛІК) — humanity; civility; humanness (the secularised humanist moral term) [KED, SZK]
</t>
    </r>
    <r>
      <rPr>
        <b/>
        <sz val="11"/>
        <color theme="1"/>
        <rFont val="Arial"/>
      </rPr>
      <t>PASSAGE:</t>
    </r>
    <r>
      <rPr>
        <sz val="11"/>
        <color theme="1"/>
        <rFont val="Arial"/>
      </rPr>
      <t xml:space="preserve"> Өкініштісі, сіз енді Фрэнктің жұбайысыз, өз сезімдерім туралы баяндағаным да </t>
    </r>
    <r>
      <rPr>
        <b/>
        <sz val="11"/>
        <color theme="1"/>
        <rFont val="Arial"/>
      </rPr>
      <t>адамгершілікке</t>
    </r>
    <r>
      <rPr>
        <sz val="11"/>
        <color theme="1"/>
        <rFont val="Arial"/>
      </rPr>
      <t xml:space="preserve"> жатпайды.
</t>
    </r>
    <r>
      <rPr>
        <b/>
        <sz val="11"/>
        <color theme="1"/>
        <rFont val="Arial"/>
      </rPr>
      <t>TRANS:</t>
    </r>
    <r>
      <rPr>
        <sz val="11"/>
        <color theme="1"/>
        <rFont val="Arial"/>
      </rPr>
      <t xml:space="preserve"> Ökınıştısı, sız endı Frenktıñ jūbaiysyz, öz sezımderım turaly baiandağanym da </t>
    </r>
    <r>
      <rPr>
        <b/>
        <sz val="11"/>
        <color theme="1"/>
        <rFont val="Arial"/>
      </rPr>
      <t>adamgerşılıkke</t>
    </r>
    <r>
      <rPr>
        <sz val="11"/>
        <color theme="1"/>
        <rFont val="Arial"/>
      </rPr>
      <t xml:space="preserve"> jatpaidy.
</t>
    </r>
    <r>
      <rPr>
        <b/>
        <sz val="11"/>
        <color theme="1"/>
        <rFont val="Arial"/>
      </rPr>
      <t>TRANSLATION:</t>
    </r>
    <r>
      <rPr>
        <sz val="11"/>
        <color theme="1"/>
        <rFont val="Arial"/>
      </rPr>
      <t xml:space="preserve"> Unfortunately, you are now Frank's wife, and to speak of my own feelings goes against humanity/</t>
    </r>
    <r>
      <rPr>
        <b/>
        <sz val="11"/>
        <color theme="1"/>
        <rFont val="Arial"/>
      </rPr>
      <t>decency</t>
    </r>
    <r>
      <rPr>
        <sz val="11"/>
        <color theme="1"/>
        <rFont val="Arial"/>
      </rPr>
      <t>.</t>
    </r>
  </si>
  <si>
    <t>Honor — Absent / dishonor</t>
  </si>
  <si>
    <t>social honor — publicly conferred dignity</t>
  </si>
  <si>
    <t>Why, I'll bet you Ma is still so excited about the new horse that she'll never even realize we're home again till she sits down to supper tonight and sees Boyd. And before supper is over she'll be going strong and breathing fire. And it'll be ten o'clock before Boyd gets a chance to tell her that it wouldn't have been honorable for any of us to stay in college after the way the Chancellor talked to you and me.</t>
  </si>
  <si>
    <t>TERM: unizitel'no (унизительно) — humiliatingly; demeaningly (adv.) [ORD]
PASSAGE: А часам к десяти, и никак не раньше, Бойду удастся втолковать ей, что было бы унизительно для любого из ее сыновей оставаться в учебном заведении, где ректор позволил себе разговаривать с нами в таком тоне.
TRANS: A chasam k desyati, i nikak ne ran'she, Boydu udastsya vtolkovat' ey, chto bylo by unizitel'no dlya lyubogo iz ee synovey ostavat'sya v uchebnom zavedenii, gde rektor pozvolil sebe razgovarivat' s nami v takom tone.
TRANSLATION: And around ten o'clock — and no earlier — Boyd will manage to convince her that it would be humiliating for any of her sons to remain at an institution where the rector has allowed himself to speak with us in such a tone.</t>
  </si>
  <si>
    <r>
      <rPr>
        <b/>
        <sz val="11"/>
        <color theme="1"/>
        <rFont val="Arial"/>
      </rPr>
      <t>TERM:</t>
    </r>
    <r>
      <rPr>
        <sz val="11"/>
        <color theme="1"/>
        <rFont val="Arial"/>
      </rPr>
      <t xml:space="preserve"> QORLYQ (ҚОРЛЫҚ) — humiliation; abasement; disgrace [KED, SZK]
MASQARA (МАСҚАРА) — disgrace; scandal; outrage (acute) [KED, SZK]
</t>
    </r>
    <r>
      <rPr>
        <b/>
        <sz val="11"/>
        <color theme="1"/>
        <rFont val="Arial"/>
      </rPr>
      <t>PASSAGE:</t>
    </r>
    <r>
      <rPr>
        <sz val="11"/>
        <color theme="1"/>
        <rFont val="Arial"/>
      </rPr>
      <t xml:space="preserve"> Ал сағат түнгі онға қарай (одан бұрын болуы мүмкін емес), ұлдарына ректордың өзі қырын қабақ танытқан оқу орнында қалуы Бойд үшін </t>
    </r>
    <r>
      <rPr>
        <b/>
        <sz val="11"/>
        <color theme="1"/>
        <rFont val="Arial"/>
      </rPr>
      <t>қорлық</t>
    </r>
    <r>
      <rPr>
        <sz val="11"/>
        <color theme="1"/>
        <rFont val="Arial"/>
      </rPr>
      <t xml:space="preserve">, </t>
    </r>
    <r>
      <rPr>
        <b/>
        <sz val="11"/>
        <color theme="1"/>
        <rFont val="Arial"/>
      </rPr>
      <t>масқара</t>
    </r>
    <r>
      <rPr>
        <sz val="11"/>
        <color theme="1"/>
        <rFont val="Arial"/>
      </rPr>
      <t xml:space="preserve"> екенін түсіндірудің ыңғайы келеді.
</t>
    </r>
    <r>
      <rPr>
        <b/>
        <sz val="11"/>
        <color theme="1"/>
        <rFont val="Arial"/>
      </rPr>
      <t>TRANS:</t>
    </r>
    <r>
      <rPr>
        <sz val="11"/>
        <color theme="1"/>
        <rFont val="Arial"/>
      </rPr>
      <t xml:space="preserve"> Al sağat tüngı onğa qarai (odan būryn boluy mümkın emes), ūldaryna rektordyñ özı qyryn qabaq tanytqan oqu ornynda qaluy Boid üşın </t>
    </r>
    <r>
      <rPr>
        <b/>
        <sz val="11"/>
        <color theme="1"/>
        <rFont val="Arial"/>
      </rPr>
      <t>qorlyq</t>
    </r>
    <r>
      <rPr>
        <sz val="11"/>
        <color theme="1"/>
        <rFont val="Arial"/>
      </rPr>
      <t xml:space="preserve">, </t>
    </r>
    <r>
      <rPr>
        <b/>
        <sz val="11"/>
        <color theme="1"/>
        <rFont val="Arial"/>
      </rPr>
      <t>masqara</t>
    </r>
    <r>
      <rPr>
        <sz val="11"/>
        <color theme="1"/>
        <rFont val="Arial"/>
      </rPr>
      <t xml:space="preserve"> ekenın tüsındırudıñ yñğaiy keledı.
</t>
    </r>
    <r>
      <rPr>
        <b/>
        <sz val="11"/>
        <color theme="1"/>
        <rFont val="Arial"/>
      </rPr>
      <t>TRANSLATION:</t>
    </r>
    <r>
      <rPr>
        <sz val="11"/>
        <color theme="1"/>
        <rFont val="Arial"/>
      </rPr>
      <t xml:space="preserve"> And by about ten in the evening (no sooner), the moment will come for Boyd to explain that it would be a </t>
    </r>
    <r>
      <rPr>
        <b/>
        <sz val="11"/>
        <color theme="1"/>
        <rFont val="Arial"/>
      </rPr>
      <t>humiliation</t>
    </r>
    <r>
      <rPr>
        <sz val="11"/>
        <color theme="1"/>
        <rFont val="Arial"/>
      </rPr>
      <t xml:space="preserve">, a </t>
    </r>
    <r>
      <rPr>
        <b/>
        <sz val="11"/>
        <color theme="1"/>
        <rFont val="Arial"/>
      </rPr>
      <t>disgrace</t>
    </r>
    <r>
      <rPr>
        <sz val="11"/>
        <color theme="1"/>
        <rFont val="Arial"/>
      </rPr>
      <t xml:space="preserve"> for her sons to stay at an institution where the rector himself has shown them a stern face.</t>
    </r>
  </si>
  <si>
    <t>"Add conceit to dishonor," he said. "You'll never get over being the belle of the County, will you? You'll always think you're the cutest little trick in shoe leather and that every man you meet is expiring for love of you."</t>
  </si>
  <si>
    <t>TERM: beschestnaya (бесчестная) — dishonourable (adj. fem.) [ORD] (lemma: бесчестный)
PASSAGE: Вы не только бесчестная, но еще и самонадеянная
TRANS: Vy ne tol'ko beschestnaya, no eshche i samonadeyannaya
TRANSLATION: You are not only dishonest, but also conceited</t>
  </si>
  <si>
    <r>
      <rPr>
        <b/>
        <sz val="11"/>
        <color theme="1"/>
        <rFont val="Arial"/>
      </rPr>
      <t>TERM:</t>
    </r>
    <r>
      <rPr>
        <sz val="11"/>
        <color theme="1"/>
        <rFont val="Arial"/>
      </rPr>
      <t xml:space="preserve"> ÄDILETSIZDIK (ӘДІЛЕТСІЗДІК) = injustice, unfairness, dishonesty, dishonor
</t>
    </r>
    <r>
      <rPr>
        <b/>
        <sz val="11"/>
        <color theme="1"/>
        <rFont val="Arial"/>
      </rPr>
      <t>PASSAGE:</t>
    </r>
    <r>
      <rPr>
        <sz val="11"/>
        <color theme="1"/>
        <rFont val="Arial"/>
      </rPr>
      <t xml:space="preserve"> Сіз </t>
    </r>
    <r>
      <rPr>
        <b/>
        <sz val="11"/>
        <color theme="1"/>
        <rFont val="Arial"/>
      </rPr>
      <t>әділетсіздігіңізбен</t>
    </r>
    <r>
      <rPr>
        <sz val="11"/>
        <color theme="1"/>
        <rFont val="Arial"/>
      </rPr>
      <t xml:space="preserve"> қоса, өзіңізді тым артық бағалап жібереді екенсіз
</t>
    </r>
    <r>
      <rPr>
        <b/>
        <sz val="11"/>
        <color theme="1"/>
        <rFont val="Arial"/>
      </rPr>
      <t>TRANS:</t>
    </r>
    <r>
      <rPr>
        <sz val="11"/>
        <color theme="1"/>
        <rFont val="Arial"/>
      </rPr>
      <t xml:space="preserve"> Sız </t>
    </r>
    <r>
      <rPr>
        <b/>
        <sz val="11"/>
        <color theme="1"/>
        <rFont val="Arial"/>
      </rPr>
      <t>ädıletsızdıgıñızben</t>
    </r>
    <r>
      <rPr>
        <sz val="11"/>
        <color theme="1"/>
        <rFont val="Arial"/>
      </rPr>
      <t xml:space="preserve"> qosa, özıñızdı tym artyq bağalap jıberedı ekensız
</t>
    </r>
    <r>
      <rPr>
        <b/>
        <sz val="11"/>
        <color theme="1"/>
        <rFont val="Arial"/>
      </rPr>
      <t>TRANSLATION:</t>
    </r>
    <r>
      <rPr>
        <sz val="11"/>
        <color theme="1"/>
        <rFont val="Arial"/>
      </rPr>
      <t xml:space="preserve"> In addition to your </t>
    </r>
    <r>
      <rPr>
        <b/>
        <sz val="11"/>
        <color theme="1"/>
        <rFont val="Arial"/>
      </rPr>
      <t>unjustness</t>
    </r>
    <r>
      <rPr>
        <sz val="11"/>
        <color theme="1"/>
        <rFont val="Arial"/>
      </rPr>
      <t>, it turns out you also overrate yourself excessively</t>
    </r>
  </si>
  <si>
    <t>Moral honor; absence of moral honor</t>
  </si>
  <si>
    <t>I know you've been physically faithful to me. Was that what you were trying to say? Oh, I've known that all along. All these years. How do I know? Oh, well, I know Ashley Wilkes and his breed. I know he is honorable and a gentleman. And that, my dear, is more than I can say for you—or for me, for that matter. We are not gentlemen and we have no honor, have we? That's why we flourish like green bay trees."</t>
  </si>
  <si>
    <t>TERM: poryadochnyy i blagorodnyy (порядочный и благородный) — decent and noble [ORD] (lemma: порядочный)
PASSAGE: blagorodstvo (благородство) = nobility Знаю, что он человек порядочный и благородный. Мы с вами благородством не отличаемся, и у нас нет понятия чести, верно?
TRANS: blagorodstvo (blagorodstvo) = nobility Znayu, chto on chelovek poryadochnyy i blagorodnyy. My s vami blagorodstvom ne otlichaemsya, i u nas net ponyatiya chesti, verno?
TRANSLATION: blagorodstvo = nobility. I know that he is decent and noble. You and I do not stand out for nobility, and we have no concept of honor, do we?</t>
  </si>
  <si>
    <r>
      <rPr>
        <b/>
        <sz val="11"/>
        <color theme="1"/>
        <rFont val="Arial"/>
      </rPr>
      <t>TERM:</t>
    </r>
    <r>
      <rPr>
        <sz val="11"/>
        <color theme="1"/>
        <rFont val="Arial"/>
      </rPr>
      <t xml:space="preserve"> ADAL (АДАЛ) — honest; faithful; pure; lawful (Arabic ḥalāl) [KED, SZK]
asyl (АСЫЛ) = noble; precious
</t>
    </r>
    <r>
      <rPr>
        <b/>
        <sz val="11"/>
        <color theme="1"/>
        <rFont val="Arial"/>
      </rPr>
      <t>PASSAGE:</t>
    </r>
    <r>
      <rPr>
        <sz val="11"/>
        <color theme="1"/>
        <rFont val="Arial"/>
      </rPr>
      <t xml:space="preserve"> Оның </t>
    </r>
    <r>
      <rPr>
        <b/>
        <sz val="11"/>
        <color theme="1"/>
        <rFont val="Arial"/>
      </rPr>
      <t>адал</t>
    </r>
    <r>
      <rPr>
        <sz val="11"/>
        <color theme="1"/>
        <rFont val="Arial"/>
      </rPr>
      <t xml:space="preserve"> һәм абзал жан екенін білемін. Біз асыл тегімізбен, абзал жүрегімізбен ерекшелене алмаймыз, бізде </t>
    </r>
    <r>
      <rPr>
        <b/>
        <sz val="11"/>
        <color theme="1"/>
        <rFont val="Arial"/>
      </rPr>
      <t>адалдық</t>
    </r>
    <r>
      <rPr>
        <sz val="11"/>
        <color theme="1"/>
        <rFont val="Arial"/>
      </rPr>
      <t xml:space="preserve"> деген түсінік жоқ қой, солай ма?
</t>
    </r>
    <r>
      <rPr>
        <b/>
        <sz val="11"/>
        <color theme="1"/>
        <rFont val="Arial"/>
      </rPr>
      <t>TRANS:</t>
    </r>
    <r>
      <rPr>
        <sz val="11"/>
        <color theme="1"/>
        <rFont val="Arial"/>
      </rPr>
      <t xml:space="preserve">  Onyñ </t>
    </r>
    <r>
      <rPr>
        <b/>
        <sz val="11"/>
        <color theme="1"/>
        <rFont val="Arial"/>
      </rPr>
      <t>adal</t>
    </r>
    <r>
      <rPr>
        <sz val="11"/>
        <color theme="1"/>
        <rFont val="Arial"/>
      </rPr>
      <t xml:space="preserve"> häm abzal jan ekenın bılemın. Bız asyl tegımızben, abzal jüregımızben erekşelene almaimyz, bızde adaldyq degen tüsınık joq qoi, solai ma?
</t>
    </r>
    <r>
      <rPr>
        <b/>
        <sz val="11"/>
        <color theme="1"/>
        <rFont val="Arial"/>
      </rPr>
      <t>TRANSLATION:</t>
    </r>
    <r>
      <rPr>
        <sz val="11"/>
        <color theme="1"/>
        <rFont val="Arial"/>
      </rPr>
      <t xml:space="preserve"> I know he is honest and </t>
    </r>
    <r>
      <rPr>
        <b/>
        <sz val="11"/>
        <color theme="1"/>
        <rFont val="Arial"/>
      </rPr>
      <t>noble</t>
    </r>
    <r>
      <rPr>
        <sz val="11"/>
        <color theme="1"/>
        <rFont val="Arial"/>
      </rPr>
      <t xml:space="preserve">. You and I cannot stand out by our </t>
    </r>
    <r>
      <rPr>
        <b/>
        <sz val="11"/>
        <color theme="1"/>
        <rFont val="Arial"/>
      </rPr>
      <t>noble</t>
    </r>
    <r>
      <rPr>
        <sz val="11"/>
        <color theme="1"/>
        <rFont val="Arial"/>
      </rPr>
      <t xml:space="preserve"> origin, by a </t>
    </r>
    <r>
      <rPr>
        <b/>
        <sz val="11"/>
        <color theme="1"/>
        <rFont val="Arial"/>
      </rPr>
      <t>noble</t>
    </r>
    <r>
      <rPr>
        <sz val="11"/>
        <color theme="1"/>
        <rFont val="Arial"/>
      </rPr>
      <t xml:space="preserve"> heart; we have no notion of honesty, isn't that so?</t>
    </r>
  </si>
  <si>
    <t>The words bubbled up faster than she could speak them. She could tell him. She could tell Rhett anything. He'd been so bad himself that he wouldn't sit in judgment on her. How wonderful to know someone who was bad and dishonorable and a cheat and a liar, when all the world was filled with people who would not lie to save their souls and who would rather starve than do a dishonorable deed!</t>
  </si>
  <si>
    <t>TERM: beschestnyy (бесчестный) — dishonourable; ignoble [ORD]
PASSAGE: А до чего же приятно знать, что существует на свете человек плохой и бесчестный, обманщик и лгун,
TRANS: A do chego zhe priyatno znat', chto sushchestvuet na svete chelovek plokhoy i beschestnyy, obmanshchik i lgun,
TRANSLATION: And how pleasant it is to know that there exists in the world a person bad and dishonorable, a deceiver and liar,</t>
  </si>
  <si>
    <r>
      <rPr>
        <b/>
        <sz val="11"/>
        <color theme="1"/>
        <rFont val="Arial"/>
      </rPr>
      <t>TERM:</t>
    </r>
    <r>
      <rPr>
        <sz val="11"/>
        <color theme="1"/>
        <rFont val="Arial"/>
      </rPr>
      <t xml:space="preserve"> ŪİATSYZ (ҰЯТСЫЗ) — shameless; without sense of shame [KED, SZK]
</t>
    </r>
    <r>
      <rPr>
        <b/>
        <sz val="11"/>
        <color theme="1"/>
        <rFont val="Arial"/>
      </rPr>
      <t>PASSAGE: ұятсыз</t>
    </r>
    <r>
      <rPr>
        <sz val="11"/>
        <color theme="1"/>
        <rFont val="Arial"/>
      </rPr>
      <t>, өтірікші, арсыз осындай адамдар да болатынын білу қандай ғанибет.</t>
    </r>
    <r>
      <rPr>
        <b/>
        <sz val="11"/>
        <color theme="1"/>
        <rFont val="Arial"/>
      </rPr>
      <t xml:space="preserve">
TRANS: ūiatsyz</t>
    </r>
    <r>
      <rPr>
        <sz val="11"/>
        <color theme="1"/>
        <rFont val="Arial"/>
      </rPr>
      <t>, ötırıkşı, arsyz osyndai adamdar da bolatynyn bılu qandai ğanibet.</t>
    </r>
    <r>
      <rPr>
        <b/>
        <sz val="11"/>
        <color theme="1"/>
        <rFont val="Arial"/>
      </rPr>
      <t xml:space="preserve">
TRANSLATION: </t>
    </r>
    <r>
      <rPr>
        <sz val="11"/>
        <color theme="1"/>
        <rFont val="Arial"/>
      </rPr>
      <t xml:space="preserve">How pleasant it is to know that there exists in the world such people — </t>
    </r>
    <r>
      <rPr>
        <b/>
        <sz val="11"/>
        <color theme="1"/>
        <rFont val="Arial"/>
      </rPr>
      <t>shameless</t>
    </r>
    <r>
      <rPr>
        <sz val="11"/>
        <color theme="1"/>
        <rFont val="Arial"/>
      </rPr>
      <t>, lying, dishonorable.</t>
    </r>
  </si>
  <si>
    <t>She loved him, scamp, blackguard, without scruple or honor—at least, honor as Ashley saw it. "Damn Ashley's honor!" she thought. "Ashley's honor has always let me down. Yes, from the very beginning when he kept on coming to see me, even though he knew his family expected him to marry Melanie. Rhett has never let me down, even that dreadful night of Melly's reception when he ought to have wrung my neck. –</t>
  </si>
  <si>
    <t>Rhett-Ashley</t>
  </si>
  <si>
    <t>TERM: bez chesti i sovesti (без чести и совести) — without honour or conscience (set phrase) [ORD] (lemma: честь)
PASSAGE: Она любила его — негодяя, мерзавца, человека без чести и совести, во всяком случае в том смысле, в каком Эшли понимал честь.
TRANS: Ona lyubila ego — negodyaya, merzavtsa, cheloveka bez chesti i sovesti, vo vsyakom sluchae v tom smysle, v kakom Eshli ponimal chest'.
TRANSLATION: She loved him — a scoundrel, a villain, a man without honor or conscience, at any rate in the sense in which Ashley understood honor.</t>
  </si>
  <si>
    <r>
      <rPr>
        <b/>
        <sz val="11"/>
        <color theme="1"/>
        <rFont val="Arial"/>
      </rPr>
      <t>TERM:</t>
    </r>
    <r>
      <rPr>
        <sz val="11"/>
        <color theme="1"/>
        <rFont val="Arial"/>
      </rPr>
      <t xml:space="preserve"> AR (АР) — honour; conscience; inalienable inner moral principle [KED, SZK]
ADALDYQ (АДАЛДЫҚ)
ADAMŞYLYQ (АДАМШЫЛЫҚ)
ŪİAT (ҰЯТ)
</t>
    </r>
    <r>
      <rPr>
        <b/>
        <sz val="11"/>
        <color theme="1"/>
        <rFont val="Arial"/>
      </rPr>
      <t>PASSAGE:</t>
    </r>
    <r>
      <rPr>
        <sz val="11"/>
        <color theme="1"/>
        <rFont val="Arial"/>
      </rPr>
      <t xml:space="preserve"> Ол соны - оңбағанды, жексұрынды, </t>
    </r>
    <r>
      <rPr>
        <b/>
        <sz val="11"/>
        <color theme="1"/>
        <rFont val="Arial"/>
      </rPr>
      <t>ары</t>
    </r>
    <r>
      <rPr>
        <sz val="11"/>
        <color theme="1"/>
        <rFont val="Arial"/>
      </rPr>
      <t xml:space="preserve"> мен </t>
    </r>
    <r>
      <rPr>
        <b/>
        <sz val="11"/>
        <color theme="1"/>
        <rFont val="Arial"/>
      </rPr>
      <t>ұяты</t>
    </r>
    <r>
      <rPr>
        <sz val="11"/>
        <color theme="1"/>
        <rFont val="Arial"/>
      </rPr>
      <t xml:space="preserve"> жоқ адамды, өз пайымдауынша, Эшли қандай адам деп ойлауы мүмкін болса, сондай адамды сүйетін. "Барсыншы әрі сол Эшли, өзінің </t>
    </r>
    <r>
      <rPr>
        <b/>
        <sz val="11"/>
        <color theme="1"/>
        <rFont val="Arial"/>
      </rPr>
      <t>адалдығымен</t>
    </r>
    <r>
      <rPr>
        <sz val="11"/>
        <color theme="1"/>
        <rFont val="Arial"/>
      </rPr>
      <t xml:space="preserve">, </t>
    </r>
    <r>
      <rPr>
        <b/>
        <sz val="11"/>
        <color theme="1"/>
        <rFont val="Arial"/>
      </rPr>
      <t>адамшылық</t>
    </r>
    <r>
      <rPr>
        <sz val="11"/>
        <color theme="1"/>
        <rFont val="Arial"/>
      </rPr>
      <t xml:space="preserve"> туралы түсініктерімен мені шатастырып бітті, сатып кетті.
</t>
    </r>
    <r>
      <rPr>
        <b/>
        <sz val="11"/>
        <color theme="1"/>
        <rFont val="Arial"/>
      </rPr>
      <t>TRANS:</t>
    </r>
    <r>
      <rPr>
        <sz val="11"/>
        <color theme="1"/>
        <rFont val="Arial"/>
      </rPr>
      <t xml:space="preserve"> Ol sony - oñbağandy, jeksūryndy, </t>
    </r>
    <r>
      <rPr>
        <b/>
        <sz val="11"/>
        <color theme="1"/>
        <rFont val="Arial"/>
      </rPr>
      <t>ary</t>
    </r>
    <r>
      <rPr>
        <sz val="11"/>
        <color theme="1"/>
        <rFont val="Arial"/>
      </rPr>
      <t xml:space="preserve"> men </t>
    </r>
    <r>
      <rPr>
        <b/>
        <sz val="11"/>
        <color theme="1"/>
        <rFont val="Arial"/>
      </rPr>
      <t>ūiaty</t>
    </r>
    <r>
      <rPr>
        <sz val="11"/>
        <color theme="1"/>
        <rFont val="Arial"/>
      </rPr>
      <t xml:space="preserve"> joq adamdy, öz paiymdauynşa, Eşli qandai adam dep oilauy mümkın bolsa, sondai adamdy süietın. "Barsynşy ärı sol Eşli, özınıñ </t>
    </r>
    <r>
      <rPr>
        <b/>
        <sz val="11"/>
        <color theme="1"/>
        <rFont val="Arial"/>
      </rPr>
      <t>adaldyğymen</t>
    </r>
    <r>
      <rPr>
        <sz val="11"/>
        <color theme="1"/>
        <rFont val="Arial"/>
      </rPr>
      <t xml:space="preserve">, </t>
    </r>
    <r>
      <rPr>
        <b/>
        <sz val="11"/>
        <color theme="1"/>
        <rFont val="Arial"/>
      </rPr>
      <t>adamşylyq</t>
    </r>
    <r>
      <rPr>
        <sz val="11"/>
        <color theme="1"/>
        <rFont val="Arial"/>
      </rPr>
      <t xml:space="preserve"> turaly tüsınıkterımen menı şatastyryp bıttı, satyp kettı.
</t>
    </r>
    <r>
      <rPr>
        <b/>
        <sz val="11"/>
        <color theme="1"/>
        <rFont val="Arial"/>
      </rPr>
      <t>TRANSLATION:</t>
    </r>
    <r>
      <rPr>
        <sz val="11"/>
        <color theme="1"/>
        <rFont val="Arial"/>
      </rPr>
      <t xml:space="preserve"> She loved such a man—a scoundrel, a vile creature, a person without </t>
    </r>
    <r>
      <rPr>
        <b/>
        <sz val="11"/>
        <color theme="1"/>
        <rFont val="Arial"/>
      </rPr>
      <t>honor</t>
    </r>
    <r>
      <rPr>
        <sz val="11"/>
        <color theme="1"/>
        <rFont val="Arial"/>
      </rPr>
      <t xml:space="preserve"> or </t>
    </r>
    <r>
      <rPr>
        <b/>
        <sz val="11"/>
        <color theme="1"/>
        <rFont val="Arial"/>
      </rPr>
      <t>shame</t>
    </r>
    <r>
      <rPr>
        <sz val="11"/>
        <color theme="1"/>
        <rFont val="Arial"/>
      </rPr>
      <t xml:space="preserve">—exactly the kind of man Ashley, in her judgment, might have thought him to be. “Let him go, and that Ashley too—he has completely confused me and betrayed me with his notions of </t>
    </r>
    <r>
      <rPr>
        <b/>
        <sz val="11"/>
        <color theme="1"/>
        <rFont val="Arial"/>
      </rPr>
      <t>honesty</t>
    </r>
    <r>
      <rPr>
        <sz val="11"/>
        <color theme="1"/>
        <rFont val="Arial"/>
      </rPr>
      <t xml:space="preserve"> and </t>
    </r>
    <r>
      <rPr>
        <b/>
        <sz val="11"/>
        <color theme="1"/>
        <rFont val="Arial"/>
      </rPr>
      <t>humanity</t>
    </r>
    <r>
      <rPr>
        <sz val="11"/>
        <color theme="1"/>
        <rFont val="Arial"/>
      </rPr>
      <t>.”</t>
    </r>
  </si>
  <si>
    <t>Honor — Undifferentiated honor</t>
  </si>
  <si>
    <t>Undifferentiated honor</t>
  </si>
  <si>
    <t>If it killed him, he would never leave Melanie. If he burned for Scarlett until the end of his days, he would never take her and he would fight to keep her at a distance. She would never again get through that armor. The words, hospitality and loyalty and honor, meant more to him than she did.</t>
  </si>
  <si>
    <t>PASSAGE: Слова «гостеприимство», «порядочность», «честь» значат для него куда больше, чем она сама.
TRANS: Slova «gostepriimstvo», «poryadochnost'», «chest'» znachat dlya nego kuda bol'she, chem ona sama.
TRANSLATION: The words "hospitality," "decency," "honor" mean far more to him than she does herself.</t>
  </si>
  <si>
    <r>
      <rPr>
        <b/>
        <sz val="11"/>
        <color theme="1"/>
        <rFont val="Arial"/>
      </rPr>
      <t>TERM:</t>
    </r>
    <r>
      <rPr>
        <sz val="11"/>
        <color theme="1"/>
        <rFont val="Arial"/>
      </rPr>
      <t xml:space="preserve"> ABYROİ (АБЫРОЙ) — dignity; prestige; public standing; reputation (Arabic-Persian loan) [KED, SZK]
ar men iba (ар мен иба) = conscience and modesty 
</t>
    </r>
    <r>
      <rPr>
        <b/>
        <sz val="11"/>
        <color theme="1"/>
        <rFont val="Arial"/>
      </rPr>
      <t>PASSAGE:</t>
    </r>
    <r>
      <rPr>
        <sz val="11"/>
        <color theme="1"/>
        <rFont val="Arial"/>
      </rPr>
      <t xml:space="preserve"> "Қонақжайлылық", "</t>
    </r>
    <r>
      <rPr>
        <b/>
        <sz val="11"/>
        <color theme="1"/>
        <rFont val="Arial"/>
      </rPr>
      <t>абырой</t>
    </r>
    <r>
      <rPr>
        <sz val="11"/>
        <color theme="1"/>
        <rFont val="Arial"/>
      </rPr>
      <t>", "</t>
    </r>
    <r>
      <rPr>
        <b/>
        <sz val="11"/>
        <color theme="1"/>
        <rFont val="Arial"/>
      </rPr>
      <t>ар мен иба</t>
    </r>
    <r>
      <rPr>
        <sz val="11"/>
        <color theme="1"/>
        <rFont val="Arial"/>
      </rPr>
      <t xml:space="preserve">" дегендерді бұдан биік ұстайды.
</t>
    </r>
    <r>
      <rPr>
        <b/>
        <sz val="11"/>
        <color theme="1"/>
        <rFont val="Arial"/>
      </rPr>
      <t>TRANS:</t>
    </r>
    <r>
      <rPr>
        <sz val="11"/>
        <color theme="1"/>
        <rFont val="Arial"/>
      </rPr>
      <t xml:space="preserve"> "Qonaqjailylyq", "</t>
    </r>
    <r>
      <rPr>
        <b/>
        <sz val="11"/>
        <color theme="1"/>
        <rFont val="Arial"/>
      </rPr>
      <t>abyroi</t>
    </r>
    <r>
      <rPr>
        <sz val="11"/>
        <color theme="1"/>
        <rFont val="Arial"/>
      </rPr>
      <t>", "</t>
    </r>
    <r>
      <rPr>
        <b/>
        <sz val="11"/>
        <color theme="1"/>
        <rFont val="Arial"/>
      </rPr>
      <t>ar men iba</t>
    </r>
    <r>
      <rPr>
        <sz val="11"/>
        <color theme="1"/>
        <rFont val="Arial"/>
      </rPr>
      <t xml:space="preserve">" degenderdı būdan biık ūstaidy.
</t>
    </r>
    <r>
      <rPr>
        <b/>
        <sz val="11"/>
        <color theme="1"/>
        <rFont val="Arial"/>
      </rPr>
      <t>TRANSLATION:</t>
    </r>
    <r>
      <rPr>
        <sz val="11"/>
        <color theme="1"/>
        <rFont val="Arial"/>
      </rPr>
      <t xml:space="preserve"> He values "hospitality", "</t>
    </r>
    <r>
      <rPr>
        <b/>
        <sz val="11"/>
        <color theme="1"/>
        <rFont val="Arial"/>
      </rPr>
      <t>dignity</t>
    </r>
    <r>
      <rPr>
        <sz val="11"/>
        <color theme="1"/>
        <rFont val="Arial"/>
      </rPr>
      <t>", and "</t>
    </r>
    <r>
      <rPr>
        <b/>
        <sz val="11"/>
        <color theme="1"/>
        <rFont val="Arial"/>
      </rPr>
      <t>conscience</t>
    </r>
    <r>
      <rPr>
        <sz val="11"/>
        <color theme="1"/>
        <rFont val="Arial"/>
      </rPr>
      <t xml:space="preserve"> and </t>
    </r>
    <r>
      <rPr>
        <b/>
        <sz val="11"/>
        <color theme="1"/>
        <rFont val="Arial"/>
      </rPr>
      <t>modesty</t>
    </r>
    <r>
      <rPr>
        <sz val="11"/>
        <color theme="1"/>
        <rFont val="Arial"/>
      </rPr>
      <t>" higher than this.</t>
    </r>
  </si>
  <si>
    <t>In accordance with honor</t>
  </si>
  <si>
    <t>"I bare my soul and you are suspicious! No, Scarlett, this is a bona fide honorable declaration. I admit that it's not in the best of taste, coming at this time, but I have a very good excuse for my lack of breeding. I'm going away tomorrow for a long time and I fear that if I wait till I return you'll have married some one else with a little money. So I thought, why not me and my money? Really, Scarlett, I can't go all my life, waiting to catch you between husbands."</t>
  </si>
  <si>
    <t>TERM: chestnoe predlozhenie. (честное предложение.) = honest declaration
PASSAGE: Нет, Скарлетт, это bonа fide честное предложение.
TRANS: Net, Skarlett, eto bona fide chestnoe predlozhenie.
TRANSLATION: No, Scarlett, this is bona fide an honest proposal.</t>
  </si>
  <si>
    <r>
      <rPr>
        <b/>
        <sz val="11"/>
        <color theme="1"/>
        <rFont val="Arial"/>
      </rPr>
      <t>TERM:</t>
    </r>
    <r>
      <rPr>
        <sz val="11"/>
        <color theme="1"/>
        <rFont val="Arial"/>
      </rPr>
      <t xml:space="preserve"> ADAL ŪİAT(АДАЛ ҰЯТ) — honest shame/conscience; pure inner uprightness [KED, SZK] (lemma: ұят)
</t>
    </r>
    <r>
      <rPr>
        <b/>
        <sz val="11"/>
        <color theme="1"/>
        <rFont val="Arial"/>
      </rPr>
      <t>PASSAGE:</t>
    </r>
    <r>
      <rPr>
        <sz val="11"/>
        <color theme="1"/>
        <rFont val="Arial"/>
      </rPr>
      <t xml:space="preserve"> Жоқ, Скарлетт, </t>
    </r>
    <r>
      <rPr>
        <b/>
        <sz val="11"/>
        <color theme="1"/>
        <rFont val="Arial"/>
      </rPr>
      <t>адал ұятымның</t>
    </r>
    <r>
      <rPr>
        <sz val="11"/>
        <color theme="1"/>
        <rFont val="Arial"/>
      </rPr>
      <t xml:space="preserve"> шын ұсынысы.
</t>
    </r>
    <r>
      <rPr>
        <b/>
        <sz val="11"/>
        <color theme="1"/>
        <rFont val="Arial"/>
      </rPr>
      <t>TRANS:</t>
    </r>
    <r>
      <rPr>
        <sz val="11"/>
        <color theme="1"/>
        <rFont val="Arial"/>
      </rPr>
      <t xml:space="preserve"> Joq, Skarlett, </t>
    </r>
    <r>
      <rPr>
        <b/>
        <sz val="11"/>
        <color theme="1"/>
        <rFont val="Arial"/>
      </rPr>
      <t xml:space="preserve">adal ūiatymnyñ </t>
    </r>
    <r>
      <rPr>
        <sz val="11"/>
        <color theme="1"/>
        <rFont val="Arial"/>
      </rPr>
      <t xml:space="preserve">şyn ūsynysy.
</t>
    </r>
    <r>
      <rPr>
        <b/>
        <sz val="11"/>
        <color theme="1"/>
        <rFont val="Arial"/>
      </rPr>
      <t>TRANSLATION:</t>
    </r>
    <r>
      <rPr>
        <sz val="11"/>
        <color theme="1"/>
        <rFont val="Arial"/>
      </rPr>
      <t xml:space="preserve"> No, Scarlett, it is the sincere proposal of my honest </t>
    </r>
    <r>
      <rPr>
        <b/>
        <sz val="11"/>
        <color theme="1"/>
        <rFont val="Arial"/>
      </rPr>
      <t>conscience</t>
    </r>
    <r>
      <rPr>
        <sz val="11"/>
        <color theme="1"/>
        <rFont val="Arial"/>
      </rPr>
      <t>.</t>
    </r>
  </si>
  <si>
    <t>Gone with the Wind — moral-emotion corpus: counts</t>
  </si>
  <si>
    <t>Dual-character tokens (#23, #128, #229) are counted under each of their two characters; token totals count each token once via the Token column.</t>
  </si>
  <si>
    <t>Tokens by English word (domain)</t>
  </si>
  <si>
    <t>English word</t>
  </si>
  <si>
    <t>Tokens</t>
  </si>
  <si>
    <t>Shame</t>
  </si>
  <si>
    <t>Guilt</t>
  </si>
  <si>
    <t>Conscience</t>
  </si>
  <si>
    <t>Honor</t>
  </si>
  <si>
    <t>Total</t>
  </si>
  <si>
    <t>Tokens by English word × Part of novel (the arc)</t>
  </si>
  <si>
    <t>Tokens by character × English word  (dual tokens counted under each character)</t>
  </si>
  <si>
    <t>Principal characters — counts</t>
  </si>
  <si>
    <t>The four central characters. Dual-character tokens (#23, #128, #229) are counted under each of their two characters, so the four character rows sum to 190; the distinct-token count is 187.</t>
  </si>
  <si>
    <t>By English word (domain)</t>
  </si>
  <si>
    <t>Distinct tokens</t>
  </si>
  <si>
    <t>By Part of the novel (the arc)</t>
  </si>
  <si>
    <t>SHAME — 104 tokens</t>
  </si>
  <si>
    <t>Shame: subtype × part of novel (arc)</t>
  </si>
  <si>
    <t>Subtype</t>
  </si>
  <si>
    <t>Moral shame</t>
  </si>
  <si>
    <t>Social shame</t>
  </si>
  <si>
    <t>Illocutionary shame (shaming)</t>
  </si>
  <si>
    <t>Absent shame</t>
  </si>
  <si>
    <t>Performed / ironic shame</t>
  </si>
  <si>
    <t>Absent social shame</t>
  </si>
  <si>
    <t>Social shame (somatic expression)</t>
  </si>
  <si>
    <t>Social shame (about the body)</t>
  </si>
  <si>
    <t>Absent moral shame</t>
  </si>
  <si>
    <t>Absent social shame (about the body)</t>
  </si>
  <si>
    <t>Shame as verdict</t>
  </si>
  <si>
    <t>Shame: subtype × character   (dual tokens counted under each principal; Tokens = distinct count)</t>
  </si>
  <si>
    <t>Other</t>
  </si>
  <si>
    <t>GUILT — 31 tokens</t>
  </si>
  <si>
    <t>Guilt: subtype × part of novel (arc)</t>
  </si>
  <si>
    <t>Felt guilt</t>
  </si>
  <si>
    <t>Guilt as deed</t>
  </si>
  <si>
    <t>Felt guilt (guilty pleasure)</t>
  </si>
  <si>
    <t>Felt guilt (guilty conscience)</t>
  </si>
  <si>
    <t>Guilt as tormentor</t>
  </si>
  <si>
    <t>Guilt as weight</t>
  </si>
  <si>
    <t>Guilt: subtype × character   (dual tokens counted under each principal; Tokens = distinct count)</t>
  </si>
  <si>
    <t>CONSCIENCE — 39 tokens</t>
  </si>
  <si>
    <t>Conscience: subtype × part of novel (arc)</t>
  </si>
  <si>
    <t>Internal authority (advisor / opponent)</t>
  </si>
  <si>
    <t>Absent reaction</t>
  </si>
  <si>
    <t>Tormentor / punisher</t>
  </si>
  <si>
    <t>Weight</t>
  </si>
  <si>
    <t>Dormant / waking creature</t>
  </si>
  <si>
    <t>General faculty</t>
  </si>
  <si>
    <t>Object (stretchable)</t>
  </si>
  <si>
    <t>Resource</t>
  </si>
  <si>
    <t>Object (clean / unclean)</t>
  </si>
  <si>
    <t>Internal authority (judge)</t>
  </si>
  <si>
    <t>Conscience: subtype × character   (dual tokens counted under each principal; Tokens = distinct count)</t>
  </si>
  <si>
    <t>HONOR — 57 tokens</t>
  </si>
  <si>
    <t>Honor: subtype × part of novel (arc)</t>
  </si>
  <si>
    <t>Reputation / standing</t>
  </si>
  <si>
    <t>Tribute / glory</t>
  </si>
  <si>
    <t>Ironic / mocked</t>
  </si>
  <si>
    <t>Absent / dishonor</t>
  </si>
  <si>
    <t>Nobility of character</t>
  </si>
  <si>
    <t>Honor: subtype × character   (dual tokens counted under each principal; Tokens = distinct count)</t>
  </si>
  <si>
    <t>Russian renderings: how each subtype (frame) is rendered, with counts</t>
  </si>
  <si>
    <t>Rendering (lemma / form; bracketed = paraphrase/omission)</t>
  </si>
  <si>
    <t>Count</t>
  </si>
  <si>
    <t>стеснение</t>
  </si>
  <si>
    <t>стыд</t>
  </si>
  <si>
    <t>угрызение</t>
  </si>
  <si>
    <t>стыдиться</t>
  </si>
  <si>
    <t>[paraphrase / no single-word equivalent]</t>
  </si>
  <si>
    <t>Смутить</t>
  </si>
  <si>
    <t>бесстыдно</t>
  </si>
  <si>
    <t>бесстыдство</t>
  </si>
  <si>
    <t>зазрение</t>
  </si>
  <si>
    <t>осуждать</t>
  </si>
  <si>
    <t>пристыдить</t>
  </si>
  <si>
    <t>стесняться</t>
  </si>
  <si>
    <t>стыдно</t>
  </si>
  <si>
    <t>устыдиться</t>
  </si>
  <si>
    <t>постыдный</t>
  </si>
  <si>
    <t>изъян</t>
  </si>
  <si>
    <t>позор</t>
  </si>
  <si>
    <t>постыдиться</t>
  </si>
  <si>
    <t>совестно</t>
  </si>
  <si>
    <t>опозоренный</t>
  </si>
  <si>
    <t>опозорить</t>
  </si>
  <si>
    <t>сгорать со стыда!</t>
  </si>
  <si>
    <t>стыдить</t>
  </si>
  <si>
    <t>посрамить</t>
  </si>
  <si>
    <t>пристыженный</t>
  </si>
  <si>
    <t>слеза</t>
  </si>
  <si>
    <t>Стыдно</t>
  </si>
  <si>
    <t>сгорать</t>
  </si>
  <si>
    <t>смутить</t>
  </si>
  <si>
    <t>смущенно</t>
  </si>
  <si>
    <t>смущенный</t>
  </si>
  <si>
    <t>унижение</t>
  </si>
  <si>
    <t>мука</t>
  </si>
  <si>
    <t>смутиться</t>
  </si>
  <si>
    <t>Зардевшись от смущения,</t>
  </si>
  <si>
    <t>обида</t>
  </si>
  <si>
    <t>сгорая от стыда.</t>
  </si>
  <si>
    <t>вина</t>
  </si>
  <si>
    <t>провиниться</t>
  </si>
  <si>
    <t>совесть</t>
  </si>
  <si>
    <t>виновато</t>
  </si>
  <si>
    <t>виноватый</t>
  </si>
  <si>
    <t>угрызения совести.</t>
  </si>
  <si>
    <t>нашкодить</t>
  </si>
  <si>
    <t>повинный</t>
  </si>
  <si>
    <t>согрешить</t>
  </si>
  <si>
    <t>раскаяние</t>
  </si>
  <si>
    <t>грешный</t>
  </si>
  <si>
    <t>сознание</t>
  </si>
  <si>
    <t>сомнение</t>
  </si>
  <si>
    <t>Совесть</t>
  </si>
  <si>
    <t>засовеститься</t>
  </si>
  <si>
    <t>угрызения совести:</t>
  </si>
  <si>
    <t>принизить</t>
  </si>
  <si>
    <t>бесчестный</t>
  </si>
  <si>
    <t>порядочный</t>
  </si>
  <si>
    <t>унизительно</t>
  </si>
  <si>
    <t>честь</t>
  </si>
  <si>
    <t>порядочность</t>
  </si>
  <si>
    <t>почтенный</t>
  </si>
  <si>
    <t>чтимый</t>
  </si>
  <si>
    <t>благородный</t>
  </si>
  <si>
    <t>уважать</t>
  </si>
  <si>
    <t>, честной, правдивой</t>
  </si>
  <si>
    <t>о правде, и о чести,</t>
  </si>
  <si>
    <t>понятие</t>
  </si>
  <si>
    <t>честный</t>
  </si>
  <si>
    <t>благородство</t>
  </si>
  <si>
    <t>без малейшего ущемления своей гордости.</t>
  </si>
  <si>
    <t>высокочтимый</t>
  </si>
  <si>
    <t>многоуважаемый</t>
  </si>
  <si>
    <t>соображение</t>
  </si>
  <si>
    <t>почести</t>
  </si>
  <si>
    <t>честное предложение.</t>
  </si>
  <si>
    <t>Kazakh renderings: how each subtype (frame) is rendered, with counts</t>
  </si>
  <si>
    <t>QYMSYNU</t>
  </si>
  <si>
    <t>ŪİAT</t>
  </si>
  <si>
    <t>ŪİALU</t>
  </si>
  <si>
    <t>QYSYLU</t>
  </si>
  <si>
    <t>KINÄLAU</t>
  </si>
  <si>
    <t>ŪİALTU</t>
  </si>
  <si>
    <t>ŪİATSYZDYQ</t>
  </si>
  <si>
    <t>KEMŞILIK</t>
  </si>
  <si>
    <t>MASQARA</t>
  </si>
  <si>
    <t>DÄRMENSIZ</t>
  </si>
  <si>
    <t>KÜLKI</t>
  </si>
  <si>
    <t>SALMAQ</t>
  </si>
  <si>
    <t>KÜNÄ</t>
  </si>
  <si>
    <t>QOLAYSYZ</t>
  </si>
  <si>
    <t>kınä men künä</t>
  </si>
  <si>
    <t>ÖKINU</t>
  </si>
  <si>
    <t>yñğaisyz</t>
  </si>
  <si>
    <t>ŪİATTY</t>
  </si>
  <si>
    <t>KÜİE</t>
  </si>
  <si>
    <t>AÑYRAU</t>
  </si>
  <si>
    <t>NAZAR</t>
  </si>
  <si>
    <t>QYSAS</t>
  </si>
  <si>
    <t>TÜR</t>
  </si>
  <si>
    <t>AZAPTY</t>
  </si>
  <si>
    <t>ÖKINIŞ</t>
  </si>
  <si>
    <t>KINÄLY</t>
  </si>
  <si>
    <t>AR-OJDAN</t>
  </si>
  <si>
    <t>AİYPTY sezım</t>
  </si>
  <si>
    <t>JAZYQTY</t>
  </si>
  <si>
    <t>künä</t>
  </si>
  <si>
    <t>ūial-</t>
  </si>
  <si>
    <t>AR</t>
  </si>
  <si>
    <t>BEİKÜNÄ</t>
  </si>
  <si>
    <t>DIN</t>
  </si>
  <si>
    <t>KINÄ</t>
  </si>
  <si>
    <t>būzyq</t>
  </si>
  <si>
    <t>kökıregındegı zapyranyn</t>
  </si>
  <si>
    <t>AR-ŪİAT</t>
  </si>
  <si>
    <t>JÜREK</t>
  </si>
  <si>
    <t>kümän</t>
  </si>
  <si>
    <t>ar</t>
  </si>
  <si>
    <t>ADAL</t>
  </si>
  <si>
    <t>QORLYQ</t>
  </si>
  <si>
    <t>ädıletsızdık</t>
  </si>
  <si>
    <t>ŪİATsyz</t>
  </si>
  <si>
    <t>ABYROİ</t>
  </si>
  <si>
    <t>ADAMGERŞILIK</t>
  </si>
  <si>
    <t>ARDAQTAU</t>
  </si>
  <si>
    <t>qūrmettı</t>
  </si>
  <si>
    <t>AR-NAMYS</t>
  </si>
  <si>
    <t>ASYL</t>
  </si>
  <si>
    <t>BEKZAT adam</t>
  </si>
  <si>
    <t>bekzat bolmysty asqaq tabiğaty</t>
  </si>
  <si>
    <t>ÄDEPTILIK</t>
  </si>
  <si>
    <t>ädıletsız</t>
  </si>
  <si>
    <t>şynşyl, adal</t>
  </si>
  <si>
    <t>Janynyñ asyldyğy, päktıgı</t>
  </si>
  <si>
    <t>QADIRLI</t>
  </si>
  <si>
    <t>abyroi</t>
  </si>
  <si>
    <t>adal AR</t>
  </si>
  <si>
    <t>QŪRMET</t>
  </si>
  <si>
    <t>ADAL ŪİAT</t>
  </si>
  <si>
    <t>Domain</t>
  </si>
  <si>
    <t>Russian rendering</t>
  </si>
  <si>
    <t>Kazakh rendering</t>
  </si>
  <si>
    <t>Token</t>
  </si>
  <si>
    <t>IsPrincipal</t>
  </si>
  <si>
    <t>QOLAİSYZ</t>
  </si>
  <si>
    <t>KINÄ MEN KÜNÄ</t>
  </si>
  <si>
    <t>SALMAĞY</t>
  </si>
  <si>
    <t>YÑĞAİSYZ</t>
  </si>
  <si>
    <t>KINÄLI</t>
  </si>
  <si>
    <t>ŪİAL-</t>
  </si>
  <si>
    <t>KÖKIREGINDEGI ZAPYRANYN</t>
  </si>
  <si>
    <t>AİYPTY SEZIM</t>
  </si>
  <si>
    <t>BŪZYQ</t>
  </si>
  <si>
    <t>KÜMÄN</t>
  </si>
  <si>
    <t>JANYNYÑ ASYLDYĞY, PÄKTIGI</t>
  </si>
  <si>
    <t>ŞYNŞYL, ADAL</t>
  </si>
  <si>
    <t>QŪRMETTI</t>
  </si>
  <si>
    <t>ÄDILETSIZ</t>
  </si>
  <si>
    <t>ADAL AR</t>
  </si>
  <si>
    <t>BEKZAT BOLMYSTYÑ ASQAQ TABİĞATY</t>
  </si>
  <si>
    <t>BEKZAT ADAM</t>
  </si>
  <si>
    <t>ÄDILETSIZDIK</t>
  </si>
  <si>
    <t>ŪİATSYZ</t>
  </si>
  <si>
    <r>
      <rPr>
        <b/>
        <sz val="11"/>
        <color theme="1"/>
        <rFont val="Arial"/>
        <family val="2"/>
        <charset val="204"/>
      </rPr>
      <t>TERM</t>
    </r>
    <r>
      <rPr>
        <sz val="11"/>
        <color theme="1"/>
        <rFont val="Arial"/>
      </rPr>
      <t xml:space="preserve">: ŪİALU (ҰЯЛУ) — to feel ashamed; to feel shy or embarrassed [KED, SZK]
</t>
    </r>
    <r>
      <rPr>
        <b/>
        <sz val="11"/>
        <color theme="1"/>
        <rFont val="Arial"/>
        <family val="2"/>
        <charset val="204"/>
      </rPr>
      <t>PASSAGE</t>
    </r>
    <r>
      <rPr>
        <sz val="11"/>
        <color theme="1"/>
        <rFont val="Arial"/>
      </rPr>
      <t xml:space="preserve">: Ұялсаң нетті!
</t>
    </r>
    <r>
      <rPr>
        <b/>
        <sz val="11"/>
        <color theme="1"/>
        <rFont val="Arial"/>
        <family val="2"/>
        <charset val="204"/>
      </rPr>
      <t>TRANS</t>
    </r>
    <r>
      <rPr>
        <sz val="11"/>
        <color theme="1"/>
        <rFont val="Arial"/>
      </rPr>
      <t>: Ūialsañ nettı!
T</t>
    </r>
    <r>
      <rPr>
        <b/>
        <sz val="11"/>
        <color theme="1"/>
        <rFont val="Arial"/>
        <family val="2"/>
        <charset val="204"/>
      </rPr>
      <t>RANSLATION</t>
    </r>
    <r>
      <rPr>
        <sz val="11"/>
        <color theme="1"/>
        <rFont val="Arial"/>
      </rPr>
      <t>: You should be asham</t>
    </r>
  </si>
  <si>
    <t xml:space="preserve"> TERM: postydilasʹ by (постыдилась бы) — you should be ashamed; you ought to feel shame [ORD] (lemma: postydítʹsja / постыдиться)
PASSAGE: Куда способна завести тебя ревность! Постыдилась бы. Индия побелела, но не опустила головы.
TRANS: Kuda sposobna zavesti tebja revnostʹ! Postydilasʹ by. Indija pobelela, no ne opustila golovy.
TRANSLATION: Where might your jealousy lead you! You should be ashamed. India turned pale but did not lower her head.</t>
  </si>
  <si>
    <t>TERM: pozor (позор) — disgrace; shame; ignominy [ORD]
PASSAGE: Черное пятно позора и вины, лежавшее на ней, переползло и на него.
TRANS: Černoe pjatno pozora i viny, ležavšee na nej, perepolzlo i na nego.
TRANSLATION: The black stain of disgrace and guilt that lay upon her spread to him as well.</t>
  </si>
  <si>
    <t xml:space="preserve"> TERM: ūialyp (ұялып) — feeling ashamed; embarrassed [KED, SZK] (lemma: ūialu / ұялу — to feel ashamed; to feel shy; to be embarrassed)
PASSAGE: Скарлетт өзінің кенеттен тұтанып кеткеніне ұялып, терең күрсінді.
TRANS: Skarlett özınıñ kenetten tūtanyp ketkenıne ūialyp, tereñ kürsındı.
TRANSLATION: Scarlett, ashamed of her sudden outburst, sighed deeply.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</si>
</sst>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x14ac:knownFonts="1">
    <font>
      <sz val="11"/>
      <color theme="1"/>
      <name val="Calibri"/>
      <scheme val="minor"/>
    </font>
    <font>
      <b/>
      <sz val="10"/>
      <color theme="1"/>
      <name val="Arial"/>
    </font>
    <font>
      <b/>
      <sz val="11"/>
      <color theme="1"/>
      <name val="Arial"/>
    </font>
    <font>
      <b/>
      <i/>
      <sz val="10"/>
      <color theme="1"/>
      <name val="Arial"/>
    </font>
    <font>
      <sz val="11"/>
      <color theme="1"/>
      <name val="Calibri"/>
    </font>
    <font>
      <sz val="10"/>
      <color theme="1"/>
      <name val="Arial"/>
    </font>
    <font>
      <sz val="11"/>
      <color theme="1"/>
      <name val="Arial"/>
    </font>
    <font>
      <b/>
      <sz val="13"/>
      <color theme="1"/>
      <name val="Arial"/>
    </font>
    <font>
      <i/>
      <sz val="9"/>
      <color rgb="FF666666"/>
      <name val="Arial"/>
    </font>
    <font>
      <b/>
      <sz val="11"/>
      <color rgb="FF305496"/>
      <name val="Arial"/>
    </font>
    <font>
      <b/>
      <sz val="11"/>
      <color rgb="FFFFFFFF"/>
      <name val="Arial"/>
    </font>
    <font>
      <b/>
      <sz val="11"/>
      <color theme="1"/>
      <name val="Arial"/>
    </font>
    <font>
      <sz val="11"/>
      <color theme="1"/>
      <name val="Arial"/>
    </font>
    <font>
      <b/>
      <sz val="11"/>
      <color theme="1"/>
      <name val="Arial"/>
      <family val="2"/>
      <charset val="204"/>
    </font>
    <font>
      <sz val="11"/>
      <color theme="1"/>
      <name val="Arial"/>
      <family val="2"/>
      <charset val="204"/>
    </font>
    <font>
      <sz val="10"/>
      <color theme="1"/>
      <name val="Arial"/>
      <family val="2"/>
      <charset val="204"/>
    </font>
  </fonts>
  <fills count="6">
    <fill>
      <patternFill patternType="none"/>
    </fill>
    <fill>
      <patternFill patternType="gray125"/>
    </fill>
    <fill>
      <patternFill patternType="solid">
        <fgColor rgb="FFD9E1F2"/>
        <bgColor rgb="FFD9E1F2"/>
      </patternFill>
    </fill>
    <fill>
      <patternFill patternType="solid">
        <fgColor rgb="FFF2F2F2"/>
        <bgColor rgb="FFF2F2F2"/>
      </patternFill>
    </fill>
    <fill>
      <patternFill patternType="solid">
        <fgColor rgb="FF305496"/>
        <bgColor rgb="FF305496"/>
      </patternFill>
    </fill>
    <fill>
      <patternFill patternType="solid">
        <fgColor rgb="FFEDF1FA"/>
        <bgColor rgb="FFEDF1FA"/>
      </patternFill>
    </fill>
  </fills>
  <borders count="4">
    <border>
      <left/>
      <right/>
      <top/>
      <bottom/>
      <diagonal/>
    </border>
    <border>
      <left style="thin">
        <color rgb="FF000000"/>
      </left>
      <right style="thin">
        <color rgb="FF000000"/>
      </right>
      <top style="thin">
        <color rgb="FF000000"/>
      </top>
      <bottom style="thin">
        <color rgb="FF000000"/>
      </bottom>
      <diagonal/>
    </border>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35">
    <xf numFmtId="0" fontId="0" fillId="0" borderId="0" xfId="0" applyFont="1" applyAlignment="1"/>
    <xf numFmtId="0" fontId="1" fillId="2" borderId="1" xfId="0" applyFont="1" applyFill="1" applyBorder="1" applyAlignment="1">
      <alignment horizontal="center" wrapText="1"/>
    </xf>
    <xf numFmtId="0" fontId="2" fillId="2" borderId="1" xfId="0" applyFont="1" applyFill="1" applyBorder="1" applyAlignment="1">
      <alignment horizontal="center" wrapText="1"/>
    </xf>
    <xf numFmtId="0" fontId="3" fillId="3" borderId="2" xfId="0" applyFont="1" applyFill="1" applyBorder="1"/>
    <xf numFmtId="0" fontId="4" fillId="3" borderId="1" xfId="0" applyFont="1" applyFill="1" applyBorder="1"/>
    <xf numFmtId="0" fontId="4" fillId="3" borderId="1" xfId="0" applyFont="1" applyFill="1" applyBorder="1" applyAlignment="1"/>
    <xf numFmtId="0" fontId="5" fillId="0" borderId="1" xfId="0" applyFont="1" applyBorder="1"/>
    <xf numFmtId="0" fontId="5" fillId="0" borderId="1" xfId="0" applyFont="1" applyBorder="1" applyAlignment="1">
      <alignment wrapText="1"/>
    </xf>
    <xf numFmtId="0" fontId="6" fillId="0" borderId="1" xfId="0" applyFont="1" applyBorder="1" applyAlignment="1">
      <alignment wrapText="1"/>
    </xf>
    <xf numFmtId="0" fontId="4" fillId="0" borderId="0" xfId="0" applyFont="1" applyAlignment="1"/>
    <xf numFmtId="0" fontId="4" fillId="0" borderId="0" xfId="0" applyFont="1"/>
    <xf numFmtId="0" fontId="7" fillId="0" borderId="0" xfId="0" applyFont="1"/>
    <xf numFmtId="0" fontId="8" fillId="0" borderId="0" xfId="0" applyFont="1"/>
    <xf numFmtId="0" fontId="9" fillId="0" borderId="0" xfId="0" applyFont="1"/>
    <xf numFmtId="0" fontId="10" fillId="4" borderId="3" xfId="0" applyFont="1" applyFill="1" applyBorder="1" applyAlignment="1">
      <alignment horizontal="center"/>
    </xf>
    <xf numFmtId="0" fontId="11" fillId="0" borderId="3" xfId="0" applyFont="1" applyBorder="1"/>
    <xf numFmtId="0" fontId="12" fillId="0" borderId="3" xfId="0" applyFont="1" applyBorder="1" applyAlignment="1">
      <alignment horizontal="center"/>
    </xf>
    <xf numFmtId="0" fontId="11" fillId="2" borderId="3" xfId="0" applyFont="1" applyFill="1" applyBorder="1"/>
    <xf numFmtId="0" fontId="11" fillId="2" borderId="3" xfId="0" applyFont="1" applyFill="1" applyBorder="1" applyAlignment="1">
      <alignment horizontal="center"/>
    </xf>
    <xf numFmtId="0" fontId="12" fillId="0" borderId="3" xfId="0" applyFont="1" applyBorder="1" applyAlignment="1">
      <alignment horizontal="left" vertical="center" wrapText="1"/>
    </xf>
    <xf numFmtId="0" fontId="11" fillId="0" borderId="3" xfId="0" applyFont="1" applyBorder="1" applyAlignment="1">
      <alignment horizontal="left" vertical="center"/>
    </xf>
    <xf numFmtId="0" fontId="11" fillId="2" borderId="3" xfId="0" applyFont="1" applyFill="1" applyBorder="1" applyAlignment="1">
      <alignment horizontal="left" vertical="center"/>
    </xf>
    <xf numFmtId="0" fontId="11" fillId="0" borderId="3" xfId="0" applyFont="1" applyBorder="1" applyAlignment="1">
      <alignment horizontal="left" vertical="center" wrapText="1"/>
    </xf>
    <xf numFmtId="0" fontId="11" fillId="0" borderId="3" xfId="0" applyFont="1" applyBorder="1" applyAlignment="1">
      <alignment horizontal="center"/>
    </xf>
    <xf numFmtId="0" fontId="12" fillId="5" borderId="3" xfId="0" applyFont="1" applyFill="1" applyBorder="1" applyAlignment="1">
      <alignment horizontal="left" vertical="center" wrapText="1"/>
    </xf>
    <xf numFmtId="0" fontId="11" fillId="5" borderId="3" xfId="0" applyFont="1" applyFill="1" applyBorder="1" applyAlignment="1">
      <alignment horizontal="center"/>
    </xf>
    <xf numFmtId="0" fontId="12" fillId="0" borderId="3" xfId="0" applyFont="1" applyBorder="1" applyAlignment="1">
      <alignment horizontal="left" vertical="center" wrapText="1"/>
    </xf>
    <xf numFmtId="0" fontId="12" fillId="5" borderId="3" xfId="0" applyFont="1" applyFill="1" applyBorder="1" applyAlignment="1">
      <alignment horizontal="left" vertical="center" wrapText="1"/>
    </xf>
    <xf numFmtId="0" fontId="6" fillId="0" borderId="0" xfId="0" applyFont="1" applyAlignment="1"/>
    <xf numFmtId="0" fontId="6" fillId="0" borderId="0" xfId="0" applyFont="1" applyAlignment="1"/>
    <xf numFmtId="0" fontId="8" fillId="0" borderId="0" xfId="0" applyFont="1"/>
    <xf numFmtId="0" fontId="0" fillId="0" borderId="0" xfId="0" applyFont="1" applyAlignment="1"/>
    <xf numFmtId="0" fontId="14" fillId="0" borderId="1" xfId="0" applyFont="1" applyBorder="1" applyAlignment="1">
      <alignment wrapText="1"/>
    </xf>
    <xf numFmtId="0" fontId="15" fillId="0" borderId="1" xfId="0" applyFont="1" applyBorder="1" applyAlignment="1">
      <alignment wrapText="1"/>
    </xf>
    <xf numFmtId="0" fontId="2" fillId="0" borderId="1" xfId="0" applyFont="1" applyBorder="1" applyAlignment="1">
      <alignment wrapText="1"/>
    </xf>
  </cellXfs>
  <cellStyles count="1">
    <cellStyle name="Обычный"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customschemas.google.com/relationships/workbookmetadata" Target="metadata"/></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1000"/>
  <sheetViews>
    <sheetView topLeftCell="F224" workbookViewId="0">
      <selection activeCell="I225" sqref="F225:I225"/>
    </sheetView>
  </sheetViews>
  <sheetFormatPr defaultColWidth="14.453125" defaultRowHeight="15" customHeight="1" x14ac:dyDescent="0.35"/>
  <cols>
    <col min="1" max="1" width="5" customWidth="1"/>
    <col min="2" max="2" width="30" customWidth="1"/>
    <col min="3" max="3" width="8" customWidth="1"/>
    <col min="4" max="4" width="30" customWidth="1"/>
    <col min="5" max="5" width="50" customWidth="1"/>
    <col min="6" max="6" width="18" customWidth="1"/>
    <col min="7" max="7" width="25" customWidth="1"/>
    <col min="8" max="8" width="50" customWidth="1"/>
    <col min="9" max="9" width="58.08984375" customWidth="1"/>
    <col min="10" max="25" width="8.54296875" customWidth="1"/>
  </cols>
  <sheetData>
    <row r="1" spans="1:9" ht="14.25" customHeight="1" x14ac:dyDescent="0.35">
      <c r="A1" s="1" t="s">
        <v>0</v>
      </c>
      <c r="B1" s="1" t="s">
        <v>1</v>
      </c>
      <c r="C1" s="1" t="s">
        <v>2</v>
      </c>
      <c r="D1" s="1" t="s">
        <v>3</v>
      </c>
      <c r="E1" s="1" t="s">
        <v>4</v>
      </c>
      <c r="F1" s="1" t="s">
        <v>5</v>
      </c>
      <c r="G1" s="1" t="s">
        <v>6</v>
      </c>
      <c r="H1" s="1" t="s">
        <v>7</v>
      </c>
      <c r="I1" s="2" t="s">
        <v>8</v>
      </c>
    </row>
    <row r="2" spans="1:9" ht="14.25" customHeight="1" x14ac:dyDescent="0.35">
      <c r="A2" s="3" t="s">
        <v>9</v>
      </c>
      <c r="B2" s="4"/>
      <c r="C2" s="4"/>
      <c r="D2" s="4"/>
      <c r="E2" s="4"/>
      <c r="F2" s="4"/>
      <c r="G2" s="4"/>
      <c r="H2" s="4"/>
      <c r="I2" s="5"/>
    </row>
    <row r="3" spans="1:9" ht="150.75" customHeight="1" x14ac:dyDescent="0.35">
      <c r="A3" s="6">
        <v>1</v>
      </c>
      <c r="B3" s="7" t="s">
        <v>10</v>
      </c>
      <c r="C3" s="6" t="s">
        <v>11</v>
      </c>
      <c r="D3" s="7" t="s">
        <v>12</v>
      </c>
      <c r="E3" s="7" t="s">
        <v>13</v>
      </c>
      <c r="F3" s="6" t="s">
        <v>14</v>
      </c>
      <c r="G3" s="7" t="s">
        <v>15</v>
      </c>
      <c r="H3" s="7" t="s">
        <v>16</v>
      </c>
      <c r="I3" s="8" t="s">
        <v>17</v>
      </c>
    </row>
    <row r="4" spans="1:9" ht="113.25" customHeight="1" x14ac:dyDescent="0.35">
      <c r="A4" s="6">
        <v>2</v>
      </c>
      <c r="B4" s="7" t="s">
        <v>10</v>
      </c>
      <c r="C4" s="6" t="s">
        <v>11</v>
      </c>
      <c r="D4" s="7" t="s">
        <v>18</v>
      </c>
      <c r="E4" s="7" t="s">
        <v>19</v>
      </c>
      <c r="F4" s="6" t="s">
        <v>14</v>
      </c>
      <c r="G4" s="7" t="s">
        <v>15</v>
      </c>
      <c r="H4" s="7" t="s">
        <v>20</v>
      </c>
      <c r="I4" s="8" t="s">
        <v>21</v>
      </c>
    </row>
    <row r="5" spans="1:9" ht="113.25" customHeight="1" x14ac:dyDescent="0.35">
      <c r="A5" s="6">
        <v>3</v>
      </c>
      <c r="B5" s="7" t="s">
        <v>10</v>
      </c>
      <c r="C5" s="6" t="s">
        <v>22</v>
      </c>
      <c r="D5" s="7" t="s">
        <v>23</v>
      </c>
      <c r="E5" s="7" t="s">
        <v>24</v>
      </c>
      <c r="F5" s="6" t="s">
        <v>14</v>
      </c>
      <c r="G5" s="7" t="s">
        <v>15</v>
      </c>
      <c r="H5" s="7" t="s">
        <v>25</v>
      </c>
      <c r="I5" s="8" t="s">
        <v>26</v>
      </c>
    </row>
    <row r="6" spans="1:9" ht="100.5" customHeight="1" x14ac:dyDescent="0.35">
      <c r="A6" s="6">
        <v>4</v>
      </c>
      <c r="B6" s="7" t="s">
        <v>10</v>
      </c>
      <c r="C6" s="6" t="s">
        <v>22</v>
      </c>
      <c r="D6" s="7" t="s">
        <v>27</v>
      </c>
      <c r="E6" s="7" t="s">
        <v>28</v>
      </c>
      <c r="F6" s="6" t="s">
        <v>14</v>
      </c>
      <c r="G6" s="7" t="s">
        <v>15</v>
      </c>
      <c r="H6" s="7" t="s">
        <v>29</v>
      </c>
      <c r="I6" s="34" t="s">
        <v>1165</v>
      </c>
    </row>
    <row r="7" spans="1:9" ht="150.75" customHeight="1" x14ac:dyDescent="0.35">
      <c r="A7" s="6">
        <v>5</v>
      </c>
      <c r="B7" s="7" t="s">
        <v>10</v>
      </c>
      <c r="C7" s="6" t="s">
        <v>22</v>
      </c>
      <c r="D7" s="7" t="s">
        <v>30</v>
      </c>
      <c r="E7" s="7" t="s">
        <v>31</v>
      </c>
      <c r="F7" s="6" t="s">
        <v>14</v>
      </c>
      <c r="G7" s="7" t="s">
        <v>15</v>
      </c>
      <c r="H7" s="7" t="s">
        <v>32</v>
      </c>
      <c r="I7" s="8" t="s">
        <v>33</v>
      </c>
    </row>
    <row r="8" spans="1:9" ht="225.75" customHeight="1" x14ac:dyDescent="0.35">
      <c r="A8" s="6">
        <v>6</v>
      </c>
      <c r="B8" s="7" t="s">
        <v>10</v>
      </c>
      <c r="C8" s="6" t="s">
        <v>22</v>
      </c>
      <c r="D8" s="7" t="s">
        <v>34</v>
      </c>
      <c r="E8" s="7" t="s">
        <v>35</v>
      </c>
      <c r="F8" s="6" t="s">
        <v>14</v>
      </c>
      <c r="G8" s="7" t="s">
        <v>15</v>
      </c>
      <c r="H8" s="7" t="s">
        <v>36</v>
      </c>
      <c r="I8" s="8" t="s">
        <v>37</v>
      </c>
    </row>
    <row r="9" spans="1:9" ht="63" customHeight="1" x14ac:dyDescent="0.35">
      <c r="A9" s="6">
        <v>7</v>
      </c>
      <c r="B9" s="7" t="s">
        <v>10</v>
      </c>
      <c r="C9" s="6" t="s">
        <v>38</v>
      </c>
      <c r="D9" s="7" t="s">
        <v>39</v>
      </c>
      <c r="E9" s="7" t="s">
        <v>40</v>
      </c>
      <c r="F9" s="6" t="s">
        <v>14</v>
      </c>
      <c r="G9" s="7" t="s">
        <v>41</v>
      </c>
      <c r="H9" s="7" t="s">
        <v>42</v>
      </c>
      <c r="I9" s="8" t="s">
        <v>43</v>
      </c>
    </row>
    <row r="10" spans="1:9" ht="150.75" customHeight="1" x14ac:dyDescent="0.35">
      <c r="A10" s="6">
        <v>8</v>
      </c>
      <c r="B10" s="7" t="s">
        <v>10</v>
      </c>
      <c r="C10" s="6" t="s">
        <v>38</v>
      </c>
      <c r="D10" s="7" t="s">
        <v>44</v>
      </c>
      <c r="E10" s="7" t="s">
        <v>45</v>
      </c>
      <c r="F10" s="6" t="s">
        <v>14</v>
      </c>
      <c r="G10" s="7" t="s">
        <v>15</v>
      </c>
      <c r="H10" s="7" t="s">
        <v>46</v>
      </c>
      <c r="I10" s="8" t="s">
        <v>47</v>
      </c>
    </row>
    <row r="11" spans="1:9" ht="88.5" customHeight="1" x14ac:dyDescent="0.35">
      <c r="A11" s="6">
        <v>9</v>
      </c>
      <c r="B11" s="7" t="s">
        <v>10</v>
      </c>
      <c r="C11" s="6" t="s">
        <v>38</v>
      </c>
      <c r="D11" s="7" t="s">
        <v>48</v>
      </c>
      <c r="E11" s="7" t="s">
        <v>49</v>
      </c>
      <c r="F11" s="6" t="s">
        <v>14</v>
      </c>
      <c r="G11" s="7" t="s">
        <v>41</v>
      </c>
      <c r="H11" s="7" t="s">
        <v>50</v>
      </c>
      <c r="I11" s="8" t="s">
        <v>51</v>
      </c>
    </row>
    <row r="12" spans="1:9" ht="150.75" customHeight="1" x14ac:dyDescent="0.35">
      <c r="A12" s="6">
        <v>10</v>
      </c>
      <c r="B12" s="7" t="s">
        <v>10</v>
      </c>
      <c r="C12" s="6" t="s">
        <v>38</v>
      </c>
      <c r="D12" s="7" t="s">
        <v>52</v>
      </c>
      <c r="E12" s="7" t="s">
        <v>53</v>
      </c>
      <c r="F12" s="6" t="s">
        <v>14</v>
      </c>
      <c r="G12" s="7" t="s">
        <v>15</v>
      </c>
      <c r="H12" s="7" t="s">
        <v>54</v>
      </c>
      <c r="I12" s="8" t="s">
        <v>55</v>
      </c>
    </row>
    <row r="13" spans="1:9" ht="113.25" customHeight="1" x14ac:dyDescent="0.35">
      <c r="A13" s="6">
        <v>11</v>
      </c>
      <c r="B13" s="7" t="s">
        <v>10</v>
      </c>
      <c r="C13" s="6" t="s">
        <v>38</v>
      </c>
      <c r="D13" s="7" t="s">
        <v>56</v>
      </c>
      <c r="E13" s="7" t="s">
        <v>57</v>
      </c>
      <c r="F13" s="6" t="s">
        <v>14</v>
      </c>
      <c r="G13" s="7" t="s">
        <v>15</v>
      </c>
      <c r="H13" s="7" t="s">
        <v>58</v>
      </c>
      <c r="I13" s="8" t="s">
        <v>59</v>
      </c>
    </row>
    <row r="14" spans="1:9" ht="175.5" customHeight="1" x14ac:dyDescent="0.35">
      <c r="A14" s="6">
        <v>12</v>
      </c>
      <c r="B14" s="7" t="s">
        <v>10</v>
      </c>
      <c r="C14" s="6" t="s">
        <v>38</v>
      </c>
      <c r="D14" s="7" t="s">
        <v>60</v>
      </c>
      <c r="E14" s="7" t="s">
        <v>61</v>
      </c>
      <c r="F14" s="6" t="s">
        <v>14</v>
      </c>
      <c r="G14" s="7" t="s">
        <v>15</v>
      </c>
      <c r="H14" s="7" t="s">
        <v>62</v>
      </c>
      <c r="I14" s="8" t="s">
        <v>63</v>
      </c>
    </row>
    <row r="15" spans="1:9" ht="201" customHeight="1" x14ac:dyDescent="0.35">
      <c r="A15" s="6">
        <v>13</v>
      </c>
      <c r="B15" s="7" t="s">
        <v>10</v>
      </c>
      <c r="C15" s="6" t="s">
        <v>64</v>
      </c>
      <c r="D15" s="7" t="s">
        <v>65</v>
      </c>
      <c r="E15" s="7" t="s">
        <v>66</v>
      </c>
      <c r="F15" s="6" t="s">
        <v>14</v>
      </c>
      <c r="G15" s="7" t="s">
        <v>15</v>
      </c>
      <c r="H15" s="7" t="s">
        <v>67</v>
      </c>
      <c r="I15" s="8" t="s">
        <v>68</v>
      </c>
    </row>
    <row r="16" spans="1:9" ht="225.75" customHeight="1" x14ac:dyDescent="0.35">
      <c r="A16" s="6">
        <v>14</v>
      </c>
      <c r="B16" s="7" t="s">
        <v>10</v>
      </c>
      <c r="C16" s="6" t="s">
        <v>64</v>
      </c>
      <c r="D16" s="7" t="s">
        <v>69</v>
      </c>
      <c r="E16" s="7" t="s">
        <v>70</v>
      </c>
      <c r="F16" s="6" t="s">
        <v>14</v>
      </c>
      <c r="G16" s="7" t="s">
        <v>15</v>
      </c>
      <c r="H16" s="7" t="s">
        <v>71</v>
      </c>
      <c r="I16" s="8" t="s">
        <v>72</v>
      </c>
    </row>
    <row r="17" spans="1:9" ht="163.5" customHeight="1" x14ac:dyDescent="0.35">
      <c r="A17" s="6">
        <v>15</v>
      </c>
      <c r="B17" s="7" t="s">
        <v>10</v>
      </c>
      <c r="C17" s="6" t="s">
        <v>64</v>
      </c>
      <c r="D17" s="7" t="s">
        <v>73</v>
      </c>
      <c r="E17" s="7" t="s">
        <v>74</v>
      </c>
      <c r="F17" s="6" t="s">
        <v>14</v>
      </c>
      <c r="G17" s="7" t="s">
        <v>15</v>
      </c>
      <c r="H17" s="7" t="s">
        <v>75</v>
      </c>
      <c r="I17" s="8" t="s">
        <v>76</v>
      </c>
    </row>
    <row r="18" spans="1:9" ht="201" customHeight="1" x14ac:dyDescent="0.35">
      <c r="A18" s="6">
        <v>16</v>
      </c>
      <c r="B18" s="7" t="s">
        <v>10</v>
      </c>
      <c r="C18" s="6" t="s">
        <v>64</v>
      </c>
      <c r="D18" s="7" t="s">
        <v>77</v>
      </c>
      <c r="E18" s="7" t="s">
        <v>78</v>
      </c>
      <c r="F18" s="6" t="s">
        <v>14</v>
      </c>
      <c r="G18" s="7" t="s">
        <v>15</v>
      </c>
      <c r="H18" s="7" t="s">
        <v>79</v>
      </c>
      <c r="I18" s="8" t="s">
        <v>80</v>
      </c>
    </row>
    <row r="19" spans="1:9" ht="150.75" customHeight="1" x14ac:dyDescent="0.35">
      <c r="A19" s="6">
        <v>17</v>
      </c>
      <c r="B19" s="7" t="s">
        <v>10</v>
      </c>
      <c r="C19" s="6" t="s">
        <v>64</v>
      </c>
      <c r="D19" s="7" t="s">
        <v>81</v>
      </c>
      <c r="E19" s="7" t="s">
        <v>82</v>
      </c>
      <c r="F19" s="6" t="s">
        <v>14</v>
      </c>
      <c r="G19" s="7" t="s">
        <v>15</v>
      </c>
      <c r="H19" s="7" t="s">
        <v>83</v>
      </c>
      <c r="I19" s="8" t="s">
        <v>84</v>
      </c>
    </row>
    <row r="20" spans="1:9" ht="100.5" customHeight="1" x14ac:dyDescent="0.35">
      <c r="A20" s="6">
        <v>18</v>
      </c>
      <c r="B20" s="7" t="s">
        <v>10</v>
      </c>
      <c r="C20" s="6" t="s">
        <v>38</v>
      </c>
      <c r="D20" s="7" t="s">
        <v>85</v>
      </c>
      <c r="E20" s="7" t="s">
        <v>86</v>
      </c>
      <c r="F20" s="6" t="s">
        <v>87</v>
      </c>
      <c r="G20" s="7" t="s">
        <v>41</v>
      </c>
      <c r="H20" s="7" t="s">
        <v>88</v>
      </c>
      <c r="I20" s="8" t="s">
        <v>89</v>
      </c>
    </row>
    <row r="21" spans="1:9" ht="225.75" customHeight="1" x14ac:dyDescent="0.35">
      <c r="A21" s="6">
        <v>19</v>
      </c>
      <c r="B21" s="7" t="s">
        <v>10</v>
      </c>
      <c r="C21" s="6" t="s">
        <v>64</v>
      </c>
      <c r="D21" s="7" t="s">
        <v>90</v>
      </c>
      <c r="E21" s="7" t="s">
        <v>91</v>
      </c>
      <c r="F21" s="6" t="s">
        <v>92</v>
      </c>
      <c r="G21" s="7" t="s">
        <v>15</v>
      </c>
      <c r="H21" s="7" t="s">
        <v>93</v>
      </c>
      <c r="I21" s="8" t="s">
        <v>94</v>
      </c>
    </row>
    <row r="22" spans="1:9" ht="138" customHeight="1" x14ac:dyDescent="0.35">
      <c r="A22" s="6">
        <v>20</v>
      </c>
      <c r="B22" s="7" t="s">
        <v>10</v>
      </c>
      <c r="C22" s="6" t="s">
        <v>95</v>
      </c>
      <c r="D22" s="7" t="s">
        <v>96</v>
      </c>
      <c r="E22" s="7" t="s">
        <v>97</v>
      </c>
      <c r="F22" s="6" t="s">
        <v>98</v>
      </c>
      <c r="G22" s="7" t="s">
        <v>15</v>
      </c>
      <c r="H22" s="7" t="s">
        <v>99</v>
      </c>
      <c r="I22" s="8" t="s">
        <v>100</v>
      </c>
    </row>
    <row r="23" spans="1:9" ht="88.5" customHeight="1" x14ac:dyDescent="0.35">
      <c r="A23" s="6">
        <v>21</v>
      </c>
      <c r="B23" s="7" t="s">
        <v>10</v>
      </c>
      <c r="C23" s="6" t="s">
        <v>38</v>
      </c>
      <c r="D23" s="7" t="s">
        <v>101</v>
      </c>
      <c r="E23" s="7" t="s">
        <v>49</v>
      </c>
      <c r="F23" s="6" t="s">
        <v>98</v>
      </c>
      <c r="G23" s="7" t="s">
        <v>102</v>
      </c>
      <c r="H23" s="7" t="s">
        <v>103</v>
      </c>
      <c r="I23" s="8" t="s">
        <v>104</v>
      </c>
    </row>
    <row r="24" spans="1:9" ht="126" customHeight="1" x14ac:dyDescent="0.35">
      <c r="A24" s="6">
        <v>22</v>
      </c>
      <c r="B24" s="7" t="s">
        <v>10</v>
      </c>
      <c r="C24" s="6" t="s">
        <v>38</v>
      </c>
      <c r="D24" s="7" t="s">
        <v>105</v>
      </c>
      <c r="E24" s="7" t="s">
        <v>106</v>
      </c>
      <c r="F24" s="6" t="s">
        <v>98</v>
      </c>
      <c r="G24" s="7" t="s">
        <v>15</v>
      </c>
      <c r="H24" s="7" t="s">
        <v>107</v>
      </c>
      <c r="I24" s="8" t="s">
        <v>108</v>
      </c>
    </row>
    <row r="25" spans="1:9" ht="150.75" customHeight="1" x14ac:dyDescent="0.35">
      <c r="A25" s="6">
        <v>23</v>
      </c>
      <c r="B25" s="7" t="s">
        <v>10</v>
      </c>
      <c r="C25" s="6" t="s">
        <v>64</v>
      </c>
      <c r="D25" s="7"/>
      <c r="E25" s="7" t="s">
        <v>109</v>
      </c>
      <c r="F25" s="6" t="s">
        <v>110</v>
      </c>
      <c r="G25" s="7" t="s">
        <v>15</v>
      </c>
      <c r="H25" s="7" t="s">
        <v>1164</v>
      </c>
      <c r="I25" s="8" t="s">
        <v>111</v>
      </c>
    </row>
    <row r="26" spans="1:9" ht="100.5" customHeight="1" x14ac:dyDescent="0.35">
      <c r="A26" s="6">
        <v>24</v>
      </c>
      <c r="B26" s="7" t="s">
        <v>10</v>
      </c>
      <c r="C26" s="6" t="s">
        <v>22</v>
      </c>
      <c r="D26" s="7" t="s">
        <v>112</v>
      </c>
      <c r="E26" s="7" t="s">
        <v>113</v>
      </c>
      <c r="F26" s="6" t="s">
        <v>114</v>
      </c>
      <c r="G26" s="7" t="s">
        <v>15</v>
      </c>
      <c r="H26" s="7" t="s">
        <v>115</v>
      </c>
      <c r="I26" s="8" t="s">
        <v>116</v>
      </c>
    </row>
    <row r="27" spans="1:9" ht="113.25" customHeight="1" x14ac:dyDescent="0.35">
      <c r="A27" s="6">
        <v>25</v>
      </c>
      <c r="B27" s="7" t="s">
        <v>10</v>
      </c>
      <c r="C27" s="6" t="s">
        <v>22</v>
      </c>
      <c r="D27" s="7" t="s">
        <v>117</v>
      </c>
      <c r="E27" s="7" t="s">
        <v>118</v>
      </c>
      <c r="F27" s="6" t="s">
        <v>119</v>
      </c>
      <c r="G27" s="7" t="s">
        <v>15</v>
      </c>
      <c r="H27" s="7" t="s">
        <v>120</v>
      </c>
      <c r="I27" s="8" t="s">
        <v>121</v>
      </c>
    </row>
    <row r="28" spans="1:9" ht="188.25" customHeight="1" x14ac:dyDescent="0.35">
      <c r="A28" s="6">
        <v>26</v>
      </c>
      <c r="B28" s="7" t="s">
        <v>122</v>
      </c>
      <c r="C28" s="6" t="s">
        <v>95</v>
      </c>
      <c r="D28" s="7" t="s">
        <v>123</v>
      </c>
      <c r="E28" s="7" t="s">
        <v>124</v>
      </c>
      <c r="F28" s="6" t="s">
        <v>14</v>
      </c>
      <c r="G28" s="7" t="s">
        <v>15</v>
      </c>
      <c r="H28" s="7" t="s">
        <v>125</v>
      </c>
      <c r="I28" s="8" t="s">
        <v>126</v>
      </c>
    </row>
    <row r="29" spans="1:9" ht="138" customHeight="1" x14ac:dyDescent="0.35">
      <c r="A29" s="6">
        <v>27</v>
      </c>
      <c r="B29" s="7" t="s">
        <v>122</v>
      </c>
      <c r="C29" s="6" t="s">
        <v>38</v>
      </c>
      <c r="D29" s="7" t="s">
        <v>127</v>
      </c>
      <c r="E29" s="7" t="s">
        <v>128</v>
      </c>
      <c r="F29" s="6" t="s">
        <v>14</v>
      </c>
      <c r="G29" s="7" t="s">
        <v>15</v>
      </c>
      <c r="H29" s="7" t="s">
        <v>129</v>
      </c>
      <c r="I29" s="8" t="s">
        <v>130</v>
      </c>
    </row>
    <row r="30" spans="1:9" ht="113.25" customHeight="1" x14ac:dyDescent="0.35">
      <c r="A30" s="6">
        <v>28</v>
      </c>
      <c r="B30" s="7" t="s">
        <v>122</v>
      </c>
      <c r="C30" s="6" t="s">
        <v>64</v>
      </c>
      <c r="D30" s="7" t="s">
        <v>131</v>
      </c>
      <c r="E30" s="7" t="s">
        <v>132</v>
      </c>
      <c r="F30" s="6" t="s">
        <v>14</v>
      </c>
      <c r="G30" s="7" t="s">
        <v>15</v>
      </c>
      <c r="H30" s="7" t="s">
        <v>133</v>
      </c>
      <c r="I30" s="8" t="s">
        <v>134</v>
      </c>
    </row>
    <row r="31" spans="1:9" ht="138" customHeight="1" x14ac:dyDescent="0.35">
      <c r="A31" s="6">
        <v>29</v>
      </c>
      <c r="B31" s="7" t="s">
        <v>135</v>
      </c>
      <c r="C31" s="6" t="s">
        <v>11</v>
      </c>
      <c r="D31" s="7" t="s">
        <v>136</v>
      </c>
      <c r="E31" s="7" t="s">
        <v>137</v>
      </c>
      <c r="F31" s="6" t="s">
        <v>14</v>
      </c>
      <c r="G31" s="7" t="s">
        <v>15</v>
      </c>
      <c r="H31" s="7" t="s">
        <v>138</v>
      </c>
      <c r="I31" s="8" t="s">
        <v>139</v>
      </c>
    </row>
    <row r="32" spans="1:9" ht="201" customHeight="1" x14ac:dyDescent="0.35">
      <c r="A32" s="6">
        <v>30</v>
      </c>
      <c r="B32" s="7" t="s">
        <v>135</v>
      </c>
      <c r="C32" s="6" t="s">
        <v>11</v>
      </c>
      <c r="D32" s="7" t="s">
        <v>136</v>
      </c>
      <c r="E32" s="7" t="s">
        <v>140</v>
      </c>
      <c r="F32" s="6" t="s">
        <v>14</v>
      </c>
      <c r="G32" s="7" t="s">
        <v>15</v>
      </c>
      <c r="H32" s="7" t="s">
        <v>141</v>
      </c>
      <c r="I32" s="8" t="s">
        <v>142</v>
      </c>
    </row>
    <row r="33" spans="1:9" ht="175.5" customHeight="1" x14ac:dyDescent="0.35">
      <c r="A33" s="6">
        <v>31</v>
      </c>
      <c r="B33" s="7" t="s">
        <v>143</v>
      </c>
      <c r="C33" s="6" t="s">
        <v>11</v>
      </c>
      <c r="D33" s="7" t="s">
        <v>144</v>
      </c>
      <c r="E33" s="7" t="s">
        <v>145</v>
      </c>
      <c r="F33" s="6" t="s">
        <v>14</v>
      </c>
      <c r="G33" s="7" t="s">
        <v>15</v>
      </c>
      <c r="H33" s="7" t="s">
        <v>146</v>
      </c>
      <c r="I33" s="8" t="s">
        <v>147</v>
      </c>
    </row>
    <row r="34" spans="1:9" ht="100.5" customHeight="1" x14ac:dyDescent="0.35">
      <c r="A34" s="6">
        <v>32</v>
      </c>
      <c r="B34" s="7" t="s">
        <v>148</v>
      </c>
      <c r="C34" s="6" t="s">
        <v>95</v>
      </c>
      <c r="D34" s="7" t="s">
        <v>149</v>
      </c>
      <c r="E34" s="7" t="s">
        <v>150</v>
      </c>
      <c r="F34" s="6" t="s">
        <v>14</v>
      </c>
      <c r="G34" s="7" t="s">
        <v>15</v>
      </c>
      <c r="H34" s="7" t="s">
        <v>151</v>
      </c>
      <c r="I34" s="8" t="s">
        <v>152</v>
      </c>
    </row>
    <row r="35" spans="1:9" ht="138" customHeight="1" x14ac:dyDescent="0.35">
      <c r="A35" s="6">
        <v>33</v>
      </c>
      <c r="B35" s="7" t="s">
        <v>143</v>
      </c>
      <c r="C35" s="6" t="s">
        <v>95</v>
      </c>
      <c r="D35" s="7" t="s">
        <v>153</v>
      </c>
      <c r="E35" s="7" t="s">
        <v>154</v>
      </c>
      <c r="F35" s="6" t="s">
        <v>14</v>
      </c>
      <c r="G35" s="7" t="s">
        <v>15</v>
      </c>
      <c r="H35" s="7" t="s">
        <v>155</v>
      </c>
      <c r="I35" s="8" t="s">
        <v>156</v>
      </c>
    </row>
    <row r="36" spans="1:9" ht="88.5" customHeight="1" x14ac:dyDescent="0.35">
      <c r="A36" s="6">
        <v>34</v>
      </c>
      <c r="B36" s="7" t="s">
        <v>148</v>
      </c>
      <c r="C36" s="6" t="s">
        <v>22</v>
      </c>
      <c r="D36" s="7" t="s">
        <v>157</v>
      </c>
      <c r="E36" s="7" t="s">
        <v>158</v>
      </c>
      <c r="F36" s="6" t="s">
        <v>14</v>
      </c>
      <c r="G36" s="7" t="s">
        <v>15</v>
      </c>
      <c r="H36" s="7" t="s">
        <v>159</v>
      </c>
      <c r="I36" s="8" t="s">
        <v>160</v>
      </c>
    </row>
    <row r="37" spans="1:9" ht="150.75" customHeight="1" x14ac:dyDescent="0.35">
      <c r="A37" s="6">
        <v>35</v>
      </c>
      <c r="B37" s="7" t="s">
        <v>143</v>
      </c>
      <c r="C37" s="6" t="s">
        <v>38</v>
      </c>
      <c r="D37" s="7" t="s">
        <v>161</v>
      </c>
      <c r="E37" s="7" t="s">
        <v>162</v>
      </c>
      <c r="F37" s="6" t="s">
        <v>14</v>
      </c>
      <c r="G37" s="7" t="s">
        <v>15</v>
      </c>
      <c r="H37" s="7" t="s">
        <v>163</v>
      </c>
      <c r="I37" s="8" t="s">
        <v>164</v>
      </c>
    </row>
    <row r="38" spans="1:9" ht="138" customHeight="1" x14ac:dyDescent="0.35">
      <c r="A38" s="6">
        <v>36</v>
      </c>
      <c r="B38" s="7" t="s">
        <v>143</v>
      </c>
      <c r="C38" s="6" t="s">
        <v>38</v>
      </c>
      <c r="D38" s="7" t="s">
        <v>165</v>
      </c>
      <c r="E38" s="7" t="s">
        <v>166</v>
      </c>
      <c r="F38" s="6" t="s">
        <v>14</v>
      </c>
      <c r="G38" s="7" t="s">
        <v>15</v>
      </c>
      <c r="H38" s="7" t="s">
        <v>167</v>
      </c>
      <c r="I38" s="8" t="s">
        <v>168</v>
      </c>
    </row>
    <row r="39" spans="1:9" ht="100.5" customHeight="1" x14ac:dyDescent="0.35">
      <c r="A39" s="6">
        <v>37</v>
      </c>
      <c r="B39" s="7" t="s">
        <v>148</v>
      </c>
      <c r="C39" s="6" t="s">
        <v>38</v>
      </c>
      <c r="D39" s="7" t="s">
        <v>169</v>
      </c>
      <c r="E39" s="7" t="s">
        <v>170</v>
      </c>
      <c r="F39" s="6" t="s">
        <v>14</v>
      </c>
      <c r="G39" s="7" t="s">
        <v>15</v>
      </c>
      <c r="H39" s="7" t="s">
        <v>171</v>
      </c>
      <c r="I39" s="8" t="s">
        <v>172</v>
      </c>
    </row>
    <row r="40" spans="1:9" ht="138" customHeight="1" x14ac:dyDescent="0.35">
      <c r="A40" s="6">
        <v>38</v>
      </c>
      <c r="B40" s="7" t="s">
        <v>173</v>
      </c>
      <c r="C40" s="6" t="s">
        <v>38</v>
      </c>
      <c r="D40" s="7" t="s">
        <v>174</v>
      </c>
      <c r="E40" s="7" t="s">
        <v>175</v>
      </c>
      <c r="F40" s="6" t="s">
        <v>14</v>
      </c>
      <c r="G40" s="7" t="s">
        <v>15</v>
      </c>
      <c r="H40" s="7" t="s">
        <v>176</v>
      </c>
      <c r="I40" s="8" t="s">
        <v>177</v>
      </c>
    </row>
    <row r="41" spans="1:9" ht="188.25" customHeight="1" x14ac:dyDescent="0.35">
      <c r="A41" s="6">
        <v>39</v>
      </c>
      <c r="B41" s="7" t="s">
        <v>148</v>
      </c>
      <c r="C41" s="6" t="s">
        <v>38</v>
      </c>
      <c r="D41" s="7" t="s">
        <v>178</v>
      </c>
      <c r="E41" s="7" t="s">
        <v>179</v>
      </c>
      <c r="F41" s="6" t="s">
        <v>14</v>
      </c>
      <c r="G41" s="7" t="s">
        <v>15</v>
      </c>
      <c r="H41" s="7" t="s">
        <v>180</v>
      </c>
      <c r="I41" s="8" t="s">
        <v>181</v>
      </c>
    </row>
    <row r="42" spans="1:9" ht="100.5" customHeight="1" x14ac:dyDescent="0.35">
      <c r="A42" s="6">
        <v>40</v>
      </c>
      <c r="B42" s="7" t="s">
        <v>173</v>
      </c>
      <c r="C42" s="6" t="s">
        <v>38</v>
      </c>
      <c r="D42" s="7" t="s">
        <v>182</v>
      </c>
      <c r="E42" s="7" t="s">
        <v>183</v>
      </c>
      <c r="F42" s="6" t="s">
        <v>14</v>
      </c>
      <c r="G42" s="7" t="s">
        <v>15</v>
      </c>
      <c r="H42" s="7" t="s">
        <v>184</v>
      </c>
      <c r="I42" s="8" t="s">
        <v>185</v>
      </c>
    </row>
    <row r="43" spans="1:9" ht="138" customHeight="1" x14ac:dyDescent="0.35">
      <c r="A43" s="6">
        <v>41</v>
      </c>
      <c r="B43" s="7" t="s">
        <v>173</v>
      </c>
      <c r="C43" s="6" t="s">
        <v>38</v>
      </c>
      <c r="D43" s="7" t="s">
        <v>186</v>
      </c>
      <c r="E43" s="7" t="s">
        <v>187</v>
      </c>
      <c r="F43" s="6" t="s">
        <v>14</v>
      </c>
      <c r="G43" s="7" t="s">
        <v>15</v>
      </c>
      <c r="H43" s="7" t="s">
        <v>188</v>
      </c>
      <c r="I43" s="8" t="s">
        <v>189</v>
      </c>
    </row>
    <row r="44" spans="1:9" ht="88.5" customHeight="1" x14ac:dyDescent="0.35">
      <c r="A44" s="6">
        <v>42</v>
      </c>
      <c r="B44" s="7" t="s">
        <v>143</v>
      </c>
      <c r="C44" s="6" t="s">
        <v>38</v>
      </c>
      <c r="D44" s="7" t="s">
        <v>190</v>
      </c>
      <c r="E44" s="7" t="s">
        <v>191</v>
      </c>
      <c r="F44" s="6" t="s">
        <v>14</v>
      </c>
      <c r="G44" s="7" t="s">
        <v>102</v>
      </c>
      <c r="H44" s="7" t="s">
        <v>192</v>
      </c>
      <c r="I44" s="8" t="s">
        <v>193</v>
      </c>
    </row>
    <row r="45" spans="1:9" ht="163.5" customHeight="1" x14ac:dyDescent="0.35">
      <c r="A45" s="6">
        <v>43</v>
      </c>
      <c r="B45" s="7" t="s">
        <v>143</v>
      </c>
      <c r="C45" s="6" t="s">
        <v>38</v>
      </c>
      <c r="D45" s="7" t="s">
        <v>194</v>
      </c>
      <c r="E45" s="7" t="s">
        <v>195</v>
      </c>
      <c r="F45" s="6" t="s">
        <v>14</v>
      </c>
      <c r="G45" s="7" t="s">
        <v>15</v>
      </c>
      <c r="H45" s="7" t="s">
        <v>196</v>
      </c>
      <c r="I45" s="8" t="s">
        <v>197</v>
      </c>
    </row>
    <row r="46" spans="1:9" ht="188.25" customHeight="1" x14ac:dyDescent="0.35">
      <c r="A46" s="6">
        <v>44</v>
      </c>
      <c r="B46" s="7" t="s">
        <v>143</v>
      </c>
      <c r="C46" s="6" t="s">
        <v>64</v>
      </c>
      <c r="D46" s="7" t="s">
        <v>198</v>
      </c>
      <c r="E46" s="7" t="s">
        <v>199</v>
      </c>
      <c r="F46" s="6" t="s">
        <v>14</v>
      </c>
      <c r="G46" s="7" t="s">
        <v>15</v>
      </c>
      <c r="H46" s="7" t="s">
        <v>200</v>
      </c>
      <c r="I46" s="8" t="s">
        <v>201</v>
      </c>
    </row>
    <row r="47" spans="1:9" ht="250.5" customHeight="1" x14ac:dyDescent="0.35">
      <c r="A47" s="6">
        <v>45</v>
      </c>
      <c r="B47" s="7" t="s">
        <v>143</v>
      </c>
      <c r="C47" s="6" t="s">
        <v>11</v>
      </c>
      <c r="D47" s="7" t="s">
        <v>202</v>
      </c>
      <c r="E47" s="7" t="s">
        <v>203</v>
      </c>
      <c r="F47" s="6" t="s">
        <v>204</v>
      </c>
      <c r="G47" s="7" t="s">
        <v>15</v>
      </c>
      <c r="H47" s="7" t="s">
        <v>205</v>
      </c>
      <c r="I47" s="8" t="s">
        <v>206</v>
      </c>
    </row>
    <row r="48" spans="1:9" ht="138" customHeight="1" x14ac:dyDescent="0.35">
      <c r="A48" s="6">
        <v>46</v>
      </c>
      <c r="B48" s="7" t="s">
        <v>143</v>
      </c>
      <c r="C48" s="6" t="s">
        <v>95</v>
      </c>
      <c r="D48" s="7" t="s">
        <v>207</v>
      </c>
      <c r="E48" s="7" t="s">
        <v>208</v>
      </c>
      <c r="F48" s="6" t="s">
        <v>209</v>
      </c>
      <c r="G48" s="7" t="s">
        <v>15</v>
      </c>
      <c r="H48" s="7" t="s">
        <v>210</v>
      </c>
      <c r="I48" s="8" t="s">
        <v>211</v>
      </c>
    </row>
    <row r="49" spans="1:9" ht="100.5" customHeight="1" x14ac:dyDescent="0.35">
      <c r="A49" s="6">
        <v>47</v>
      </c>
      <c r="B49" s="7" t="s">
        <v>143</v>
      </c>
      <c r="C49" s="6" t="s">
        <v>64</v>
      </c>
      <c r="D49" s="7" t="s">
        <v>212</v>
      </c>
      <c r="E49" s="7" t="s">
        <v>213</v>
      </c>
      <c r="F49" s="6" t="s">
        <v>214</v>
      </c>
      <c r="G49" s="7" t="s">
        <v>41</v>
      </c>
      <c r="H49" s="7" t="s">
        <v>215</v>
      </c>
      <c r="I49" s="8" t="s">
        <v>216</v>
      </c>
    </row>
    <row r="50" spans="1:9" ht="100.5" customHeight="1" x14ac:dyDescent="0.35">
      <c r="A50" s="6">
        <v>48</v>
      </c>
      <c r="B50" s="7" t="s">
        <v>143</v>
      </c>
      <c r="C50" s="6" t="s">
        <v>64</v>
      </c>
      <c r="D50" s="7" t="s">
        <v>212</v>
      </c>
      <c r="E50" s="7" t="s">
        <v>217</v>
      </c>
      <c r="F50" s="6" t="s">
        <v>218</v>
      </c>
      <c r="G50" s="7" t="s">
        <v>41</v>
      </c>
      <c r="H50" s="7" t="s">
        <v>219</v>
      </c>
      <c r="I50" s="8" t="s">
        <v>220</v>
      </c>
    </row>
    <row r="51" spans="1:9" ht="113.25" customHeight="1" x14ac:dyDescent="0.35">
      <c r="A51" s="6">
        <v>49</v>
      </c>
      <c r="B51" s="7" t="s">
        <v>143</v>
      </c>
      <c r="C51" s="6" t="s">
        <v>64</v>
      </c>
      <c r="D51" s="7" t="s">
        <v>221</v>
      </c>
      <c r="E51" s="7" t="s">
        <v>222</v>
      </c>
      <c r="F51" s="6" t="s">
        <v>209</v>
      </c>
      <c r="G51" s="7" t="s">
        <v>41</v>
      </c>
      <c r="H51" s="7" t="s">
        <v>223</v>
      </c>
      <c r="I51" s="8" t="s">
        <v>224</v>
      </c>
    </row>
    <row r="52" spans="1:9" ht="213" customHeight="1" x14ac:dyDescent="0.35">
      <c r="A52" s="6">
        <v>50</v>
      </c>
      <c r="B52" s="7" t="s">
        <v>173</v>
      </c>
      <c r="C52" s="6" t="s">
        <v>22</v>
      </c>
      <c r="D52" s="7" t="s">
        <v>225</v>
      </c>
      <c r="E52" s="7" t="s">
        <v>226</v>
      </c>
      <c r="F52" s="6" t="s">
        <v>92</v>
      </c>
      <c r="G52" s="7" t="s">
        <v>15</v>
      </c>
      <c r="H52" s="7" t="s">
        <v>227</v>
      </c>
      <c r="I52" s="8" t="s">
        <v>228</v>
      </c>
    </row>
    <row r="53" spans="1:9" ht="88.5" customHeight="1" x14ac:dyDescent="0.35">
      <c r="A53" s="6">
        <v>51</v>
      </c>
      <c r="B53" s="7" t="s">
        <v>143</v>
      </c>
      <c r="C53" s="6" t="s">
        <v>95</v>
      </c>
      <c r="D53" s="7" t="s">
        <v>229</v>
      </c>
      <c r="E53" s="7" t="s">
        <v>230</v>
      </c>
      <c r="F53" s="6" t="s">
        <v>231</v>
      </c>
      <c r="G53" s="7" t="s">
        <v>102</v>
      </c>
      <c r="H53" s="7" t="s">
        <v>232</v>
      </c>
      <c r="I53" s="8" t="s">
        <v>233</v>
      </c>
    </row>
    <row r="54" spans="1:9" ht="88.5" customHeight="1" x14ac:dyDescent="0.35">
      <c r="A54" s="6">
        <v>52</v>
      </c>
      <c r="B54" s="7" t="s">
        <v>143</v>
      </c>
      <c r="C54" s="6" t="s">
        <v>38</v>
      </c>
      <c r="D54" s="7" t="s">
        <v>234</v>
      </c>
      <c r="E54" s="7" t="s">
        <v>191</v>
      </c>
      <c r="F54" s="6" t="s">
        <v>14</v>
      </c>
      <c r="G54" s="7" t="s">
        <v>102</v>
      </c>
      <c r="H54" s="7" t="s">
        <v>192</v>
      </c>
      <c r="I54" s="8" t="s">
        <v>235</v>
      </c>
    </row>
    <row r="55" spans="1:9" ht="188.25" customHeight="1" x14ac:dyDescent="0.35">
      <c r="A55" s="6">
        <v>53</v>
      </c>
      <c r="B55" s="7" t="s">
        <v>143</v>
      </c>
      <c r="C55" s="6" t="s">
        <v>64</v>
      </c>
      <c r="D55" s="7" t="s">
        <v>236</v>
      </c>
      <c r="E55" s="7" t="s">
        <v>237</v>
      </c>
      <c r="F55" s="6" t="s">
        <v>98</v>
      </c>
      <c r="G55" s="7" t="s">
        <v>41</v>
      </c>
      <c r="H55" s="7" t="s">
        <v>238</v>
      </c>
      <c r="I55" s="8" t="s">
        <v>239</v>
      </c>
    </row>
    <row r="56" spans="1:9" ht="163.5" customHeight="1" x14ac:dyDescent="0.35">
      <c r="A56" s="6">
        <v>54</v>
      </c>
      <c r="B56" s="7" t="s">
        <v>143</v>
      </c>
      <c r="C56" s="6" t="s">
        <v>64</v>
      </c>
      <c r="D56" s="7" t="s">
        <v>240</v>
      </c>
      <c r="E56" s="7" t="s">
        <v>241</v>
      </c>
      <c r="F56" s="6" t="s">
        <v>98</v>
      </c>
      <c r="G56" s="7" t="s">
        <v>41</v>
      </c>
      <c r="H56" s="7" t="s">
        <v>242</v>
      </c>
      <c r="I56" s="8" t="s">
        <v>243</v>
      </c>
    </row>
    <row r="57" spans="1:9" ht="138" customHeight="1" x14ac:dyDescent="0.35">
      <c r="A57" s="6">
        <v>55</v>
      </c>
      <c r="B57" s="7" t="s">
        <v>143</v>
      </c>
      <c r="C57" s="6" t="s">
        <v>95</v>
      </c>
      <c r="D57" s="7" t="s">
        <v>244</v>
      </c>
      <c r="E57" s="7" t="s">
        <v>245</v>
      </c>
      <c r="F57" s="6" t="s">
        <v>209</v>
      </c>
      <c r="G57" s="7" t="s">
        <v>15</v>
      </c>
      <c r="H57" s="7" t="s">
        <v>246</v>
      </c>
      <c r="I57" s="8" t="s">
        <v>247</v>
      </c>
    </row>
    <row r="58" spans="1:9" ht="63" customHeight="1" x14ac:dyDescent="0.35">
      <c r="A58" s="6">
        <v>56</v>
      </c>
      <c r="B58" s="7" t="s">
        <v>143</v>
      </c>
      <c r="C58" s="6" t="s">
        <v>22</v>
      </c>
      <c r="D58" s="7" t="s">
        <v>248</v>
      </c>
      <c r="E58" s="7" t="s">
        <v>249</v>
      </c>
      <c r="F58" s="6" t="s">
        <v>14</v>
      </c>
      <c r="G58" s="7" t="s">
        <v>41</v>
      </c>
      <c r="H58" s="7" t="s">
        <v>250</v>
      </c>
      <c r="I58" s="8" t="s">
        <v>251</v>
      </c>
    </row>
    <row r="59" spans="1:9" ht="100.5" customHeight="1" x14ac:dyDescent="0.35">
      <c r="A59" s="6">
        <v>57</v>
      </c>
      <c r="B59" s="7" t="s">
        <v>143</v>
      </c>
      <c r="C59" s="6" t="s">
        <v>38</v>
      </c>
      <c r="D59" s="7" t="s">
        <v>252</v>
      </c>
      <c r="E59" s="7" t="s">
        <v>253</v>
      </c>
      <c r="F59" s="6" t="s">
        <v>254</v>
      </c>
      <c r="G59" s="7" t="s">
        <v>102</v>
      </c>
      <c r="H59" s="7" t="s">
        <v>255</v>
      </c>
      <c r="I59" s="8" t="s">
        <v>256</v>
      </c>
    </row>
    <row r="60" spans="1:9" ht="188.25" customHeight="1" x14ac:dyDescent="0.35">
      <c r="A60" s="6">
        <v>58</v>
      </c>
      <c r="B60" s="7" t="s">
        <v>257</v>
      </c>
      <c r="C60" s="6" t="s">
        <v>38</v>
      </c>
      <c r="D60" s="7" t="s">
        <v>258</v>
      </c>
      <c r="E60" s="7" t="s">
        <v>259</v>
      </c>
      <c r="F60" s="6" t="s">
        <v>260</v>
      </c>
      <c r="G60" s="7" t="s">
        <v>15</v>
      </c>
      <c r="H60" s="7" t="s">
        <v>261</v>
      </c>
      <c r="I60" s="8" t="s">
        <v>262</v>
      </c>
    </row>
    <row r="61" spans="1:9" ht="138" customHeight="1" x14ac:dyDescent="0.35">
      <c r="A61" s="6">
        <v>59</v>
      </c>
      <c r="B61" s="7" t="s">
        <v>257</v>
      </c>
      <c r="C61" s="6" t="s">
        <v>64</v>
      </c>
      <c r="D61" s="7" t="s">
        <v>263</v>
      </c>
      <c r="E61" s="7" t="s">
        <v>264</v>
      </c>
      <c r="F61" s="6" t="s">
        <v>14</v>
      </c>
      <c r="G61" s="7" t="s">
        <v>15</v>
      </c>
      <c r="H61" s="7" t="s">
        <v>265</v>
      </c>
      <c r="I61" s="8" t="s">
        <v>266</v>
      </c>
    </row>
    <row r="62" spans="1:9" ht="100.5" customHeight="1" x14ac:dyDescent="0.35">
      <c r="A62" s="6">
        <v>60</v>
      </c>
      <c r="B62" s="7" t="s">
        <v>257</v>
      </c>
      <c r="C62" s="6" t="s">
        <v>22</v>
      </c>
      <c r="D62" s="7" t="s">
        <v>267</v>
      </c>
      <c r="E62" s="7" t="s">
        <v>268</v>
      </c>
      <c r="F62" s="6" t="s">
        <v>92</v>
      </c>
      <c r="G62" s="7" t="s">
        <v>102</v>
      </c>
      <c r="H62" s="7" t="s">
        <v>269</v>
      </c>
      <c r="I62" s="8" t="s">
        <v>270</v>
      </c>
    </row>
    <row r="63" spans="1:9" ht="201" customHeight="1" x14ac:dyDescent="0.35">
      <c r="A63" s="6">
        <v>61</v>
      </c>
      <c r="B63" s="7" t="s">
        <v>257</v>
      </c>
      <c r="C63" s="6" t="s">
        <v>38</v>
      </c>
      <c r="D63" s="7" t="s">
        <v>271</v>
      </c>
      <c r="E63" s="7" t="s">
        <v>272</v>
      </c>
      <c r="F63" s="6" t="s">
        <v>92</v>
      </c>
      <c r="G63" s="7" t="s">
        <v>15</v>
      </c>
      <c r="H63" s="7" t="s">
        <v>273</v>
      </c>
      <c r="I63" s="8" t="s">
        <v>274</v>
      </c>
    </row>
    <row r="64" spans="1:9" ht="113.25" customHeight="1" x14ac:dyDescent="0.35">
      <c r="A64" s="6">
        <v>62</v>
      </c>
      <c r="B64" s="7" t="s">
        <v>257</v>
      </c>
      <c r="C64" s="6" t="s">
        <v>22</v>
      </c>
      <c r="D64" s="7" t="s">
        <v>275</v>
      </c>
      <c r="E64" s="7" t="s">
        <v>276</v>
      </c>
      <c r="F64" s="6" t="s">
        <v>209</v>
      </c>
      <c r="G64" s="7" t="s">
        <v>15</v>
      </c>
      <c r="H64" s="7" t="s">
        <v>277</v>
      </c>
      <c r="I64" s="8" t="s">
        <v>278</v>
      </c>
    </row>
    <row r="65" spans="1:9" ht="88.5" customHeight="1" x14ac:dyDescent="0.35">
      <c r="A65" s="6">
        <v>63</v>
      </c>
      <c r="B65" s="7" t="s">
        <v>257</v>
      </c>
      <c r="C65" s="6" t="s">
        <v>22</v>
      </c>
      <c r="D65" s="7" t="s">
        <v>279</v>
      </c>
      <c r="E65" s="7" t="s">
        <v>280</v>
      </c>
      <c r="F65" s="6" t="s">
        <v>14</v>
      </c>
      <c r="G65" s="7" t="s">
        <v>15</v>
      </c>
      <c r="H65" s="7" t="s">
        <v>281</v>
      </c>
      <c r="I65" s="8" t="s">
        <v>282</v>
      </c>
    </row>
    <row r="66" spans="1:9" ht="100.5" customHeight="1" x14ac:dyDescent="0.35">
      <c r="A66" s="6">
        <v>64</v>
      </c>
      <c r="B66" s="7" t="s">
        <v>257</v>
      </c>
      <c r="C66" s="6" t="s">
        <v>38</v>
      </c>
      <c r="D66" s="7" t="s">
        <v>283</v>
      </c>
      <c r="E66" s="7" t="s">
        <v>284</v>
      </c>
      <c r="F66" s="6" t="s">
        <v>260</v>
      </c>
      <c r="G66" s="7" t="s">
        <v>102</v>
      </c>
      <c r="H66" s="7" t="s">
        <v>285</v>
      </c>
      <c r="I66" s="8" t="s">
        <v>286</v>
      </c>
    </row>
    <row r="67" spans="1:9" ht="75.75" customHeight="1" x14ac:dyDescent="0.35">
      <c r="A67" s="6">
        <v>65</v>
      </c>
      <c r="B67" s="7" t="s">
        <v>287</v>
      </c>
      <c r="C67" s="6" t="s">
        <v>38</v>
      </c>
      <c r="D67" s="7" t="s">
        <v>288</v>
      </c>
      <c r="E67" s="7" t="s">
        <v>289</v>
      </c>
      <c r="F67" s="6" t="s">
        <v>14</v>
      </c>
      <c r="G67" s="7" t="s">
        <v>102</v>
      </c>
      <c r="H67" s="7" t="s">
        <v>290</v>
      </c>
      <c r="I67" s="8" t="s">
        <v>291</v>
      </c>
    </row>
    <row r="68" spans="1:9" ht="113.25" customHeight="1" x14ac:dyDescent="0.35">
      <c r="A68" s="6">
        <v>66</v>
      </c>
      <c r="B68" s="7" t="s">
        <v>287</v>
      </c>
      <c r="C68" s="6" t="s">
        <v>38</v>
      </c>
      <c r="D68" s="7" t="s">
        <v>288</v>
      </c>
      <c r="E68" s="7" t="s">
        <v>292</v>
      </c>
      <c r="F68" s="6" t="s">
        <v>14</v>
      </c>
      <c r="G68" s="7" t="s">
        <v>15</v>
      </c>
      <c r="H68" s="7" t="s">
        <v>293</v>
      </c>
      <c r="I68" s="8" t="s">
        <v>294</v>
      </c>
    </row>
    <row r="69" spans="1:9" ht="225.75" customHeight="1" x14ac:dyDescent="0.35">
      <c r="A69" s="6">
        <v>67</v>
      </c>
      <c r="B69" s="7" t="s">
        <v>287</v>
      </c>
      <c r="C69" s="6" t="s">
        <v>38</v>
      </c>
      <c r="D69" s="7" t="s">
        <v>295</v>
      </c>
      <c r="E69" s="7" t="s">
        <v>296</v>
      </c>
      <c r="F69" s="6" t="s">
        <v>254</v>
      </c>
      <c r="G69" s="7" t="s">
        <v>15</v>
      </c>
      <c r="H69" s="7" t="s">
        <v>297</v>
      </c>
      <c r="I69" s="8" t="s">
        <v>298</v>
      </c>
    </row>
    <row r="70" spans="1:9" ht="150.75" customHeight="1" x14ac:dyDescent="0.35">
      <c r="A70" s="6">
        <v>68</v>
      </c>
      <c r="B70" s="7" t="s">
        <v>287</v>
      </c>
      <c r="C70" s="6" t="s">
        <v>64</v>
      </c>
      <c r="D70" s="7" t="s">
        <v>299</v>
      </c>
      <c r="E70" s="7" t="s">
        <v>300</v>
      </c>
      <c r="F70" s="6" t="s">
        <v>14</v>
      </c>
      <c r="G70" s="7" t="s">
        <v>15</v>
      </c>
      <c r="H70" s="7" t="s">
        <v>301</v>
      </c>
      <c r="I70" s="8" t="s">
        <v>302</v>
      </c>
    </row>
    <row r="71" spans="1:9" ht="188.25" customHeight="1" x14ac:dyDescent="0.35">
      <c r="A71" s="6">
        <v>69</v>
      </c>
      <c r="B71" s="7" t="s">
        <v>287</v>
      </c>
      <c r="C71" s="6" t="s">
        <v>64</v>
      </c>
      <c r="D71" s="7" t="s">
        <v>303</v>
      </c>
      <c r="E71" s="7" t="s">
        <v>304</v>
      </c>
      <c r="F71" s="6" t="s">
        <v>14</v>
      </c>
      <c r="G71" s="7" t="s">
        <v>15</v>
      </c>
      <c r="H71" s="7" t="s">
        <v>305</v>
      </c>
      <c r="I71" s="8" t="s">
        <v>306</v>
      </c>
    </row>
    <row r="72" spans="1:9" ht="188.25" customHeight="1" x14ac:dyDescent="0.35">
      <c r="A72" s="6">
        <v>70</v>
      </c>
      <c r="B72" s="7" t="s">
        <v>287</v>
      </c>
      <c r="C72" s="6" t="s">
        <v>64</v>
      </c>
      <c r="D72" s="7" t="s">
        <v>288</v>
      </c>
      <c r="E72" s="7" t="s">
        <v>307</v>
      </c>
      <c r="F72" s="6" t="s">
        <v>14</v>
      </c>
      <c r="G72" s="7" t="s">
        <v>15</v>
      </c>
      <c r="H72" s="7" t="s">
        <v>308</v>
      </c>
      <c r="I72" s="8" t="s">
        <v>309</v>
      </c>
    </row>
    <row r="73" spans="1:9" ht="100.5" customHeight="1" x14ac:dyDescent="0.35">
      <c r="A73" s="6">
        <v>71</v>
      </c>
      <c r="B73" s="7" t="s">
        <v>287</v>
      </c>
      <c r="C73" s="6" t="s">
        <v>95</v>
      </c>
      <c r="D73" s="7" t="s">
        <v>288</v>
      </c>
      <c r="E73" s="7" t="s">
        <v>310</v>
      </c>
      <c r="F73" s="6" t="s">
        <v>14</v>
      </c>
      <c r="G73" s="7" t="s">
        <v>102</v>
      </c>
      <c r="H73" s="7" t="s">
        <v>311</v>
      </c>
      <c r="I73" s="8" t="s">
        <v>312</v>
      </c>
    </row>
    <row r="74" spans="1:9" ht="100.5" customHeight="1" x14ac:dyDescent="0.35">
      <c r="A74" s="6">
        <v>72</v>
      </c>
      <c r="B74" s="7" t="s">
        <v>287</v>
      </c>
      <c r="C74" s="6" t="s">
        <v>22</v>
      </c>
      <c r="D74" s="7" t="s">
        <v>288</v>
      </c>
      <c r="E74" s="7" t="s">
        <v>313</v>
      </c>
      <c r="F74" s="6" t="s">
        <v>87</v>
      </c>
      <c r="G74" s="7" t="s">
        <v>41</v>
      </c>
      <c r="H74" s="7" t="s">
        <v>314</v>
      </c>
      <c r="I74" s="8" t="s">
        <v>315</v>
      </c>
    </row>
    <row r="75" spans="1:9" ht="138" customHeight="1" x14ac:dyDescent="0.35">
      <c r="A75" s="6">
        <v>73</v>
      </c>
      <c r="B75" s="7" t="s">
        <v>287</v>
      </c>
      <c r="C75" s="6" t="s">
        <v>95</v>
      </c>
      <c r="D75" s="7" t="s">
        <v>316</v>
      </c>
      <c r="E75" s="7" t="s">
        <v>317</v>
      </c>
      <c r="F75" s="6" t="s">
        <v>92</v>
      </c>
      <c r="G75" s="7" t="s">
        <v>41</v>
      </c>
      <c r="H75" s="7" t="s">
        <v>318</v>
      </c>
      <c r="I75" s="8" t="s">
        <v>319</v>
      </c>
    </row>
    <row r="76" spans="1:9" ht="38.25" customHeight="1" x14ac:dyDescent="0.35">
      <c r="A76" s="6">
        <v>74</v>
      </c>
      <c r="B76" s="7" t="s">
        <v>287</v>
      </c>
      <c r="C76" s="6" t="s">
        <v>64</v>
      </c>
      <c r="D76" s="7" t="s">
        <v>288</v>
      </c>
      <c r="E76" s="7" t="s">
        <v>320</v>
      </c>
      <c r="F76" s="6" t="s">
        <v>92</v>
      </c>
      <c r="G76" s="7" t="s">
        <v>41</v>
      </c>
      <c r="H76" s="33" t="s">
        <v>1163</v>
      </c>
      <c r="I76" s="32" t="s">
        <v>1162</v>
      </c>
    </row>
    <row r="77" spans="1:9" ht="100.5" customHeight="1" x14ac:dyDescent="0.35">
      <c r="A77" s="6">
        <v>75</v>
      </c>
      <c r="B77" s="7" t="s">
        <v>287</v>
      </c>
      <c r="C77" s="6" t="s">
        <v>95</v>
      </c>
      <c r="D77" s="7" t="s">
        <v>322</v>
      </c>
      <c r="E77" s="7" t="s">
        <v>323</v>
      </c>
      <c r="F77" s="6" t="s">
        <v>324</v>
      </c>
      <c r="G77" s="7" t="s">
        <v>41</v>
      </c>
      <c r="H77" s="7" t="s">
        <v>325</v>
      </c>
      <c r="I77" s="8" t="s">
        <v>326</v>
      </c>
    </row>
    <row r="78" spans="1:9" ht="100.5" customHeight="1" x14ac:dyDescent="0.35">
      <c r="A78" s="6">
        <v>76</v>
      </c>
      <c r="B78" s="7" t="s">
        <v>287</v>
      </c>
      <c r="C78" s="6" t="s">
        <v>22</v>
      </c>
      <c r="D78" s="7" t="s">
        <v>322</v>
      </c>
      <c r="E78" s="7" t="s">
        <v>327</v>
      </c>
      <c r="F78" s="6" t="s">
        <v>324</v>
      </c>
      <c r="G78" s="7" t="s">
        <v>41</v>
      </c>
      <c r="H78" s="7" t="s">
        <v>325</v>
      </c>
      <c r="I78" s="8" t="s">
        <v>328</v>
      </c>
    </row>
    <row r="79" spans="1:9" ht="175.5" customHeight="1" x14ac:dyDescent="0.35">
      <c r="A79" s="6">
        <v>77</v>
      </c>
      <c r="B79" s="7" t="s">
        <v>287</v>
      </c>
      <c r="C79" s="6" t="s">
        <v>64</v>
      </c>
      <c r="D79" s="7" t="s">
        <v>329</v>
      </c>
      <c r="E79" s="7" t="s">
        <v>330</v>
      </c>
      <c r="F79" s="6" t="s">
        <v>98</v>
      </c>
      <c r="G79" s="7" t="s">
        <v>41</v>
      </c>
      <c r="H79" s="7" t="s">
        <v>331</v>
      </c>
      <c r="I79" s="8" t="s">
        <v>332</v>
      </c>
    </row>
    <row r="80" spans="1:9" ht="126" customHeight="1" x14ac:dyDescent="0.35">
      <c r="A80" s="6">
        <v>78</v>
      </c>
      <c r="B80" s="7" t="s">
        <v>287</v>
      </c>
      <c r="C80" s="6" t="s">
        <v>22</v>
      </c>
      <c r="D80" s="7" t="s">
        <v>288</v>
      </c>
      <c r="E80" s="7" t="s">
        <v>333</v>
      </c>
      <c r="F80" s="6" t="s">
        <v>334</v>
      </c>
      <c r="G80" s="7" t="s">
        <v>41</v>
      </c>
      <c r="H80" s="7" t="s">
        <v>335</v>
      </c>
      <c r="I80" s="8" t="s">
        <v>336</v>
      </c>
    </row>
    <row r="81" spans="1:9" ht="88.5" customHeight="1" x14ac:dyDescent="0.35">
      <c r="A81" s="6">
        <v>79</v>
      </c>
      <c r="B81" s="7" t="s">
        <v>287</v>
      </c>
      <c r="C81" s="6" t="s">
        <v>38</v>
      </c>
      <c r="D81" s="7" t="s">
        <v>337</v>
      </c>
      <c r="E81" s="7" t="s">
        <v>338</v>
      </c>
      <c r="F81" s="6" t="s">
        <v>254</v>
      </c>
      <c r="G81" s="7" t="s">
        <v>41</v>
      </c>
      <c r="H81" s="7" t="s">
        <v>339</v>
      </c>
      <c r="I81" s="8" t="s">
        <v>340</v>
      </c>
    </row>
    <row r="82" spans="1:9" ht="126" customHeight="1" x14ac:dyDescent="0.35">
      <c r="A82" s="6">
        <v>80</v>
      </c>
      <c r="B82" s="7" t="s">
        <v>287</v>
      </c>
      <c r="C82" s="6" t="s">
        <v>38</v>
      </c>
      <c r="D82" s="7" t="s">
        <v>337</v>
      </c>
      <c r="E82" s="7" t="s">
        <v>341</v>
      </c>
      <c r="F82" s="6" t="s">
        <v>342</v>
      </c>
      <c r="G82" s="7" t="s">
        <v>41</v>
      </c>
      <c r="H82" s="7" t="s">
        <v>343</v>
      </c>
      <c r="I82" s="8" t="s">
        <v>344</v>
      </c>
    </row>
    <row r="83" spans="1:9" ht="100.5" customHeight="1" x14ac:dyDescent="0.35">
      <c r="A83" s="6">
        <v>81</v>
      </c>
      <c r="B83" s="7" t="s">
        <v>287</v>
      </c>
      <c r="C83" s="6" t="s">
        <v>38</v>
      </c>
      <c r="D83" s="7" t="s">
        <v>345</v>
      </c>
      <c r="E83" s="7" t="s">
        <v>346</v>
      </c>
      <c r="F83" s="6" t="s">
        <v>260</v>
      </c>
      <c r="G83" s="7" t="s">
        <v>41</v>
      </c>
      <c r="H83" s="7" t="s">
        <v>347</v>
      </c>
      <c r="I83" s="8" t="s">
        <v>348</v>
      </c>
    </row>
    <row r="84" spans="1:9" ht="150.75" customHeight="1" x14ac:dyDescent="0.35">
      <c r="A84" s="6">
        <v>82</v>
      </c>
      <c r="B84" s="7" t="s">
        <v>349</v>
      </c>
      <c r="C84" s="6" t="s">
        <v>38</v>
      </c>
      <c r="D84" s="7" t="s">
        <v>350</v>
      </c>
      <c r="E84" s="7" t="s">
        <v>351</v>
      </c>
      <c r="F84" s="6" t="s">
        <v>352</v>
      </c>
      <c r="G84" s="7" t="s">
        <v>15</v>
      </c>
      <c r="H84" s="7" t="s">
        <v>353</v>
      </c>
      <c r="I84" s="8" t="s">
        <v>354</v>
      </c>
    </row>
    <row r="85" spans="1:9" ht="113.25" customHeight="1" x14ac:dyDescent="0.35">
      <c r="A85" s="6">
        <v>83</v>
      </c>
      <c r="B85" s="7" t="s">
        <v>349</v>
      </c>
      <c r="C85" s="6" t="s">
        <v>38</v>
      </c>
      <c r="D85" s="7" t="s">
        <v>350</v>
      </c>
      <c r="E85" s="7" t="s">
        <v>355</v>
      </c>
      <c r="F85" s="6" t="s">
        <v>352</v>
      </c>
      <c r="G85" s="7" t="s">
        <v>41</v>
      </c>
      <c r="H85" s="7" t="s">
        <v>356</v>
      </c>
      <c r="I85" s="8" t="s">
        <v>357</v>
      </c>
    </row>
    <row r="86" spans="1:9" ht="213" customHeight="1" x14ac:dyDescent="0.35">
      <c r="A86" s="6">
        <v>84</v>
      </c>
      <c r="B86" s="7" t="s">
        <v>358</v>
      </c>
      <c r="C86" s="6" t="s">
        <v>64</v>
      </c>
      <c r="D86" s="7" t="s">
        <v>359</v>
      </c>
      <c r="E86" s="7" t="s">
        <v>360</v>
      </c>
      <c r="F86" s="6" t="s">
        <v>14</v>
      </c>
      <c r="G86" s="7" t="s">
        <v>15</v>
      </c>
      <c r="H86" s="7" t="s">
        <v>361</v>
      </c>
      <c r="I86" s="8" t="s">
        <v>362</v>
      </c>
    </row>
    <row r="87" spans="1:9" ht="126" customHeight="1" x14ac:dyDescent="0.35">
      <c r="A87" s="6">
        <v>85</v>
      </c>
      <c r="B87" s="7" t="s">
        <v>358</v>
      </c>
      <c r="C87" s="6" t="s">
        <v>95</v>
      </c>
      <c r="D87" s="7" t="s">
        <v>363</v>
      </c>
      <c r="E87" s="7" t="s">
        <v>364</v>
      </c>
      <c r="F87" s="6" t="s">
        <v>87</v>
      </c>
      <c r="G87" s="7" t="s">
        <v>15</v>
      </c>
      <c r="H87" s="7" t="s">
        <v>365</v>
      </c>
      <c r="I87" s="8" t="s">
        <v>366</v>
      </c>
    </row>
    <row r="88" spans="1:9" ht="113.25" customHeight="1" x14ac:dyDescent="0.35">
      <c r="A88" s="6">
        <v>86</v>
      </c>
      <c r="B88" s="7" t="s">
        <v>358</v>
      </c>
      <c r="C88" s="6" t="s">
        <v>95</v>
      </c>
      <c r="D88" s="7" t="s">
        <v>367</v>
      </c>
      <c r="E88" s="7" t="s">
        <v>368</v>
      </c>
      <c r="F88" s="6" t="s">
        <v>87</v>
      </c>
      <c r="G88" s="7" t="s">
        <v>15</v>
      </c>
      <c r="H88" s="7" t="s">
        <v>369</v>
      </c>
      <c r="I88" s="8" t="s">
        <v>370</v>
      </c>
    </row>
    <row r="89" spans="1:9" ht="63" customHeight="1" x14ac:dyDescent="0.35">
      <c r="A89" s="6">
        <v>87</v>
      </c>
      <c r="B89" s="7" t="s">
        <v>358</v>
      </c>
      <c r="C89" s="6" t="s">
        <v>22</v>
      </c>
      <c r="D89" s="7" t="s">
        <v>363</v>
      </c>
      <c r="E89" s="7" t="s">
        <v>371</v>
      </c>
      <c r="F89" s="6" t="s">
        <v>87</v>
      </c>
      <c r="G89" s="7" t="s">
        <v>15</v>
      </c>
      <c r="H89" s="7" t="s">
        <v>372</v>
      </c>
      <c r="I89" s="8" t="s">
        <v>373</v>
      </c>
    </row>
    <row r="90" spans="1:9" ht="175.5" customHeight="1" x14ac:dyDescent="0.35">
      <c r="A90" s="6">
        <v>88</v>
      </c>
      <c r="B90" s="7" t="s">
        <v>358</v>
      </c>
      <c r="C90" s="6" t="s">
        <v>38</v>
      </c>
      <c r="D90" s="7" t="s">
        <v>374</v>
      </c>
      <c r="E90" s="7" t="s">
        <v>375</v>
      </c>
      <c r="F90" s="6" t="s">
        <v>87</v>
      </c>
      <c r="G90" s="7" t="s">
        <v>15</v>
      </c>
      <c r="H90" s="7" t="s">
        <v>376</v>
      </c>
      <c r="I90" s="8" t="s">
        <v>377</v>
      </c>
    </row>
    <row r="91" spans="1:9" ht="138" customHeight="1" x14ac:dyDescent="0.35">
      <c r="A91" s="6">
        <v>89</v>
      </c>
      <c r="B91" s="7" t="s">
        <v>358</v>
      </c>
      <c r="C91" s="6" t="s">
        <v>38</v>
      </c>
      <c r="D91" s="7" t="s">
        <v>378</v>
      </c>
      <c r="E91" s="7" t="s">
        <v>379</v>
      </c>
      <c r="F91" s="6" t="s">
        <v>87</v>
      </c>
      <c r="G91" s="7" t="s">
        <v>41</v>
      </c>
      <c r="H91" s="7" t="s">
        <v>380</v>
      </c>
      <c r="I91" s="8" t="s">
        <v>381</v>
      </c>
    </row>
    <row r="92" spans="1:9" ht="100.5" customHeight="1" x14ac:dyDescent="0.35">
      <c r="A92" s="6">
        <v>90</v>
      </c>
      <c r="B92" s="7" t="s">
        <v>358</v>
      </c>
      <c r="C92" s="6" t="s">
        <v>64</v>
      </c>
      <c r="D92" s="7" t="s">
        <v>378</v>
      </c>
      <c r="E92" s="7" t="s">
        <v>382</v>
      </c>
      <c r="F92" s="6" t="s">
        <v>87</v>
      </c>
      <c r="G92" s="7" t="s">
        <v>15</v>
      </c>
      <c r="H92" s="7" t="s">
        <v>383</v>
      </c>
      <c r="I92" s="8" t="s">
        <v>384</v>
      </c>
    </row>
    <row r="93" spans="1:9" ht="201" customHeight="1" x14ac:dyDescent="0.35">
      <c r="A93" s="6">
        <v>91</v>
      </c>
      <c r="B93" s="7" t="s">
        <v>358</v>
      </c>
      <c r="C93" s="6" t="s">
        <v>64</v>
      </c>
      <c r="D93" s="7" t="s">
        <v>385</v>
      </c>
      <c r="E93" s="7" t="s">
        <v>386</v>
      </c>
      <c r="F93" s="6" t="s">
        <v>87</v>
      </c>
      <c r="G93" s="7" t="s">
        <v>15</v>
      </c>
      <c r="H93" s="7" t="s">
        <v>387</v>
      </c>
      <c r="I93" s="8" t="s">
        <v>388</v>
      </c>
    </row>
    <row r="94" spans="1:9" ht="163.5" customHeight="1" x14ac:dyDescent="0.35">
      <c r="A94" s="6">
        <v>92</v>
      </c>
      <c r="B94" s="7" t="s">
        <v>358</v>
      </c>
      <c r="C94" s="6" t="s">
        <v>64</v>
      </c>
      <c r="D94" s="7" t="s">
        <v>363</v>
      </c>
      <c r="E94" s="7" t="s">
        <v>389</v>
      </c>
      <c r="F94" s="6" t="s">
        <v>87</v>
      </c>
      <c r="G94" s="7" t="s">
        <v>102</v>
      </c>
      <c r="H94" s="7" t="s">
        <v>390</v>
      </c>
      <c r="I94" s="8" t="s">
        <v>391</v>
      </c>
    </row>
    <row r="95" spans="1:9" ht="63" customHeight="1" x14ac:dyDescent="0.35">
      <c r="A95" s="6">
        <v>93</v>
      </c>
      <c r="B95" s="7" t="s">
        <v>358</v>
      </c>
      <c r="C95" s="6" t="s">
        <v>64</v>
      </c>
      <c r="D95" s="7" t="s">
        <v>363</v>
      </c>
      <c r="E95" s="7" t="s">
        <v>392</v>
      </c>
      <c r="F95" s="6" t="s">
        <v>87</v>
      </c>
      <c r="G95" s="7" t="s">
        <v>102</v>
      </c>
      <c r="H95" s="7" t="s">
        <v>393</v>
      </c>
      <c r="I95" s="8" t="s">
        <v>394</v>
      </c>
    </row>
    <row r="96" spans="1:9" ht="100.5" customHeight="1" x14ac:dyDescent="0.35">
      <c r="A96" s="6">
        <v>94</v>
      </c>
      <c r="B96" s="7" t="s">
        <v>358</v>
      </c>
      <c r="C96" s="6" t="s">
        <v>95</v>
      </c>
      <c r="D96" s="7" t="s">
        <v>395</v>
      </c>
      <c r="E96" s="7" t="s">
        <v>396</v>
      </c>
      <c r="F96" s="6" t="s">
        <v>92</v>
      </c>
      <c r="G96" s="7" t="s">
        <v>102</v>
      </c>
      <c r="H96" s="7" t="s">
        <v>397</v>
      </c>
      <c r="I96" s="8" t="s">
        <v>398</v>
      </c>
    </row>
    <row r="97" spans="1:9" ht="100.5" customHeight="1" x14ac:dyDescent="0.35">
      <c r="A97" s="6">
        <v>95</v>
      </c>
      <c r="B97" s="7" t="s">
        <v>358</v>
      </c>
      <c r="C97" s="6" t="s">
        <v>95</v>
      </c>
      <c r="D97" s="7" t="s">
        <v>399</v>
      </c>
      <c r="E97" s="7" t="s">
        <v>400</v>
      </c>
      <c r="F97" s="6" t="s">
        <v>92</v>
      </c>
      <c r="G97" s="7" t="s">
        <v>15</v>
      </c>
      <c r="H97" s="7" t="s">
        <v>401</v>
      </c>
      <c r="I97" s="8" t="s">
        <v>402</v>
      </c>
    </row>
    <row r="98" spans="1:9" ht="100.5" customHeight="1" x14ac:dyDescent="0.35">
      <c r="A98" s="6">
        <v>96</v>
      </c>
      <c r="B98" s="7" t="s">
        <v>403</v>
      </c>
      <c r="C98" s="6" t="s">
        <v>22</v>
      </c>
      <c r="D98" s="7" t="s">
        <v>404</v>
      </c>
      <c r="E98" s="7" t="s">
        <v>405</v>
      </c>
      <c r="F98" s="6" t="s">
        <v>87</v>
      </c>
      <c r="G98" s="7" t="s">
        <v>102</v>
      </c>
      <c r="H98" s="7" t="s">
        <v>406</v>
      </c>
      <c r="I98" s="8" t="s">
        <v>407</v>
      </c>
    </row>
    <row r="99" spans="1:9" ht="63" customHeight="1" x14ac:dyDescent="0.35">
      <c r="A99" s="6">
        <v>97</v>
      </c>
      <c r="B99" s="7" t="s">
        <v>403</v>
      </c>
      <c r="C99" s="6" t="s">
        <v>38</v>
      </c>
      <c r="D99" s="7" t="s">
        <v>408</v>
      </c>
      <c r="E99" s="7" t="s">
        <v>409</v>
      </c>
      <c r="F99" s="6" t="s">
        <v>87</v>
      </c>
      <c r="G99" s="7" t="s">
        <v>102</v>
      </c>
      <c r="H99" s="7" t="s">
        <v>410</v>
      </c>
      <c r="I99" s="8" t="s">
        <v>411</v>
      </c>
    </row>
    <row r="100" spans="1:9" ht="188.25" customHeight="1" x14ac:dyDescent="0.35">
      <c r="A100" s="6">
        <v>98</v>
      </c>
      <c r="B100" s="7" t="s">
        <v>403</v>
      </c>
      <c r="C100" s="6" t="s">
        <v>38</v>
      </c>
      <c r="D100" s="7" t="s">
        <v>412</v>
      </c>
      <c r="E100" s="7" t="s">
        <v>413</v>
      </c>
      <c r="F100" s="6" t="s">
        <v>87</v>
      </c>
      <c r="G100" s="7" t="s">
        <v>15</v>
      </c>
      <c r="H100" s="7" t="s">
        <v>414</v>
      </c>
      <c r="I100" s="8" t="s">
        <v>415</v>
      </c>
    </row>
    <row r="101" spans="1:9" ht="138" customHeight="1" x14ac:dyDescent="0.35">
      <c r="A101" s="6">
        <v>99</v>
      </c>
      <c r="B101" s="7" t="s">
        <v>403</v>
      </c>
      <c r="C101" s="6" t="s">
        <v>38</v>
      </c>
      <c r="D101" s="7" t="s">
        <v>416</v>
      </c>
      <c r="E101" s="7" t="s">
        <v>417</v>
      </c>
      <c r="F101" s="6" t="s">
        <v>87</v>
      </c>
      <c r="G101" s="7" t="s">
        <v>102</v>
      </c>
      <c r="H101" s="7" t="s">
        <v>418</v>
      </c>
      <c r="I101" s="8" t="s">
        <v>419</v>
      </c>
    </row>
    <row r="102" spans="1:9" ht="100.5" customHeight="1" x14ac:dyDescent="0.35">
      <c r="A102" s="6">
        <v>100</v>
      </c>
      <c r="B102" s="7" t="s">
        <v>403</v>
      </c>
      <c r="C102" s="6" t="s">
        <v>64</v>
      </c>
      <c r="D102" s="7" t="s">
        <v>408</v>
      </c>
      <c r="E102" s="7" t="s">
        <v>420</v>
      </c>
      <c r="F102" s="6" t="s">
        <v>87</v>
      </c>
      <c r="G102" s="7" t="s">
        <v>41</v>
      </c>
      <c r="H102" s="7" t="s">
        <v>421</v>
      </c>
      <c r="I102" s="8" t="s">
        <v>422</v>
      </c>
    </row>
    <row r="103" spans="1:9" ht="100.5" customHeight="1" x14ac:dyDescent="0.35">
      <c r="A103" s="6">
        <v>101</v>
      </c>
      <c r="B103" s="7" t="s">
        <v>403</v>
      </c>
      <c r="C103" s="6" t="s">
        <v>64</v>
      </c>
      <c r="D103" s="7" t="s">
        <v>408</v>
      </c>
      <c r="E103" s="7" t="s">
        <v>423</v>
      </c>
      <c r="F103" s="6" t="s">
        <v>87</v>
      </c>
      <c r="G103" s="7" t="s">
        <v>41</v>
      </c>
      <c r="H103" s="7" t="s">
        <v>424</v>
      </c>
      <c r="I103" s="8" t="s">
        <v>425</v>
      </c>
    </row>
    <row r="104" spans="1:9" ht="163.5" customHeight="1" x14ac:dyDescent="0.35">
      <c r="A104" s="6">
        <v>102</v>
      </c>
      <c r="B104" s="7" t="s">
        <v>403</v>
      </c>
      <c r="C104" s="6" t="s">
        <v>64</v>
      </c>
      <c r="D104" s="7" t="s">
        <v>426</v>
      </c>
      <c r="E104" s="7" t="s">
        <v>427</v>
      </c>
      <c r="F104" s="6" t="s">
        <v>87</v>
      </c>
      <c r="G104" s="7" t="s">
        <v>102</v>
      </c>
      <c r="H104" s="7" t="s">
        <v>428</v>
      </c>
      <c r="I104" s="8" t="s">
        <v>429</v>
      </c>
    </row>
    <row r="105" spans="1:9" ht="100.5" customHeight="1" x14ac:dyDescent="0.35">
      <c r="A105" s="6">
        <v>103</v>
      </c>
      <c r="B105" s="7" t="s">
        <v>403</v>
      </c>
      <c r="C105" s="6" t="s">
        <v>64</v>
      </c>
      <c r="D105" s="7" t="s">
        <v>430</v>
      </c>
      <c r="E105" s="7" t="s">
        <v>431</v>
      </c>
      <c r="F105" s="6" t="s">
        <v>87</v>
      </c>
      <c r="G105" s="7" t="s">
        <v>41</v>
      </c>
      <c r="H105" s="7" t="s">
        <v>432</v>
      </c>
      <c r="I105" s="8" t="s">
        <v>433</v>
      </c>
    </row>
    <row r="106" spans="1:9" ht="138" customHeight="1" x14ac:dyDescent="0.35">
      <c r="A106" s="6">
        <v>104</v>
      </c>
      <c r="B106" s="7" t="s">
        <v>403</v>
      </c>
      <c r="C106" s="6" t="s">
        <v>64</v>
      </c>
      <c r="D106" s="7" t="s">
        <v>434</v>
      </c>
      <c r="E106" s="7" t="s">
        <v>435</v>
      </c>
      <c r="F106" s="6" t="s">
        <v>87</v>
      </c>
      <c r="G106" s="7" t="s">
        <v>41</v>
      </c>
      <c r="H106" s="7" t="s">
        <v>436</v>
      </c>
      <c r="I106" s="8" t="s">
        <v>437</v>
      </c>
    </row>
    <row r="107" spans="1:9" ht="14.25" customHeight="1" x14ac:dyDescent="0.35">
      <c r="A107" s="3" t="s">
        <v>438</v>
      </c>
      <c r="B107" s="4"/>
      <c r="C107" s="4"/>
      <c r="D107" s="4"/>
      <c r="E107" s="4"/>
      <c r="F107" s="4"/>
      <c r="G107" s="4"/>
      <c r="H107" s="4"/>
      <c r="I107" s="5"/>
    </row>
    <row r="108" spans="1:9" ht="100.5" customHeight="1" x14ac:dyDescent="0.35">
      <c r="A108" s="6">
        <v>105</v>
      </c>
      <c r="B108" s="7" t="s">
        <v>439</v>
      </c>
      <c r="C108" s="6" t="s">
        <v>11</v>
      </c>
      <c r="D108" s="7" t="s">
        <v>440</v>
      </c>
      <c r="E108" s="7" t="s">
        <v>441</v>
      </c>
      <c r="F108" s="6" t="s">
        <v>442</v>
      </c>
      <c r="G108" s="7" t="s">
        <v>15</v>
      </c>
      <c r="H108" s="7" t="s">
        <v>443</v>
      </c>
      <c r="I108" s="8" t="s">
        <v>444</v>
      </c>
    </row>
    <row r="109" spans="1:9" ht="201" customHeight="1" x14ac:dyDescent="0.35">
      <c r="A109" s="6">
        <v>106</v>
      </c>
      <c r="B109" s="7" t="s">
        <v>445</v>
      </c>
      <c r="C109" s="6" t="s">
        <v>11</v>
      </c>
      <c r="D109" s="7" t="s">
        <v>446</v>
      </c>
      <c r="E109" s="7" t="s">
        <v>447</v>
      </c>
      <c r="F109" s="6" t="s">
        <v>448</v>
      </c>
      <c r="G109" s="7" t="s">
        <v>15</v>
      </c>
      <c r="H109" s="7" t="s">
        <v>449</v>
      </c>
      <c r="I109" s="8" t="s">
        <v>450</v>
      </c>
    </row>
    <row r="110" spans="1:9" ht="201" customHeight="1" x14ac:dyDescent="0.35">
      <c r="A110" s="6">
        <v>107</v>
      </c>
      <c r="B110" s="7" t="s">
        <v>439</v>
      </c>
      <c r="C110" s="6" t="s">
        <v>11</v>
      </c>
      <c r="D110" s="7" t="s">
        <v>451</v>
      </c>
      <c r="E110" s="7" t="s">
        <v>452</v>
      </c>
      <c r="F110" s="6" t="s">
        <v>448</v>
      </c>
      <c r="G110" s="7" t="s">
        <v>15</v>
      </c>
      <c r="H110" s="7" t="s">
        <v>453</v>
      </c>
      <c r="I110" s="8" t="s">
        <v>454</v>
      </c>
    </row>
    <row r="111" spans="1:9" ht="201" customHeight="1" x14ac:dyDescent="0.35">
      <c r="A111" s="6">
        <v>108</v>
      </c>
      <c r="B111" s="7" t="s">
        <v>445</v>
      </c>
      <c r="C111" s="6" t="s">
        <v>11</v>
      </c>
      <c r="D111" s="7" t="s">
        <v>455</v>
      </c>
      <c r="E111" s="7" t="s">
        <v>456</v>
      </c>
      <c r="F111" s="6" t="s">
        <v>14</v>
      </c>
      <c r="G111" s="7" t="s">
        <v>15</v>
      </c>
      <c r="H111" s="7" t="s">
        <v>457</v>
      </c>
      <c r="I111" s="8" t="s">
        <v>458</v>
      </c>
    </row>
    <row r="112" spans="1:9" ht="100.5" customHeight="1" x14ac:dyDescent="0.35">
      <c r="A112" s="6">
        <v>109</v>
      </c>
      <c r="B112" s="7" t="s">
        <v>459</v>
      </c>
      <c r="C112" s="6" t="s">
        <v>95</v>
      </c>
      <c r="D112" s="7" t="s">
        <v>460</v>
      </c>
      <c r="E112" s="7" t="s">
        <v>461</v>
      </c>
      <c r="F112" s="6" t="s">
        <v>14</v>
      </c>
      <c r="G112" s="7" t="s">
        <v>15</v>
      </c>
      <c r="H112" s="7" t="s">
        <v>462</v>
      </c>
      <c r="I112" s="8" t="s">
        <v>463</v>
      </c>
    </row>
    <row r="113" spans="1:9" ht="150.75" customHeight="1" x14ac:dyDescent="0.35">
      <c r="A113" s="6">
        <v>110</v>
      </c>
      <c r="B113" s="7" t="s">
        <v>439</v>
      </c>
      <c r="C113" s="6" t="s">
        <v>95</v>
      </c>
      <c r="D113" s="7" t="s">
        <v>464</v>
      </c>
      <c r="E113" s="7" t="s">
        <v>465</v>
      </c>
      <c r="F113" s="6" t="s">
        <v>14</v>
      </c>
      <c r="G113" s="7" t="s">
        <v>15</v>
      </c>
      <c r="H113" s="7" t="s">
        <v>466</v>
      </c>
      <c r="I113" s="8" t="s">
        <v>467</v>
      </c>
    </row>
    <row r="114" spans="1:9" ht="100.5" customHeight="1" x14ac:dyDescent="0.35">
      <c r="A114" s="6">
        <v>111</v>
      </c>
      <c r="B114" s="7" t="s">
        <v>439</v>
      </c>
      <c r="C114" s="6" t="s">
        <v>95</v>
      </c>
      <c r="D114" s="7" t="s">
        <v>468</v>
      </c>
      <c r="E114" s="7" t="s">
        <v>469</v>
      </c>
      <c r="F114" s="6" t="s">
        <v>14</v>
      </c>
      <c r="G114" s="7" t="s">
        <v>15</v>
      </c>
      <c r="H114" s="7" t="s">
        <v>470</v>
      </c>
      <c r="I114" s="8" t="s">
        <v>471</v>
      </c>
    </row>
    <row r="115" spans="1:9" ht="150.75" customHeight="1" x14ac:dyDescent="0.35">
      <c r="A115" s="6">
        <v>112</v>
      </c>
      <c r="B115" s="7" t="s">
        <v>439</v>
      </c>
      <c r="C115" s="6" t="s">
        <v>95</v>
      </c>
      <c r="D115" s="7" t="s">
        <v>472</v>
      </c>
      <c r="E115" s="7" t="s">
        <v>473</v>
      </c>
      <c r="F115" s="6" t="s">
        <v>14</v>
      </c>
      <c r="G115" s="7" t="s">
        <v>15</v>
      </c>
      <c r="H115" s="7" t="s">
        <v>474</v>
      </c>
      <c r="I115" s="8" t="s">
        <v>475</v>
      </c>
    </row>
    <row r="116" spans="1:9" ht="225.75" customHeight="1" x14ac:dyDescent="0.35">
      <c r="A116" s="6">
        <v>113</v>
      </c>
      <c r="B116" s="7" t="s">
        <v>476</v>
      </c>
      <c r="C116" s="6" t="s">
        <v>95</v>
      </c>
      <c r="D116" s="7" t="s">
        <v>477</v>
      </c>
      <c r="E116" s="7" t="s">
        <v>478</v>
      </c>
      <c r="F116" s="6" t="s">
        <v>14</v>
      </c>
      <c r="G116" s="7" t="s">
        <v>15</v>
      </c>
      <c r="H116" s="7" t="s">
        <v>479</v>
      </c>
      <c r="I116" s="8" t="s">
        <v>480</v>
      </c>
    </row>
    <row r="117" spans="1:9" ht="100.5" customHeight="1" x14ac:dyDescent="0.35">
      <c r="A117" s="6">
        <v>114</v>
      </c>
      <c r="B117" s="7" t="s">
        <v>459</v>
      </c>
      <c r="C117" s="6" t="s">
        <v>95</v>
      </c>
      <c r="D117" s="7" t="s">
        <v>481</v>
      </c>
      <c r="E117" s="7" t="s">
        <v>482</v>
      </c>
      <c r="F117" s="6" t="s">
        <v>14</v>
      </c>
      <c r="G117" s="7" t="s">
        <v>15</v>
      </c>
      <c r="H117" s="7" t="s">
        <v>483</v>
      </c>
      <c r="I117" s="8" t="s">
        <v>484</v>
      </c>
    </row>
    <row r="118" spans="1:9" ht="150.75" customHeight="1" x14ac:dyDescent="0.35">
      <c r="A118" s="6">
        <v>115</v>
      </c>
      <c r="B118" s="7" t="s">
        <v>439</v>
      </c>
      <c r="C118" s="6" t="s">
        <v>38</v>
      </c>
      <c r="D118" s="7" t="s">
        <v>485</v>
      </c>
      <c r="E118" s="7" t="s">
        <v>486</v>
      </c>
      <c r="F118" s="6" t="s">
        <v>14</v>
      </c>
      <c r="G118" s="7" t="s">
        <v>15</v>
      </c>
      <c r="H118" s="7" t="s">
        <v>487</v>
      </c>
      <c r="I118" s="8" t="s">
        <v>488</v>
      </c>
    </row>
    <row r="119" spans="1:9" ht="100.5" customHeight="1" x14ac:dyDescent="0.35">
      <c r="A119" s="6">
        <v>116</v>
      </c>
      <c r="B119" s="7" t="s">
        <v>439</v>
      </c>
      <c r="C119" s="6" t="s">
        <v>38</v>
      </c>
      <c r="D119" s="7" t="s">
        <v>489</v>
      </c>
      <c r="E119" s="7" t="s">
        <v>490</v>
      </c>
      <c r="F119" s="6" t="s">
        <v>14</v>
      </c>
      <c r="G119" s="7" t="s">
        <v>15</v>
      </c>
      <c r="H119" s="7" t="s">
        <v>491</v>
      </c>
      <c r="I119" s="8" t="s">
        <v>492</v>
      </c>
    </row>
    <row r="120" spans="1:9" ht="113.25" customHeight="1" x14ac:dyDescent="0.35">
      <c r="A120" s="6">
        <v>117</v>
      </c>
      <c r="B120" s="7" t="s">
        <v>445</v>
      </c>
      <c r="C120" s="6" t="s">
        <v>38</v>
      </c>
      <c r="D120" s="7" t="s">
        <v>493</v>
      </c>
      <c r="E120" s="7" t="s">
        <v>494</v>
      </c>
      <c r="F120" s="6" t="s">
        <v>14</v>
      </c>
      <c r="G120" s="7" t="s">
        <v>15</v>
      </c>
      <c r="H120" s="7" t="s">
        <v>495</v>
      </c>
      <c r="I120" s="8" t="s">
        <v>496</v>
      </c>
    </row>
    <row r="121" spans="1:9" ht="138" customHeight="1" x14ac:dyDescent="0.35">
      <c r="A121" s="6">
        <v>118</v>
      </c>
      <c r="B121" s="7" t="s">
        <v>439</v>
      </c>
      <c r="C121" s="6" t="s">
        <v>38</v>
      </c>
      <c r="D121" s="7" t="s">
        <v>497</v>
      </c>
      <c r="E121" s="7" t="s">
        <v>498</v>
      </c>
      <c r="F121" s="6" t="s">
        <v>14</v>
      </c>
      <c r="G121" s="7" t="s">
        <v>15</v>
      </c>
      <c r="H121" s="7" t="s">
        <v>499</v>
      </c>
      <c r="I121" s="8" t="s">
        <v>500</v>
      </c>
    </row>
    <row r="122" spans="1:9" ht="201" customHeight="1" x14ac:dyDescent="0.35">
      <c r="A122" s="6">
        <v>119</v>
      </c>
      <c r="B122" s="7" t="s">
        <v>501</v>
      </c>
      <c r="C122" s="6" t="s">
        <v>38</v>
      </c>
      <c r="D122" s="7" t="s">
        <v>502</v>
      </c>
      <c r="E122" s="7" t="s">
        <v>503</v>
      </c>
      <c r="F122" s="6" t="s">
        <v>14</v>
      </c>
      <c r="G122" s="7" t="s">
        <v>15</v>
      </c>
      <c r="H122" s="7" t="s">
        <v>504</v>
      </c>
      <c r="I122" s="8" t="s">
        <v>505</v>
      </c>
    </row>
    <row r="123" spans="1:9" ht="138" customHeight="1" x14ac:dyDescent="0.35">
      <c r="A123" s="6">
        <v>120</v>
      </c>
      <c r="B123" s="7" t="s">
        <v>439</v>
      </c>
      <c r="C123" s="6" t="s">
        <v>64</v>
      </c>
      <c r="D123" s="7" t="s">
        <v>506</v>
      </c>
      <c r="E123" s="7" t="s">
        <v>507</v>
      </c>
      <c r="F123" s="6" t="s">
        <v>14</v>
      </c>
      <c r="G123" s="7" t="s">
        <v>15</v>
      </c>
      <c r="H123" s="7" t="s">
        <v>508</v>
      </c>
      <c r="I123" s="8" t="s">
        <v>509</v>
      </c>
    </row>
    <row r="124" spans="1:9" ht="113.25" customHeight="1" x14ac:dyDescent="0.35">
      <c r="A124" s="6">
        <v>121</v>
      </c>
      <c r="B124" s="7" t="s">
        <v>439</v>
      </c>
      <c r="C124" s="6" t="s">
        <v>64</v>
      </c>
      <c r="D124" s="7" t="s">
        <v>510</v>
      </c>
      <c r="E124" s="7" t="s">
        <v>511</v>
      </c>
      <c r="F124" s="6" t="s">
        <v>14</v>
      </c>
      <c r="G124" s="7" t="s">
        <v>15</v>
      </c>
      <c r="H124" s="7" t="s">
        <v>512</v>
      </c>
      <c r="I124" s="8" t="s">
        <v>513</v>
      </c>
    </row>
    <row r="125" spans="1:9" ht="126" customHeight="1" x14ac:dyDescent="0.35">
      <c r="A125" s="6">
        <v>122</v>
      </c>
      <c r="B125" s="7" t="s">
        <v>476</v>
      </c>
      <c r="C125" s="6" t="s">
        <v>64</v>
      </c>
      <c r="D125" s="7" t="s">
        <v>514</v>
      </c>
      <c r="E125" s="7" t="s">
        <v>515</v>
      </c>
      <c r="F125" s="6" t="s">
        <v>14</v>
      </c>
      <c r="G125" s="7" t="s">
        <v>15</v>
      </c>
      <c r="H125" s="7" t="s">
        <v>516</v>
      </c>
      <c r="I125" s="8" t="s">
        <v>517</v>
      </c>
    </row>
    <row r="126" spans="1:9" ht="150.75" customHeight="1" x14ac:dyDescent="0.35">
      <c r="A126" s="6">
        <v>123</v>
      </c>
      <c r="B126" s="7" t="s">
        <v>439</v>
      </c>
      <c r="C126" s="6" t="s">
        <v>64</v>
      </c>
      <c r="D126" s="7" t="s">
        <v>518</v>
      </c>
      <c r="E126" s="7" t="s">
        <v>519</v>
      </c>
      <c r="F126" s="6" t="s">
        <v>14</v>
      </c>
      <c r="G126" s="7" t="s">
        <v>15</v>
      </c>
      <c r="H126" s="7" t="s">
        <v>520</v>
      </c>
      <c r="I126" s="8" t="s">
        <v>521</v>
      </c>
    </row>
    <row r="127" spans="1:9" ht="150.75" customHeight="1" x14ac:dyDescent="0.35">
      <c r="A127" s="6">
        <v>124</v>
      </c>
      <c r="B127" s="7" t="s">
        <v>439</v>
      </c>
      <c r="C127" s="6" t="s">
        <v>64</v>
      </c>
      <c r="D127" s="7" t="s">
        <v>506</v>
      </c>
      <c r="E127" s="7" t="s">
        <v>522</v>
      </c>
      <c r="F127" s="6" t="s">
        <v>14</v>
      </c>
      <c r="G127" s="7" t="s">
        <v>15</v>
      </c>
      <c r="H127" s="7" t="s">
        <v>523</v>
      </c>
      <c r="I127" s="8" t="s">
        <v>524</v>
      </c>
    </row>
    <row r="128" spans="1:9" ht="138" customHeight="1" x14ac:dyDescent="0.35">
      <c r="A128" s="6">
        <v>125</v>
      </c>
      <c r="B128" s="7" t="s">
        <v>439</v>
      </c>
      <c r="C128" s="6" t="s">
        <v>64</v>
      </c>
      <c r="D128" s="7" t="s">
        <v>525</v>
      </c>
      <c r="E128" s="7" t="s">
        <v>526</v>
      </c>
      <c r="F128" s="6" t="s">
        <v>14</v>
      </c>
      <c r="G128" s="7" t="s">
        <v>15</v>
      </c>
      <c r="H128" s="7" t="s">
        <v>527</v>
      </c>
      <c r="I128" s="8" t="s">
        <v>528</v>
      </c>
    </row>
    <row r="129" spans="1:9" ht="138" customHeight="1" x14ac:dyDescent="0.35">
      <c r="A129" s="6">
        <v>126</v>
      </c>
      <c r="B129" s="7" t="s">
        <v>439</v>
      </c>
      <c r="C129" s="6" t="s">
        <v>64</v>
      </c>
      <c r="D129" s="7" t="s">
        <v>529</v>
      </c>
      <c r="E129" s="7" t="s">
        <v>530</v>
      </c>
      <c r="F129" s="6" t="s">
        <v>92</v>
      </c>
      <c r="G129" s="7" t="s">
        <v>15</v>
      </c>
      <c r="H129" s="7" t="s">
        <v>531</v>
      </c>
      <c r="I129" s="8" t="s">
        <v>532</v>
      </c>
    </row>
    <row r="130" spans="1:9" ht="188.25" customHeight="1" x14ac:dyDescent="0.35">
      <c r="A130" s="6">
        <v>127</v>
      </c>
      <c r="B130" s="7" t="s">
        <v>439</v>
      </c>
      <c r="C130" s="6" t="s">
        <v>22</v>
      </c>
      <c r="D130" s="7" t="s">
        <v>533</v>
      </c>
      <c r="E130" s="7" t="s">
        <v>534</v>
      </c>
      <c r="F130" s="6" t="s">
        <v>535</v>
      </c>
      <c r="G130" s="7" t="s">
        <v>15</v>
      </c>
      <c r="H130" s="7" t="s">
        <v>536</v>
      </c>
      <c r="I130" s="8" t="s">
        <v>537</v>
      </c>
    </row>
    <row r="131" spans="1:9" ht="201" customHeight="1" x14ac:dyDescent="0.35">
      <c r="A131" s="6">
        <v>128</v>
      </c>
      <c r="B131" s="7" t="s">
        <v>439</v>
      </c>
      <c r="C131" s="6" t="s">
        <v>22</v>
      </c>
      <c r="D131" s="7" t="s">
        <v>538</v>
      </c>
      <c r="E131" s="7" t="s">
        <v>539</v>
      </c>
      <c r="F131" s="6" t="s">
        <v>540</v>
      </c>
      <c r="G131" s="7" t="s">
        <v>15</v>
      </c>
      <c r="H131" s="7" t="s">
        <v>541</v>
      </c>
      <c r="I131" s="8" t="s">
        <v>542</v>
      </c>
    </row>
    <row r="132" spans="1:9" ht="100.5" customHeight="1" x14ac:dyDescent="0.35">
      <c r="A132" s="6">
        <v>129</v>
      </c>
      <c r="B132" s="7" t="s">
        <v>439</v>
      </c>
      <c r="C132" s="6" t="s">
        <v>64</v>
      </c>
      <c r="D132" s="7" t="s">
        <v>543</v>
      </c>
      <c r="E132" s="7" t="s">
        <v>423</v>
      </c>
      <c r="F132" s="6" t="s">
        <v>544</v>
      </c>
      <c r="G132" s="7" t="s">
        <v>15</v>
      </c>
      <c r="H132" s="7" t="s">
        <v>545</v>
      </c>
      <c r="I132" s="8" t="s">
        <v>546</v>
      </c>
    </row>
    <row r="133" spans="1:9" ht="100.5" customHeight="1" x14ac:dyDescent="0.35">
      <c r="A133" s="6">
        <v>130</v>
      </c>
      <c r="B133" s="7" t="s">
        <v>476</v>
      </c>
      <c r="C133" s="6" t="s">
        <v>64</v>
      </c>
      <c r="D133" s="7" t="s">
        <v>547</v>
      </c>
      <c r="E133" s="7" t="s">
        <v>515</v>
      </c>
      <c r="F133" s="6" t="s">
        <v>14</v>
      </c>
      <c r="G133" s="7" t="s">
        <v>15</v>
      </c>
      <c r="H133" s="7" t="s">
        <v>548</v>
      </c>
      <c r="I133" s="8" t="s">
        <v>549</v>
      </c>
    </row>
    <row r="134" spans="1:9" ht="201" customHeight="1" x14ac:dyDescent="0.35">
      <c r="A134" s="6">
        <v>131</v>
      </c>
      <c r="B134" s="7" t="s">
        <v>550</v>
      </c>
      <c r="C134" s="6" t="s">
        <v>64</v>
      </c>
      <c r="D134" s="7" t="s">
        <v>551</v>
      </c>
      <c r="E134" s="7" t="s">
        <v>552</v>
      </c>
      <c r="F134" s="6" t="s">
        <v>14</v>
      </c>
      <c r="G134" s="7" t="s">
        <v>15</v>
      </c>
      <c r="H134" s="7" t="s">
        <v>553</v>
      </c>
      <c r="I134" s="8" t="s">
        <v>554</v>
      </c>
    </row>
    <row r="135" spans="1:9" ht="138" customHeight="1" x14ac:dyDescent="0.35">
      <c r="A135" s="6">
        <v>132</v>
      </c>
      <c r="B135" s="7" t="s">
        <v>550</v>
      </c>
      <c r="C135" s="6" t="s">
        <v>64</v>
      </c>
      <c r="D135" s="7" t="s">
        <v>555</v>
      </c>
      <c r="E135" s="7" t="s">
        <v>556</v>
      </c>
      <c r="F135" s="6" t="s">
        <v>14</v>
      </c>
      <c r="G135" s="7" t="s">
        <v>15</v>
      </c>
      <c r="H135" s="7" t="s">
        <v>557</v>
      </c>
      <c r="I135" s="8" t="s">
        <v>558</v>
      </c>
    </row>
    <row r="136" spans="1:9" ht="138" customHeight="1" x14ac:dyDescent="0.35">
      <c r="A136" s="6">
        <v>133</v>
      </c>
      <c r="B136" s="7" t="s">
        <v>550</v>
      </c>
      <c r="C136" s="6" t="s">
        <v>64</v>
      </c>
      <c r="D136" s="7" t="s">
        <v>555</v>
      </c>
      <c r="E136" s="7" t="s">
        <v>559</v>
      </c>
      <c r="F136" s="6" t="s">
        <v>14</v>
      </c>
      <c r="G136" s="7" t="s">
        <v>41</v>
      </c>
      <c r="H136" s="7" t="s">
        <v>560</v>
      </c>
      <c r="I136" s="8" t="s">
        <v>561</v>
      </c>
    </row>
    <row r="137" spans="1:9" ht="188.25" customHeight="1" x14ac:dyDescent="0.35">
      <c r="A137" s="6">
        <v>134</v>
      </c>
      <c r="B137" s="7" t="s">
        <v>550</v>
      </c>
      <c r="C137" s="6" t="s">
        <v>64</v>
      </c>
      <c r="D137" s="7" t="s">
        <v>555</v>
      </c>
      <c r="E137" s="7" t="s">
        <v>562</v>
      </c>
      <c r="F137" s="6" t="s">
        <v>14</v>
      </c>
      <c r="G137" s="7" t="s">
        <v>41</v>
      </c>
      <c r="H137" s="7" t="s">
        <v>563</v>
      </c>
      <c r="I137" s="8" t="s">
        <v>564</v>
      </c>
    </row>
    <row r="138" spans="1:9" ht="188.25" customHeight="1" x14ac:dyDescent="0.35">
      <c r="A138" s="6">
        <v>135</v>
      </c>
      <c r="B138" s="7" t="s">
        <v>550</v>
      </c>
      <c r="C138" s="6" t="s">
        <v>95</v>
      </c>
      <c r="D138" s="7" t="s">
        <v>565</v>
      </c>
      <c r="E138" s="7" t="s">
        <v>566</v>
      </c>
      <c r="F138" s="6" t="s">
        <v>92</v>
      </c>
      <c r="G138" s="7" t="s">
        <v>41</v>
      </c>
      <c r="H138" s="7" t="s">
        <v>567</v>
      </c>
      <c r="I138" s="8" t="s">
        <v>568</v>
      </c>
    </row>
    <row r="139" spans="1:9" ht="14.25" customHeight="1" x14ac:dyDescent="0.35">
      <c r="A139" s="3" t="s">
        <v>569</v>
      </c>
      <c r="B139" s="4"/>
      <c r="C139" s="4"/>
      <c r="D139" s="4"/>
      <c r="E139" s="4"/>
      <c r="F139" s="4"/>
      <c r="G139" s="4"/>
      <c r="H139" s="4"/>
      <c r="I139" s="5"/>
    </row>
    <row r="140" spans="1:9" ht="188.25" customHeight="1" x14ac:dyDescent="0.35">
      <c r="A140" s="6">
        <v>136</v>
      </c>
      <c r="B140" s="7" t="s">
        <v>570</v>
      </c>
      <c r="C140" s="6" t="s">
        <v>64</v>
      </c>
      <c r="D140" s="7" t="s">
        <v>571</v>
      </c>
      <c r="E140" s="7" t="s">
        <v>572</v>
      </c>
      <c r="F140" s="6" t="s">
        <v>14</v>
      </c>
      <c r="G140" s="7" t="s">
        <v>15</v>
      </c>
      <c r="H140" s="7" t="s">
        <v>573</v>
      </c>
      <c r="I140" s="8" t="s">
        <v>574</v>
      </c>
    </row>
    <row r="141" spans="1:9" ht="188.25" customHeight="1" x14ac:dyDescent="0.35">
      <c r="A141" s="6">
        <v>137</v>
      </c>
      <c r="B141" s="7" t="s">
        <v>570</v>
      </c>
      <c r="C141" s="6" t="s">
        <v>11</v>
      </c>
      <c r="D141" s="7" t="s">
        <v>575</v>
      </c>
      <c r="E141" s="7" t="s">
        <v>576</v>
      </c>
      <c r="F141" s="6" t="s">
        <v>448</v>
      </c>
      <c r="G141" s="7" t="s">
        <v>15</v>
      </c>
      <c r="H141" s="7" t="s">
        <v>577</v>
      </c>
      <c r="I141" s="8" t="s">
        <v>578</v>
      </c>
    </row>
    <row r="142" spans="1:9" ht="100.5" customHeight="1" x14ac:dyDescent="0.35">
      <c r="A142" s="6">
        <v>138</v>
      </c>
      <c r="B142" s="7" t="s">
        <v>570</v>
      </c>
      <c r="C142" s="6" t="s">
        <v>95</v>
      </c>
      <c r="D142" s="7" t="s">
        <v>579</v>
      </c>
      <c r="E142" s="7" t="s">
        <v>580</v>
      </c>
      <c r="F142" s="6" t="s">
        <v>14</v>
      </c>
      <c r="G142" s="7" t="s">
        <v>15</v>
      </c>
      <c r="H142" s="7" t="s">
        <v>581</v>
      </c>
      <c r="I142" s="8" t="s">
        <v>582</v>
      </c>
    </row>
    <row r="143" spans="1:9" ht="150.75" customHeight="1" x14ac:dyDescent="0.35">
      <c r="A143" s="6">
        <v>139</v>
      </c>
      <c r="B143" s="7" t="s">
        <v>570</v>
      </c>
      <c r="C143" s="6" t="s">
        <v>38</v>
      </c>
      <c r="D143" s="7" t="s">
        <v>583</v>
      </c>
      <c r="E143" s="7" t="s">
        <v>584</v>
      </c>
      <c r="F143" s="6" t="s">
        <v>14</v>
      </c>
      <c r="G143" s="7" t="s">
        <v>15</v>
      </c>
      <c r="H143" s="7" t="s">
        <v>585</v>
      </c>
      <c r="I143" s="8" t="s">
        <v>586</v>
      </c>
    </row>
    <row r="144" spans="1:9" ht="163.5" customHeight="1" x14ac:dyDescent="0.35">
      <c r="A144" s="6">
        <v>140</v>
      </c>
      <c r="B144" s="7" t="s">
        <v>570</v>
      </c>
      <c r="C144" s="6" t="s">
        <v>38</v>
      </c>
      <c r="D144" s="7" t="s">
        <v>587</v>
      </c>
      <c r="E144" s="7" t="s">
        <v>588</v>
      </c>
      <c r="F144" s="6" t="s">
        <v>14</v>
      </c>
      <c r="G144" s="7" t="s">
        <v>15</v>
      </c>
      <c r="H144" s="7" t="s">
        <v>589</v>
      </c>
      <c r="I144" s="8" t="s">
        <v>590</v>
      </c>
    </row>
    <row r="145" spans="1:9" ht="175.5" customHeight="1" x14ac:dyDescent="0.35">
      <c r="A145" s="6">
        <v>141</v>
      </c>
      <c r="B145" s="7" t="s">
        <v>570</v>
      </c>
      <c r="C145" s="6" t="s">
        <v>38</v>
      </c>
      <c r="D145" s="7" t="s">
        <v>591</v>
      </c>
      <c r="E145" s="7" t="s">
        <v>592</v>
      </c>
      <c r="F145" s="6" t="s">
        <v>14</v>
      </c>
      <c r="G145" s="7" t="s">
        <v>102</v>
      </c>
      <c r="H145" s="7" t="s">
        <v>593</v>
      </c>
      <c r="I145" s="8" t="s">
        <v>594</v>
      </c>
    </row>
    <row r="146" spans="1:9" ht="138" customHeight="1" x14ac:dyDescent="0.35">
      <c r="A146" s="6">
        <v>142</v>
      </c>
      <c r="B146" s="7" t="s">
        <v>570</v>
      </c>
      <c r="C146" s="6" t="s">
        <v>64</v>
      </c>
      <c r="D146" s="7" t="s">
        <v>595</v>
      </c>
      <c r="E146" s="7" t="s">
        <v>596</v>
      </c>
      <c r="F146" s="6" t="s">
        <v>14</v>
      </c>
      <c r="G146" s="7" t="s">
        <v>102</v>
      </c>
      <c r="H146" s="7" t="s">
        <v>597</v>
      </c>
      <c r="I146" s="8" t="s">
        <v>598</v>
      </c>
    </row>
    <row r="147" spans="1:9" ht="225.75" customHeight="1" x14ac:dyDescent="0.35">
      <c r="A147" s="6">
        <v>143</v>
      </c>
      <c r="B147" s="7" t="s">
        <v>570</v>
      </c>
      <c r="C147" s="6" t="s">
        <v>95</v>
      </c>
      <c r="D147" s="7" t="s">
        <v>599</v>
      </c>
      <c r="E147" s="7" t="s">
        <v>600</v>
      </c>
      <c r="F147" s="6" t="s">
        <v>601</v>
      </c>
      <c r="G147" s="7" t="s">
        <v>15</v>
      </c>
      <c r="H147" s="7" t="s">
        <v>602</v>
      </c>
      <c r="I147" s="8" t="s">
        <v>603</v>
      </c>
    </row>
    <row r="148" spans="1:9" ht="75.75" customHeight="1" x14ac:dyDescent="0.35">
      <c r="A148" s="6">
        <v>144</v>
      </c>
      <c r="B148" s="7" t="s">
        <v>570</v>
      </c>
      <c r="C148" s="6" t="s">
        <v>38</v>
      </c>
      <c r="D148" s="7" t="s">
        <v>604</v>
      </c>
      <c r="E148" s="7" t="s">
        <v>605</v>
      </c>
      <c r="F148" s="6" t="s">
        <v>254</v>
      </c>
      <c r="G148" s="7" t="s">
        <v>15</v>
      </c>
      <c r="H148" s="7" t="s">
        <v>606</v>
      </c>
      <c r="I148" s="8" t="s">
        <v>607</v>
      </c>
    </row>
    <row r="149" spans="1:9" ht="188.25" customHeight="1" x14ac:dyDescent="0.35">
      <c r="A149" s="6">
        <v>145</v>
      </c>
      <c r="B149" s="7" t="s">
        <v>608</v>
      </c>
      <c r="C149" s="6" t="s">
        <v>38</v>
      </c>
      <c r="D149" s="7" t="s">
        <v>609</v>
      </c>
      <c r="E149" s="7" t="s">
        <v>610</v>
      </c>
      <c r="F149" s="6" t="s">
        <v>342</v>
      </c>
      <c r="G149" s="7" t="s">
        <v>15</v>
      </c>
      <c r="H149" s="7" t="s">
        <v>611</v>
      </c>
      <c r="I149" s="8" t="s">
        <v>612</v>
      </c>
    </row>
    <row r="150" spans="1:9" ht="225.75" customHeight="1" x14ac:dyDescent="0.35">
      <c r="A150" s="6">
        <v>146</v>
      </c>
      <c r="B150" s="7" t="s">
        <v>613</v>
      </c>
      <c r="C150" s="6" t="s">
        <v>95</v>
      </c>
      <c r="D150" s="7" t="s">
        <v>614</v>
      </c>
      <c r="E150" s="7" t="s">
        <v>478</v>
      </c>
      <c r="F150" s="6" t="s">
        <v>14</v>
      </c>
      <c r="G150" s="7" t="s">
        <v>15</v>
      </c>
      <c r="H150" s="7" t="s">
        <v>479</v>
      </c>
      <c r="I150" s="8" t="s">
        <v>615</v>
      </c>
    </row>
    <row r="151" spans="1:9" ht="163.5" customHeight="1" x14ac:dyDescent="0.35">
      <c r="A151" s="6">
        <v>147</v>
      </c>
      <c r="B151" s="7" t="s">
        <v>616</v>
      </c>
      <c r="C151" s="6" t="s">
        <v>38</v>
      </c>
      <c r="D151" s="7" t="s">
        <v>617</v>
      </c>
      <c r="E151" s="7" t="s">
        <v>618</v>
      </c>
      <c r="F151" s="6" t="s">
        <v>14</v>
      </c>
      <c r="G151" s="7" t="s">
        <v>15</v>
      </c>
      <c r="H151" s="7" t="s">
        <v>619</v>
      </c>
      <c r="I151" s="8" t="s">
        <v>620</v>
      </c>
    </row>
    <row r="152" spans="1:9" ht="138" customHeight="1" x14ac:dyDescent="0.35">
      <c r="A152" s="6">
        <v>148</v>
      </c>
      <c r="B152" s="7" t="s">
        <v>613</v>
      </c>
      <c r="C152" s="6" t="s">
        <v>38</v>
      </c>
      <c r="D152" s="7" t="s">
        <v>621</v>
      </c>
      <c r="E152" s="7" t="s">
        <v>622</v>
      </c>
      <c r="F152" s="6" t="s">
        <v>14</v>
      </c>
      <c r="G152" s="7" t="s">
        <v>41</v>
      </c>
      <c r="H152" s="7" t="s">
        <v>623</v>
      </c>
      <c r="I152" s="8" t="s">
        <v>624</v>
      </c>
    </row>
    <row r="153" spans="1:9" ht="188.25" customHeight="1" x14ac:dyDescent="0.35">
      <c r="A153" s="6">
        <v>149</v>
      </c>
      <c r="B153" s="7" t="s">
        <v>613</v>
      </c>
      <c r="C153" s="6" t="s">
        <v>64</v>
      </c>
      <c r="D153" s="7" t="s">
        <v>625</v>
      </c>
      <c r="E153" s="7" t="s">
        <v>572</v>
      </c>
      <c r="F153" s="6" t="s">
        <v>14</v>
      </c>
      <c r="G153" s="7" t="s">
        <v>15</v>
      </c>
      <c r="H153" s="7" t="s">
        <v>573</v>
      </c>
      <c r="I153" s="8" t="s">
        <v>626</v>
      </c>
    </row>
    <row r="154" spans="1:9" ht="250.5" customHeight="1" x14ac:dyDescent="0.35">
      <c r="A154" s="6">
        <v>150</v>
      </c>
      <c r="B154" s="7" t="s">
        <v>627</v>
      </c>
      <c r="C154" s="6" t="s">
        <v>22</v>
      </c>
      <c r="D154" s="7" t="s">
        <v>628</v>
      </c>
      <c r="E154" s="7" t="s">
        <v>629</v>
      </c>
      <c r="F154" s="6" t="s">
        <v>14</v>
      </c>
      <c r="G154" s="7" t="s">
        <v>102</v>
      </c>
      <c r="H154" s="7" t="s">
        <v>630</v>
      </c>
      <c r="I154" s="8" t="s">
        <v>631</v>
      </c>
    </row>
    <row r="155" spans="1:9" ht="100.5" customHeight="1" x14ac:dyDescent="0.35">
      <c r="A155" s="6">
        <v>151</v>
      </c>
      <c r="B155" s="7" t="s">
        <v>632</v>
      </c>
      <c r="C155" s="6" t="s">
        <v>38</v>
      </c>
      <c r="D155" s="7" t="s">
        <v>633</v>
      </c>
      <c r="E155" s="7" t="s">
        <v>634</v>
      </c>
      <c r="F155" s="6" t="s">
        <v>14</v>
      </c>
      <c r="G155" s="7" t="s">
        <v>41</v>
      </c>
      <c r="H155" s="7" t="s">
        <v>635</v>
      </c>
      <c r="I155" s="8" t="s">
        <v>636</v>
      </c>
    </row>
    <row r="156" spans="1:9" ht="276" customHeight="1" x14ac:dyDescent="0.35">
      <c r="A156" s="6">
        <v>152</v>
      </c>
      <c r="B156" s="7" t="s">
        <v>637</v>
      </c>
      <c r="C156" s="6" t="s">
        <v>11</v>
      </c>
      <c r="D156" s="7" t="s">
        <v>638</v>
      </c>
      <c r="E156" s="7" t="s">
        <v>639</v>
      </c>
      <c r="F156" s="6" t="s">
        <v>14</v>
      </c>
      <c r="G156" s="7" t="s">
        <v>15</v>
      </c>
      <c r="H156" s="7" t="s">
        <v>640</v>
      </c>
      <c r="I156" s="8" t="s">
        <v>641</v>
      </c>
    </row>
    <row r="157" spans="1:9" ht="138" customHeight="1" x14ac:dyDescent="0.35">
      <c r="A157" s="6">
        <v>153</v>
      </c>
      <c r="B157" s="7" t="s">
        <v>642</v>
      </c>
      <c r="C157" s="6" t="s">
        <v>64</v>
      </c>
      <c r="D157" s="7" t="s">
        <v>643</v>
      </c>
      <c r="E157" s="7" t="s">
        <v>596</v>
      </c>
      <c r="F157" s="6" t="s">
        <v>14</v>
      </c>
      <c r="G157" s="7" t="s">
        <v>102</v>
      </c>
      <c r="H157" s="7" t="s">
        <v>597</v>
      </c>
      <c r="I157" s="8" t="s">
        <v>644</v>
      </c>
    </row>
    <row r="158" spans="1:9" ht="188.25" customHeight="1" x14ac:dyDescent="0.35">
      <c r="A158" s="6">
        <v>154</v>
      </c>
      <c r="B158" s="7" t="s">
        <v>642</v>
      </c>
      <c r="C158" s="6" t="s">
        <v>95</v>
      </c>
      <c r="D158" s="7" t="s">
        <v>645</v>
      </c>
      <c r="E158" s="7" t="s">
        <v>646</v>
      </c>
      <c r="F158" s="6" t="s">
        <v>14</v>
      </c>
      <c r="G158" s="7" t="s">
        <v>15</v>
      </c>
      <c r="H158" s="7" t="s">
        <v>647</v>
      </c>
      <c r="I158" s="8" t="s">
        <v>648</v>
      </c>
    </row>
    <row r="159" spans="1:9" ht="238.5" customHeight="1" x14ac:dyDescent="0.35">
      <c r="A159" s="6">
        <v>155</v>
      </c>
      <c r="B159" s="7" t="s">
        <v>642</v>
      </c>
      <c r="C159" s="6" t="s">
        <v>95</v>
      </c>
      <c r="D159" s="7" t="s">
        <v>649</v>
      </c>
      <c r="E159" s="7" t="s">
        <v>650</v>
      </c>
      <c r="F159" s="6" t="s">
        <v>14</v>
      </c>
      <c r="G159" s="7" t="s">
        <v>15</v>
      </c>
      <c r="H159" s="7" t="s">
        <v>647</v>
      </c>
      <c r="I159" s="8" t="s">
        <v>651</v>
      </c>
    </row>
    <row r="160" spans="1:9" ht="138" customHeight="1" x14ac:dyDescent="0.35">
      <c r="A160" s="6">
        <v>156</v>
      </c>
      <c r="B160" s="7" t="s">
        <v>642</v>
      </c>
      <c r="C160" s="6" t="s">
        <v>22</v>
      </c>
      <c r="D160" s="7" t="s">
        <v>652</v>
      </c>
      <c r="E160" s="7" t="s">
        <v>653</v>
      </c>
      <c r="F160" s="6" t="s">
        <v>14</v>
      </c>
      <c r="G160" s="7" t="s">
        <v>15</v>
      </c>
      <c r="H160" s="7" t="s">
        <v>654</v>
      </c>
      <c r="I160" s="8" t="s">
        <v>655</v>
      </c>
    </row>
    <row r="161" spans="1:9" ht="138" customHeight="1" x14ac:dyDescent="0.35">
      <c r="A161" s="6">
        <v>157</v>
      </c>
      <c r="B161" s="7" t="s">
        <v>642</v>
      </c>
      <c r="C161" s="6" t="s">
        <v>22</v>
      </c>
      <c r="D161" s="7" t="s">
        <v>656</v>
      </c>
      <c r="E161" s="7" t="s">
        <v>657</v>
      </c>
      <c r="F161" s="6" t="s">
        <v>14</v>
      </c>
      <c r="G161" s="7" t="s">
        <v>41</v>
      </c>
      <c r="H161" s="7" t="s">
        <v>658</v>
      </c>
      <c r="I161" s="8" t="s">
        <v>659</v>
      </c>
    </row>
    <row r="162" spans="1:9" ht="126" customHeight="1" x14ac:dyDescent="0.35">
      <c r="A162" s="6">
        <v>158</v>
      </c>
      <c r="B162" s="7" t="s">
        <v>642</v>
      </c>
      <c r="C162" s="6" t="s">
        <v>64</v>
      </c>
      <c r="D162" s="7" t="s">
        <v>660</v>
      </c>
      <c r="E162" s="7" t="s">
        <v>661</v>
      </c>
      <c r="F162" s="6" t="s">
        <v>14</v>
      </c>
      <c r="G162" s="7" t="s">
        <v>15</v>
      </c>
      <c r="H162" s="7" t="s">
        <v>662</v>
      </c>
      <c r="I162" s="8" t="s">
        <v>663</v>
      </c>
    </row>
    <row r="163" spans="1:9" ht="75.75" customHeight="1" x14ac:dyDescent="0.35">
      <c r="A163" s="6">
        <v>159</v>
      </c>
      <c r="B163" s="7" t="s">
        <v>642</v>
      </c>
      <c r="C163" s="6" t="s">
        <v>64</v>
      </c>
      <c r="D163" s="7" t="s">
        <v>664</v>
      </c>
      <c r="E163" s="7" t="s">
        <v>665</v>
      </c>
      <c r="F163" s="6" t="s">
        <v>92</v>
      </c>
      <c r="G163" s="7" t="s">
        <v>15</v>
      </c>
      <c r="H163" s="7" t="s">
        <v>666</v>
      </c>
      <c r="I163" s="8" t="s">
        <v>667</v>
      </c>
    </row>
    <row r="164" spans="1:9" ht="75.75" customHeight="1" x14ac:dyDescent="0.35">
      <c r="A164" s="6">
        <v>160</v>
      </c>
      <c r="B164" s="7" t="s">
        <v>668</v>
      </c>
      <c r="C164" s="6" t="s">
        <v>22</v>
      </c>
      <c r="D164" s="7" t="s">
        <v>669</v>
      </c>
      <c r="E164" s="7" t="s">
        <v>670</v>
      </c>
      <c r="F164" s="6" t="s">
        <v>14</v>
      </c>
      <c r="G164" s="7" t="s">
        <v>15</v>
      </c>
      <c r="H164" s="7" t="s">
        <v>321</v>
      </c>
      <c r="I164" s="8" t="s">
        <v>671</v>
      </c>
    </row>
    <row r="165" spans="1:9" ht="163.5" customHeight="1" x14ac:dyDescent="0.35">
      <c r="A165" s="6">
        <v>161</v>
      </c>
      <c r="B165" s="7" t="s">
        <v>672</v>
      </c>
      <c r="C165" s="6" t="s">
        <v>11</v>
      </c>
      <c r="D165" s="7" t="s">
        <v>673</v>
      </c>
      <c r="E165" s="7" t="s">
        <v>674</v>
      </c>
      <c r="F165" s="6" t="s">
        <v>14</v>
      </c>
      <c r="G165" s="7" t="s">
        <v>15</v>
      </c>
      <c r="H165" s="7" t="s">
        <v>675</v>
      </c>
      <c r="I165" s="8" t="s">
        <v>676</v>
      </c>
    </row>
    <row r="166" spans="1:9" ht="213" customHeight="1" x14ac:dyDescent="0.35">
      <c r="A166" s="6">
        <v>162</v>
      </c>
      <c r="B166" s="7" t="s">
        <v>672</v>
      </c>
      <c r="C166" s="6" t="s">
        <v>95</v>
      </c>
      <c r="D166" s="7" t="s">
        <v>677</v>
      </c>
      <c r="E166" s="7" t="s">
        <v>678</v>
      </c>
      <c r="F166" s="6" t="s">
        <v>14</v>
      </c>
      <c r="G166" s="7" t="s">
        <v>15</v>
      </c>
      <c r="H166" s="7" t="s">
        <v>679</v>
      </c>
      <c r="I166" s="8" t="s">
        <v>680</v>
      </c>
    </row>
    <row r="167" spans="1:9" ht="138" customHeight="1" x14ac:dyDescent="0.35">
      <c r="A167" s="6">
        <v>163</v>
      </c>
      <c r="B167" s="7" t="s">
        <v>681</v>
      </c>
      <c r="C167" s="6" t="s">
        <v>38</v>
      </c>
      <c r="D167" s="7" t="s">
        <v>682</v>
      </c>
      <c r="E167" s="7" t="s">
        <v>498</v>
      </c>
      <c r="F167" s="6" t="s">
        <v>14</v>
      </c>
      <c r="G167" s="7" t="s">
        <v>15</v>
      </c>
      <c r="H167" s="7" t="s">
        <v>499</v>
      </c>
      <c r="I167" s="8" t="s">
        <v>683</v>
      </c>
    </row>
    <row r="168" spans="1:9" ht="213" customHeight="1" x14ac:dyDescent="0.35">
      <c r="A168" s="6">
        <v>164</v>
      </c>
      <c r="B168" s="7" t="s">
        <v>681</v>
      </c>
      <c r="C168" s="6" t="s">
        <v>38</v>
      </c>
      <c r="D168" s="7" t="s">
        <v>684</v>
      </c>
      <c r="E168" s="7" t="s">
        <v>685</v>
      </c>
      <c r="F168" s="6" t="s">
        <v>14</v>
      </c>
      <c r="G168" s="7" t="s">
        <v>15</v>
      </c>
      <c r="H168" s="7" t="s">
        <v>686</v>
      </c>
      <c r="I168" s="8" t="s">
        <v>687</v>
      </c>
    </row>
    <row r="169" spans="1:9" ht="113.25" customHeight="1" x14ac:dyDescent="0.35">
      <c r="A169" s="6">
        <v>165</v>
      </c>
      <c r="B169" s="7" t="s">
        <v>681</v>
      </c>
      <c r="C169" s="6" t="s">
        <v>64</v>
      </c>
      <c r="D169" s="7" t="s">
        <v>688</v>
      </c>
      <c r="E169" s="7" t="s">
        <v>689</v>
      </c>
      <c r="F169" s="6" t="s">
        <v>14</v>
      </c>
      <c r="G169" s="7" t="s">
        <v>41</v>
      </c>
      <c r="H169" s="7" t="s">
        <v>690</v>
      </c>
      <c r="I169" s="8" t="s">
        <v>691</v>
      </c>
    </row>
    <row r="170" spans="1:9" ht="75.75" customHeight="1" x14ac:dyDescent="0.35">
      <c r="A170" s="6">
        <v>166</v>
      </c>
      <c r="B170" s="7" t="s">
        <v>681</v>
      </c>
      <c r="C170" s="6" t="s">
        <v>38</v>
      </c>
      <c r="D170" s="7" t="s">
        <v>692</v>
      </c>
      <c r="E170" s="7" t="s">
        <v>693</v>
      </c>
      <c r="F170" s="6" t="s">
        <v>254</v>
      </c>
      <c r="G170" s="7" t="s">
        <v>102</v>
      </c>
      <c r="H170" s="7" t="s">
        <v>694</v>
      </c>
      <c r="I170" s="8" t="s">
        <v>695</v>
      </c>
    </row>
    <row r="171" spans="1:9" ht="138" customHeight="1" x14ac:dyDescent="0.35">
      <c r="A171" s="6">
        <v>167</v>
      </c>
      <c r="B171" s="7" t="s">
        <v>608</v>
      </c>
      <c r="C171" s="6" t="s">
        <v>22</v>
      </c>
      <c r="D171" s="7" t="s">
        <v>696</v>
      </c>
      <c r="E171" s="7" t="s">
        <v>697</v>
      </c>
      <c r="F171" s="6" t="s">
        <v>14</v>
      </c>
      <c r="G171" s="7" t="s">
        <v>15</v>
      </c>
      <c r="H171" s="7" t="s">
        <v>698</v>
      </c>
      <c r="I171" s="8" t="s">
        <v>699</v>
      </c>
    </row>
    <row r="172" spans="1:9" ht="100.5" customHeight="1" x14ac:dyDescent="0.35">
      <c r="A172" s="6">
        <v>168</v>
      </c>
      <c r="B172" s="7" t="s">
        <v>608</v>
      </c>
      <c r="C172" s="6" t="s">
        <v>38</v>
      </c>
      <c r="D172" s="7" t="s">
        <v>700</v>
      </c>
      <c r="E172" s="7" t="s">
        <v>701</v>
      </c>
      <c r="F172" s="6" t="s">
        <v>14</v>
      </c>
      <c r="G172" s="7" t="s">
        <v>15</v>
      </c>
      <c r="H172" s="7" t="s">
        <v>702</v>
      </c>
      <c r="I172" s="8" t="s">
        <v>703</v>
      </c>
    </row>
    <row r="173" spans="1:9" ht="126" customHeight="1" x14ac:dyDescent="0.35">
      <c r="A173" s="6">
        <v>169</v>
      </c>
      <c r="B173" s="7" t="s">
        <v>608</v>
      </c>
      <c r="C173" s="6" t="s">
        <v>38</v>
      </c>
      <c r="D173" s="7" t="s">
        <v>704</v>
      </c>
      <c r="E173" s="7" t="s">
        <v>705</v>
      </c>
      <c r="F173" s="6" t="s">
        <v>14</v>
      </c>
      <c r="G173" s="7" t="s">
        <v>15</v>
      </c>
      <c r="H173" s="7" t="s">
        <v>706</v>
      </c>
      <c r="I173" s="8" t="s">
        <v>707</v>
      </c>
    </row>
    <row r="174" spans="1:9" ht="100.5" customHeight="1" x14ac:dyDescent="0.35">
      <c r="A174" s="6">
        <v>170</v>
      </c>
      <c r="B174" s="7" t="s">
        <v>608</v>
      </c>
      <c r="C174" s="6" t="s">
        <v>38</v>
      </c>
      <c r="D174" s="7" t="s">
        <v>708</v>
      </c>
      <c r="E174" s="7" t="s">
        <v>709</v>
      </c>
      <c r="F174" s="6" t="s">
        <v>87</v>
      </c>
      <c r="G174" s="7" t="s">
        <v>102</v>
      </c>
      <c r="H174" s="7" t="s">
        <v>710</v>
      </c>
      <c r="I174" s="8" t="s">
        <v>711</v>
      </c>
    </row>
    <row r="175" spans="1:9" ht="100.5" customHeight="1" x14ac:dyDescent="0.35">
      <c r="A175" s="6">
        <v>171</v>
      </c>
      <c r="B175" s="7" t="s">
        <v>608</v>
      </c>
      <c r="C175" s="6" t="s">
        <v>38</v>
      </c>
      <c r="D175" s="7" t="s">
        <v>704</v>
      </c>
      <c r="E175" s="7" t="s">
        <v>712</v>
      </c>
      <c r="F175" s="6" t="s">
        <v>14</v>
      </c>
      <c r="G175" s="7" t="s">
        <v>15</v>
      </c>
      <c r="H175" s="7" t="s">
        <v>713</v>
      </c>
      <c r="I175" s="8" t="s">
        <v>714</v>
      </c>
    </row>
    <row r="176" spans="1:9" ht="225.75" customHeight="1" x14ac:dyDescent="0.35">
      <c r="A176" s="6">
        <v>172</v>
      </c>
      <c r="B176" s="7" t="s">
        <v>608</v>
      </c>
      <c r="C176" s="6" t="s">
        <v>64</v>
      </c>
      <c r="D176" s="7" t="s">
        <v>715</v>
      </c>
      <c r="E176" s="7" t="s">
        <v>716</v>
      </c>
      <c r="F176" s="6" t="s">
        <v>14</v>
      </c>
      <c r="G176" s="7" t="s">
        <v>15</v>
      </c>
      <c r="H176" s="7" t="s">
        <v>717</v>
      </c>
      <c r="I176" s="8" t="s">
        <v>718</v>
      </c>
    </row>
    <row r="177" spans="1:9" ht="126" customHeight="1" x14ac:dyDescent="0.35">
      <c r="A177" s="6">
        <v>173</v>
      </c>
      <c r="B177" s="7" t="s">
        <v>608</v>
      </c>
      <c r="C177" s="6" t="s">
        <v>38</v>
      </c>
      <c r="D177" s="7" t="s">
        <v>719</v>
      </c>
      <c r="E177" s="7" t="s">
        <v>720</v>
      </c>
      <c r="F177" s="6" t="s">
        <v>87</v>
      </c>
      <c r="G177" s="7" t="s">
        <v>102</v>
      </c>
      <c r="H177" s="7" t="s">
        <v>721</v>
      </c>
      <c r="I177" s="8" t="s">
        <v>722</v>
      </c>
    </row>
    <row r="178" spans="1:9" ht="88.5" customHeight="1" x14ac:dyDescent="0.35">
      <c r="A178" s="6">
        <v>174</v>
      </c>
      <c r="B178" s="7" t="s">
        <v>616</v>
      </c>
      <c r="C178" s="6" t="s">
        <v>38</v>
      </c>
      <c r="D178" s="7" t="s">
        <v>723</v>
      </c>
      <c r="E178" s="7" t="s">
        <v>724</v>
      </c>
      <c r="F178" s="6" t="s">
        <v>14</v>
      </c>
      <c r="G178" s="7" t="s">
        <v>41</v>
      </c>
      <c r="H178" s="7" t="s">
        <v>725</v>
      </c>
      <c r="I178" s="9"/>
    </row>
    <row r="179" spans="1:9" ht="14.25" customHeight="1" x14ac:dyDescent="0.35">
      <c r="A179" s="3" t="s">
        <v>726</v>
      </c>
      <c r="B179" s="4"/>
      <c r="C179" s="4"/>
      <c r="D179" s="4"/>
      <c r="E179" s="4"/>
      <c r="F179" s="4"/>
      <c r="G179" s="4"/>
      <c r="H179" s="4"/>
      <c r="I179" s="5"/>
    </row>
    <row r="180" spans="1:9" ht="100.5" customHeight="1" x14ac:dyDescent="0.35">
      <c r="A180" s="6">
        <v>175</v>
      </c>
      <c r="B180" s="7" t="s">
        <v>727</v>
      </c>
      <c r="C180" s="6" t="s">
        <v>38</v>
      </c>
      <c r="D180" s="7" t="s">
        <v>728</v>
      </c>
      <c r="E180" s="7" t="s">
        <v>729</v>
      </c>
      <c r="F180" s="6" t="s">
        <v>98</v>
      </c>
      <c r="G180" s="7" t="s">
        <v>102</v>
      </c>
      <c r="H180" s="7" t="s">
        <v>730</v>
      </c>
      <c r="I180" s="8" t="s">
        <v>731</v>
      </c>
    </row>
    <row r="181" spans="1:9" ht="175.5" customHeight="1" x14ac:dyDescent="0.35">
      <c r="A181" s="6">
        <v>176</v>
      </c>
      <c r="B181" s="7" t="s">
        <v>727</v>
      </c>
      <c r="C181" s="6" t="s">
        <v>38</v>
      </c>
      <c r="D181" s="7" t="s">
        <v>728</v>
      </c>
      <c r="E181" s="7" t="s">
        <v>732</v>
      </c>
      <c r="F181" s="6" t="s">
        <v>98</v>
      </c>
      <c r="G181" s="7" t="s">
        <v>15</v>
      </c>
      <c r="H181" s="7" t="s">
        <v>733</v>
      </c>
      <c r="I181" s="8" t="s">
        <v>734</v>
      </c>
    </row>
    <row r="182" spans="1:9" ht="175.5" customHeight="1" x14ac:dyDescent="0.35">
      <c r="A182" s="6">
        <v>177</v>
      </c>
      <c r="B182" s="7" t="s">
        <v>727</v>
      </c>
      <c r="C182" s="6" t="s">
        <v>64</v>
      </c>
      <c r="D182" s="7" t="s">
        <v>728</v>
      </c>
      <c r="E182" s="7" t="s">
        <v>735</v>
      </c>
      <c r="F182" s="6" t="s">
        <v>98</v>
      </c>
      <c r="G182" s="7" t="s">
        <v>15</v>
      </c>
      <c r="H182" s="7" t="s">
        <v>736</v>
      </c>
      <c r="I182" s="8" t="s">
        <v>737</v>
      </c>
    </row>
    <row r="183" spans="1:9" ht="175.5" customHeight="1" x14ac:dyDescent="0.35">
      <c r="A183" s="6">
        <v>178</v>
      </c>
      <c r="B183" s="7" t="s">
        <v>738</v>
      </c>
      <c r="C183" s="6" t="s">
        <v>64</v>
      </c>
      <c r="D183" s="7" t="s">
        <v>739</v>
      </c>
      <c r="E183" s="7" t="s">
        <v>740</v>
      </c>
      <c r="F183" s="6" t="s">
        <v>92</v>
      </c>
      <c r="G183" s="7" t="s">
        <v>41</v>
      </c>
      <c r="H183" s="7" t="s">
        <v>741</v>
      </c>
      <c r="I183" s="8" t="s">
        <v>742</v>
      </c>
    </row>
    <row r="184" spans="1:9" ht="188.25" customHeight="1" x14ac:dyDescent="0.35">
      <c r="A184" s="6">
        <v>179</v>
      </c>
      <c r="B184" s="7" t="s">
        <v>727</v>
      </c>
      <c r="C184" s="6" t="s">
        <v>38</v>
      </c>
      <c r="D184" s="7" t="s">
        <v>743</v>
      </c>
      <c r="E184" s="7" t="s">
        <v>744</v>
      </c>
      <c r="F184" s="6" t="s">
        <v>98</v>
      </c>
      <c r="G184" s="7" t="s">
        <v>102</v>
      </c>
      <c r="H184" s="7" t="s">
        <v>745</v>
      </c>
      <c r="I184" s="8" t="s">
        <v>746</v>
      </c>
    </row>
    <row r="185" spans="1:9" ht="238.5" customHeight="1" x14ac:dyDescent="0.35">
      <c r="A185" s="6">
        <v>180</v>
      </c>
      <c r="B185" s="7" t="s">
        <v>727</v>
      </c>
      <c r="C185" s="6" t="s">
        <v>95</v>
      </c>
      <c r="D185" s="7" t="s">
        <v>747</v>
      </c>
      <c r="E185" s="7" t="s">
        <v>650</v>
      </c>
      <c r="F185" s="6" t="s">
        <v>14</v>
      </c>
      <c r="G185" s="7" t="s">
        <v>15</v>
      </c>
      <c r="H185" s="7" t="s">
        <v>748</v>
      </c>
      <c r="I185" s="8" t="s">
        <v>749</v>
      </c>
    </row>
    <row r="186" spans="1:9" ht="188.25" customHeight="1" x14ac:dyDescent="0.35">
      <c r="A186" s="6">
        <v>181</v>
      </c>
      <c r="B186" s="7" t="s">
        <v>727</v>
      </c>
      <c r="C186" s="6" t="s">
        <v>22</v>
      </c>
      <c r="D186" s="7" t="s">
        <v>750</v>
      </c>
      <c r="E186" s="7" t="s">
        <v>751</v>
      </c>
      <c r="F186" s="6" t="s">
        <v>14</v>
      </c>
      <c r="G186" s="7" t="s">
        <v>15</v>
      </c>
      <c r="H186" s="7" t="s">
        <v>752</v>
      </c>
      <c r="I186" s="8" t="s">
        <v>753</v>
      </c>
    </row>
    <row r="187" spans="1:9" ht="238.5" customHeight="1" x14ac:dyDescent="0.35">
      <c r="A187" s="6">
        <v>182</v>
      </c>
      <c r="B187" s="7" t="s">
        <v>727</v>
      </c>
      <c r="C187" s="6" t="s">
        <v>38</v>
      </c>
      <c r="D187" s="7" t="s">
        <v>754</v>
      </c>
      <c r="E187" s="7" t="s">
        <v>755</v>
      </c>
      <c r="F187" s="6" t="s">
        <v>756</v>
      </c>
      <c r="G187" s="7" t="s">
        <v>15</v>
      </c>
      <c r="H187" s="7" t="s">
        <v>757</v>
      </c>
      <c r="I187" s="8" t="s">
        <v>758</v>
      </c>
    </row>
    <row r="188" spans="1:9" ht="138" customHeight="1" x14ac:dyDescent="0.35">
      <c r="A188" s="6">
        <v>183</v>
      </c>
      <c r="B188" s="7" t="s">
        <v>727</v>
      </c>
      <c r="C188" s="6" t="s">
        <v>38</v>
      </c>
      <c r="D188" s="7" t="s">
        <v>759</v>
      </c>
      <c r="E188" s="7" t="s">
        <v>760</v>
      </c>
      <c r="F188" s="6" t="s">
        <v>14</v>
      </c>
      <c r="G188" s="7" t="s">
        <v>41</v>
      </c>
      <c r="H188" s="7" t="s">
        <v>761</v>
      </c>
      <c r="I188" s="8" t="s">
        <v>762</v>
      </c>
    </row>
    <row r="189" spans="1:9" ht="100.5" customHeight="1" x14ac:dyDescent="0.35">
      <c r="A189" s="6">
        <v>184</v>
      </c>
      <c r="B189" s="7" t="s">
        <v>727</v>
      </c>
      <c r="C189" s="6" t="s">
        <v>38</v>
      </c>
      <c r="D189" s="7" t="s">
        <v>763</v>
      </c>
      <c r="E189" s="7" t="s">
        <v>764</v>
      </c>
      <c r="F189" s="6" t="s">
        <v>14</v>
      </c>
      <c r="G189" s="7" t="s">
        <v>41</v>
      </c>
      <c r="H189" s="7" t="s">
        <v>765</v>
      </c>
      <c r="I189" s="8" t="s">
        <v>766</v>
      </c>
    </row>
    <row r="190" spans="1:9" ht="213" customHeight="1" x14ac:dyDescent="0.35">
      <c r="A190" s="6">
        <v>185</v>
      </c>
      <c r="B190" s="7" t="s">
        <v>727</v>
      </c>
      <c r="C190" s="6" t="s">
        <v>38</v>
      </c>
      <c r="D190" s="7" t="s">
        <v>763</v>
      </c>
      <c r="E190" s="7" t="s">
        <v>767</v>
      </c>
      <c r="F190" s="6" t="s">
        <v>14</v>
      </c>
      <c r="G190" s="7" t="s">
        <v>41</v>
      </c>
      <c r="H190" s="7" t="s">
        <v>768</v>
      </c>
      <c r="I190" s="8" t="s">
        <v>769</v>
      </c>
    </row>
    <row r="191" spans="1:9" ht="113.25" customHeight="1" x14ac:dyDescent="0.35">
      <c r="A191" s="6">
        <v>186</v>
      </c>
      <c r="B191" s="7" t="s">
        <v>727</v>
      </c>
      <c r="C191" s="6" t="s">
        <v>38</v>
      </c>
      <c r="D191" s="7" t="s">
        <v>770</v>
      </c>
      <c r="E191" s="7" t="s">
        <v>771</v>
      </c>
      <c r="F191" s="6" t="s">
        <v>98</v>
      </c>
      <c r="G191" s="7" t="s">
        <v>41</v>
      </c>
      <c r="H191" s="7" t="s">
        <v>772</v>
      </c>
      <c r="I191" s="8" t="s">
        <v>773</v>
      </c>
    </row>
    <row r="192" spans="1:9" ht="100.5" customHeight="1" x14ac:dyDescent="0.35">
      <c r="A192" s="6">
        <v>187</v>
      </c>
      <c r="B192" s="7" t="s">
        <v>727</v>
      </c>
      <c r="C192" s="6" t="s">
        <v>38</v>
      </c>
      <c r="D192" s="7" t="s">
        <v>774</v>
      </c>
      <c r="E192" s="7" t="s">
        <v>775</v>
      </c>
      <c r="F192" s="6" t="s">
        <v>98</v>
      </c>
      <c r="G192" s="7" t="s">
        <v>41</v>
      </c>
      <c r="H192" s="7" t="s">
        <v>776</v>
      </c>
      <c r="I192" s="8" t="s">
        <v>777</v>
      </c>
    </row>
    <row r="193" spans="1:9" ht="175.5" customHeight="1" x14ac:dyDescent="0.35">
      <c r="A193" s="6">
        <v>188</v>
      </c>
      <c r="B193" s="7" t="s">
        <v>727</v>
      </c>
      <c r="C193" s="6" t="s">
        <v>38</v>
      </c>
      <c r="D193" s="7" t="s">
        <v>774</v>
      </c>
      <c r="E193" s="7" t="s">
        <v>778</v>
      </c>
      <c r="F193" s="6" t="s">
        <v>98</v>
      </c>
      <c r="G193" s="7" t="s">
        <v>41</v>
      </c>
      <c r="H193" s="7" t="s">
        <v>779</v>
      </c>
      <c r="I193" s="8" t="s">
        <v>780</v>
      </c>
    </row>
    <row r="194" spans="1:9" ht="201" customHeight="1" x14ac:dyDescent="0.35">
      <c r="A194" s="6">
        <v>189</v>
      </c>
      <c r="B194" s="7" t="s">
        <v>727</v>
      </c>
      <c r="C194" s="6" t="s">
        <v>38</v>
      </c>
      <c r="D194" s="7" t="s">
        <v>781</v>
      </c>
      <c r="E194" s="7" t="s">
        <v>503</v>
      </c>
      <c r="F194" s="6" t="s">
        <v>98</v>
      </c>
      <c r="G194" s="7" t="s">
        <v>15</v>
      </c>
      <c r="H194" s="7" t="s">
        <v>782</v>
      </c>
      <c r="I194" s="8" t="s">
        <v>783</v>
      </c>
    </row>
    <row r="195" spans="1:9" ht="150.75" customHeight="1" x14ac:dyDescent="0.35">
      <c r="A195" s="6">
        <v>190</v>
      </c>
      <c r="B195" s="7" t="s">
        <v>727</v>
      </c>
      <c r="C195" s="6" t="s">
        <v>38</v>
      </c>
      <c r="D195" s="7" t="s">
        <v>750</v>
      </c>
      <c r="E195" s="7" t="s">
        <v>784</v>
      </c>
      <c r="F195" s="6" t="s">
        <v>98</v>
      </c>
      <c r="G195" s="7" t="s">
        <v>15</v>
      </c>
      <c r="H195" s="7" t="s">
        <v>785</v>
      </c>
      <c r="I195" s="8" t="s">
        <v>786</v>
      </c>
    </row>
    <row r="196" spans="1:9" ht="175.5" customHeight="1" x14ac:dyDescent="0.35">
      <c r="A196" s="6">
        <v>191</v>
      </c>
      <c r="B196" s="7" t="s">
        <v>727</v>
      </c>
      <c r="C196" s="6" t="s">
        <v>64</v>
      </c>
      <c r="D196" s="7" t="s">
        <v>787</v>
      </c>
      <c r="E196" s="7" t="s">
        <v>788</v>
      </c>
      <c r="F196" s="6" t="s">
        <v>87</v>
      </c>
      <c r="G196" s="7" t="s">
        <v>102</v>
      </c>
      <c r="H196" s="7" t="s">
        <v>789</v>
      </c>
      <c r="I196" s="8" t="s">
        <v>790</v>
      </c>
    </row>
    <row r="197" spans="1:9" ht="163.5" customHeight="1" x14ac:dyDescent="0.35">
      <c r="A197" s="6">
        <v>192</v>
      </c>
      <c r="B197" s="7" t="s">
        <v>727</v>
      </c>
      <c r="C197" s="6" t="s">
        <v>38</v>
      </c>
      <c r="D197" s="7" t="s">
        <v>791</v>
      </c>
      <c r="E197" s="7" t="s">
        <v>792</v>
      </c>
      <c r="F197" s="6" t="s">
        <v>14</v>
      </c>
      <c r="G197" s="7" t="s">
        <v>102</v>
      </c>
      <c r="H197" s="7" t="s">
        <v>793</v>
      </c>
      <c r="I197" s="8" t="s">
        <v>794</v>
      </c>
    </row>
    <row r="198" spans="1:9" ht="225.75" customHeight="1" x14ac:dyDescent="0.35">
      <c r="A198" s="6">
        <v>193</v>
      </c>
      <c r="B198" s="7" t="s">
        <v>795</v>
      </c>
      <c r="C198" s="6" t="s">
        <v>64</v>
      </c>
      <c r="D198" s="7" t="s">
        <v>796</v>
      </c>
      <c r="E198" s="7" t="s">
        <v>797</v>
      </c>
      <c r="F198" s="6" t="s">
        <v>14</v>
      </c>
      <c r="G198" s="7" t="s">
        <v>15</v>
      </c>
      <c r="H198" s="7" t="s">
        <v>798</v>
      </c>
      <c r="I198" s="8" t="s">
        <v>799</v>
      </c>
    </row>
    <row r="199" spans="1:9" ht="138" customHeight="1" x14ac:dyDescent="0.35">
      <c r="A199" s="6">
        <v>194</v>
      </c>
      <c r="B199" s="7" t="s">
        <v>727</v>
      </c>
      <c r="C199" s="6" t="s">
        <v>22</v>
      </c>
      <c r="D199" s="7" t="s">
        <v>800</v>
      </c>
      <c r="E199" s="7" t="s">
        <v>801</v>
      </c>
      <c r="F199" s="6" t="s">
        <v>98</v>
      </c>
      <c r="G199" s="7" t="s">
        <v>41</v>
      </c>
      <c r="H199" s="7" t="s">
        <v>802</v>
      </c>
      <c r="I199" s="8" t="s">
        <v>803</v>
      </c>
    </row>
    <row r="200" spans="1:9" ht="213" customHeight="1" x14ac:dyDescent="0.35">
      <c r="A200" s="6">
        <v>195</v>
      </c>
      <c r="B200" s="7" t="s">
        <v>727</v>
      </c>
      <c r="C200" s="6" t="s">
        <v>38</v>
      </c>
      <c r="D200" s="7" t="s">
        <v>804</v>
      </c>
      <c r="E200" s="7" t="s">
        <v>805</v>
      </c>
      <c r="F200" s="6" t="s">
        <v>98</v>
      </c>
      <c r="G200" s="7" t="s">
        <v>15</v>
      </c>
      <c r="H200" s="7" t="s">
        <v>806</v>
      </c>
      <c r="I200" s="8" t="s">
        <v>807</v>
      </c>
    </row>
    <row r="201" spans="1:9" ht="100.5" customHeight="1" x14ac:dyDescent="0.35">
      <c r="A201" s="6">
        <v>196</v>
      </c>
      <c r="B201" s="7" t="s">
        <v>727</v>
      </c>
      <c r="C201" s="6" t="s">
        <v>38</v>
      </c>
      <c r="D201" s="7" t="s">
        <v>808</v>
      </c>
      <c r="E201" s="7" t="s">
        <v>809</v>
      </c>
      <c r="F201" s="6" t="s">
        <v>87</v>
      </c>
      <c r="G201" s="7" t="s">
        <v>102</v>
      </c>
      <c r="H201" s="7" t="s">
        <v>810</v>
      </c>
      <c r="I201" s="8" t="s">
        <v>811</v>
      </c>
    </row>
    <row r="202" spans="1:9" ht="113.25" customHeight="1" x14ac:dyDescent="0.35">
      <c r="A202" s="6">
        <v>197</v>
      </c>
      <c r="B202" s="7" t="s">
        <v>727</v>
      </c>
      <c r="C202" s="6" t="s">
        <v>38</v>
      </c>
      <c r="D202" s="7" t="s">
        <v>812</v>
      </c>
      <c r="E202" s="7" t="s">
        <v>813</v>
      </c>
      <c r="F202" s="6" t="s">
        <v>98</v>
      </c>
      <c r="G202" s="7" t="s">
        <v>102</v>
      </c>
      <c r="H202" s="7" t="s">
        <v>814</v>
      </c>
      <c r="I202" s="8" t="s">
        <v>815</v>
      </c>
    </row>
    <row r="203" spans="1:9" ht="100.5" customHeight="1" x14ac:dyDescent="0.35">
      <c r="A203" s="6">
        <v>198</v>
      </c>
      <c r="B203" s="7" t="s">
        <v>727</v>
      </c>
      <c r="C203" s="6" t="s">
        <v>38</v>
      </c>
      <c r="D203" s="7" t="s">
        <v>816</v>
      </c>
      <c r="E203" s="7" t="s">
        <v>817</v>
      </c>
      <c r="F203" s="6" t="s">
        <v>98</v>
      </c>
      <c r="G203" s="7" t="s">
        <v>102</v>
      </c>
      <c r="H203" s="7" t="s">
        <v>818</v>
      </c>
      <c r="I203" s="8" t="s">
        <v>819</v>
      </c>
    </row>
    <row r="204" spans="1:9" ht="100.5" customHeight="1" x14ac:dyDescent="0.35">
      <c r="A204" s="6">
        <v>199</v>
      </c>
      <c r="B204" s="7" t="s">
        <v>727</v>
      </c>
      <c r="C204" s="6" t="s">
        <v>64</v>
      </c>
      <c r="D204" s="7" t="s">
        <v>812</v>
      </c>
      <c r="E204" s="7" t="s">
        <v>820</v>
      </c>
      <c r="F204" s="6" t="s">
        <v>98</v>
      </c>
      <c r="G204" s="7" t="s">
        <v>41</v>
      </c>
      <c r="H204" s="7" t="s">
        <v>821</v>
      </c>
      <c r="I204" s="8" t="s">
        <v>822</v>
      </c>
    </row>
    <row r="205" spans="1:9" ht="150.75" customHeight="1" x14ac:dyDescent="0.35">
      <c r="A205" s="6">
        <v>200</v>
      </c>
      <c r="B205" s="7" t="s">
        <v>727</v>
      </c>
      <c r="C205" s="6" t="s">
        <v>64</v>
      </c>
      <c r="D205" s="7" t="s">
        <v>812</v>
      </c>
      <c r="E205" s="7" t="s">
        <v>823</v>
      </c>
      <c r="F205" s="6" t="s">
        <v>98</v>
      </c>
      <c r="G205" s="7" t="s">
        <v>41</v>
      </c>
      <c r="H205" s="7" t="s">
        <v>824</v>
      </c>
      <c r="I205" s="8" t="s">
        <v>825</v>
      </c>
    </row>
    <row r="206" spans="1:9" ht="138" customHeight="1" x14ac:dyDescent="0.35">
      <c r="A206" s="6">
        <v>201</v>
      </c>
      <c r="B206" s="7" t="s">
        <v>727</v>
      </c>
      <c r="C206" s="6" t="s">
        <v>64</v>
      </c>
      <c r="D206" s="7" t="s">
        <v>812</v>
      </c>
      <c r="E206" s="7" t="s">
        <v>826</v>
      </c>
      <c r="F206" s="6" t="s">
        <v>98</v>
      </c>
      <c r="G206" s="7" t="s">
        <v>41</v>
      </c>
      <c r="H206" s="7" t="s">
        <v>827</v>
      </c>
      <c r="I206" s="8" t="s">
        <v>828</v>
      </c>
    </row>
    <row r="207" spans="1:9" ht="150.75" customHeight="1" x14ac:dyDescent="0.35">
      <c r="A207" s="6">
        <v>202</v>
      </c>
      <c r="B207" s="7" t="s">
        <v>727</v>
      </c>
      <c r="C207" s="6" t="s">
        <v>64</v>
      </c>
      <c r="D207" s="7" t="s">
        <v>812</v>
      </c>
      <c r="E207" s="7" t="s">
        <v>829</v>
      </c>
      <c r="F207" s="6" t="s">
        <v>98</v>
      </c>
      <c r="G207" s="7" t="s">
        <v>102</v>
      </c>
      <c r="H207" s="7" t="s">
        <v>830</v>
      </c>
      <c r="I207" s="8" t="s">
        <v>831</v>
      </c>
    </row>
    <row r="208" spans="1:9" ht="126" customHeight="1" x14ac:dyDescent="0.35">
      <c r="A208" s="6">
        <v>203</v>
      </c>
      <c r="B208" s="7" t="s">
        <v>727</v>
      </c>
      <c r="C208" s="6" t="s">
        <v>64</v>
      </c>
      <c r="D208" s="7" t="s">
        <v>816</v>
      </c>
      <c r="E208" s="7" t="s">
        <v>832</v>
      </c>
      <c r="F208" s="6" t="s">
        <v>98</v>
      </c>
      <c r="G208" s="7" t="s">
        <v>102</v>
      </c>
      <c r="H208" s="7" t="s">
        <v>833</v>
      </c>
      <c r="I208" s="8" t="s">
        <v>834</v>
      </c>
    </row>
    <row r="209" spans="1:9" ht="238.5" customHeight="1" x14ac:dyDescent="0.35">
      <c r="A209" s="6">
        <v>204</v>
      </c>
      <c r="B209" s="7" t="s">
        <v>795</v>
      </c>
      <c r="C209" s="6" t="s">
        <v>38</v>
      </c>
      <c r="D209" s="7" t="s">
        <v>796</v>
      </c>
      <c r="E209" s="7" t="s">
        <v>835</v>
      </c>
      <c r="F209" s="6" t="s">
        <v>87</v>
      </c>
      <c r="G209" s="7" t="s">
        <v>15</v>
      </c>
      <c r="H209" s="7" t="s">
        <v>836</v>
      </c>
      <c r="I209" s="8" t="s">
        <v>837</v>
      </c>
    </row>
    <row r="210" spans="1:9" ht="150.75" customHeight="1" x14ac:dyDescent="0.35">
      <c r="A210" s="6">
        <v>205</v>
      </c>
      <c r="B210" s="7" t="s">
        <v>795</v>
      </c>
      <c r="C210" s="6" t="s">
        <v>11</v>
      </c>
      <c r="D210" s="7" t="s">
        <v>796</v>
      </c>
      <c r="E210" s="7" t="s">
        <v>838</v>
      </c>
      <c r="F210" s="6" t="s">
        <v>209</v>
      </c>
      <c r="G210" s="7" t="s">
        <v>15</v>
      </c>
      <c r="H210" s="7" t="s">
        <v>839</v>
      </c>
      <c r="I210" s="8" t="s">
        <v>840</v>
      </c>
    </row>
    <row r="211" spans="1:9" ht="163.5" customHeight="1" x14ac:dyDescent="0.35">
      <c r="A211" s="6">
        <v>206</v>
      </c>
      <c r="B211" s="7" t="s">
        <v>795</v>
      </c>
      <c r="C211" s="6" t="s">
        <v>11</v>
      </c>
      <c r="D211" s="7" t="s">
        <v>796</v>
      </c>
      <c r="E211" s="7" t="s">
        <v>841</v>
      </c>
      <c r="F211" s="6" t="s">
        <v>209</v>
      </c>
      <c r="G211" s="7" t="s">
        <v>15</v>
      </c>
      <c r="H211" s="7" t="s">
        <v>842</v>
      </c>
      <c r="I211" s="8" t="s">
        <v>843</v>
      </c>
    </row>
    <row r="212" spans="1:9" ht="213" customHeight="1" x14ac:dyDescent="0.35">
      <c r="A212" s="6">
        <v>207</v>
      </c>
      <c r="B212" s="7" t="s">
        <v>795</v>
      </c>
      <c r="C212" s="6" t="s">
        <v>38</v>
      </c>
      <c r="D212" s="7" t="s">
        <v>796</v>
      </c>
      <c r="E212" s="7" t="s">
        <v>844</v>
      </c>
      <c r="F212" s="6" t="s">
        <v>209</v>
      </c>
      <c r="G212" s="7" t="s">
        <v>15</v>
      </c>
      <c r="H212" s="7" t="s">
        <v>845</v>
      </c>
      <c r="I212" s="8" t="s">
        <v>846</v>
      </c>
    </row>
    <row r="213" spans="1:9" ht="150.75" customHeight="1" x14ac:dyDescent="0.35">
      <c r="A213" s="6">
        <v>208</v>
      </c>
      <c r="B213" s="7" t="s">
        <v>795</v>
      </c>
      <c r="C213" s="6" t="s">
        <v>38</v>
      </c>
      <c r="D213" s="7" t="s">
        <v>847</v>
      </c>
      <c r="E213" s="7" t="s">
        <v>848</v>
      </c>
      <c r="F213" s="6" t="s">
        <v>209</v>
      </c>
      <c r="G213" s="7" t="s">
        <v>15</v>
      </c>
      <c r="H213" s="7" t="s">
        <v>353</v>
      </c>
      <c r="I213" s="8" t="s">
        <v>849</v>
      </c>
    </row>
    <row r="214" spans="1:9" ht="175.5" customHeight="1" x14ac:dyDescent="0.35">
      <c r="A214" s="6">
        <v>209</v>
      </c>
      <c r="B214" s="7" t="s">
        <v>795</v>
      </c>
      <c r="C214" s="6" t="s">
        <v>38</v>
      </c>
      <c r="D214" s="7" t="s">
        <v>850</v>
      </c>
      <c r="E214" s="7" t="s">
        <v>851</v>
      </c>
      <c r="F214" s="6" t="s">
        <v>14</v>
      </c>
      <c r="G214" s="7" t="s">
        <v>15</v>
      </c>
      <c r="H214" s="7" t="s">
        <v>852</v>
      </c>
      <c r="I214" s="8" t="s">
        <v>853</v>
      </c>
    </row>
    <row r="215" spans="1:9" ht="188.25" customHeight="1" x14ac:dyDescent="0.35">
      <c r="A215" s="6">
        <v>210</v>
      </c>
      <c r="B215" s="7" t="s">
        <v>795</v>
      </c>
      <c r="C215" s="6" t="s">
        <v>38</v>
      </c>
      <c r="D215" s="7" t="s">
        <v>854</v>
      </c>
      <c r="E215" s="7" t="s">
        <v>855</v>
      </c>
      <c r="F215" s="6" t="s">
        <v>98</v>
      </c>
      <c r="G215" s="7" t="s">
        <v>41</v>
      </c>
      <c r="H215" s="7" t="s">
        <v>856</v>
      </c>
      <c r="I215" s="8" t="s">
        <v>857</v>
      </c>
    </row>
    <row r="216" spans="1:9" ht="150.75" customHeight="1" x14ac:dyDescent="0.35">
      <c r="A216" s="6">
        <v>211</v>
      </c>
      <c r="B216" s="7" t="s">
        <v>795</v>
      </c>
      <c r="C216" s="6" t="s">
        <v>64</v>
      </c>
      <c r="D216" s="7" t="s">
        <v>796</v>
      </c>
      <c r="E216" s="7" t="s">
        <v>858</v>
      </c>
      <c r="F216" s="6" t="s">
        <v>98</v>
      </c>
      <c r="G216" s="7" t="s">
        <v>15</v>
      </c>
      <c r="H216" s="7" t="s">
        <v>859</v>
      </c>
      <c r="I216" s="8" t="s">
        <v>860</v>
      </c>
    </row>
    <row r="217" spans="1:9" ht="100.5" customHeight="1" x14ac:dyDescent="0.35">
      <c r="A217" s="6">
        <v>212</v>
      </c>
      <c r="B217" s="7" t="s">
        <v>795</v>
      </c>
      <c r="C217" s="6" t="s">
        <v>64</v>
      </c>
      <c r="D217" s="7" t="s">
        <v>796</v>
      </c>
      <c r="E217" s="7" t="s">
        <v>861</v>
      </c>
      <c r="F217" s="6" t="s">
        <v>98</v>
      </c>
      <c r="G217" s="7" t="s">
        <v>41</v>
      </c>
      <c r="H217" s="7" t="s">
        <v>862</v>
      </c>
      <c r="I217" s="8" t="s">
        <v>863</v>
      </c>
    </row>
    <row r="218" spans="1:9" ht="175.5" customHeight="1" x14ac:dyDescent="0.35">
      <c r="A218" s="6">
        <v>213</v>
      </c>
      <c r="B218" s="7" t="s">
        <v>795</v>
      </c>
      <c r="C218" s="6" t="s">
        <v>95</v>
      </c>
      <c r="D218" s="7" t="s">
        <v>796</v>
      </c>
      <c r="E218" s="7" t="s">
        <v>864</v>
      </c>
      <c r="F218" s="6" t="s">
        <v>865</v>
      </c>
      <c r="G218" s="7" t="s">
        <v>15</v>
      </c>
      <c r="H218" s="7" t="s">
        <v>866</v>
      </c>
      <c r="I218" s="8" t="s">
        <v>867</v>
      </c>
    </row>
    <row r="219" spans="1:9" ht="113.25" customHeight="1" x14ac:dyDescent="0.35">
      <c r="A219" s="6">
        <v>214</v>
      </c>
      <c r="B219" s="7" t="s">
        <v>868</v>
      </c>
      <c r="C219" s="6" t="s">
        <v>11</v>
      </c>
      <c r="D219" s="7" t="s">
        <v>796</v>
      </c>
      <c r="E219" s="7" t="s">
        <v>869</v>
      </c>
      <c r="F219" s="6" t="s">
        <v>209</v>
      </c>
      <c r="G219" s="7" t="s">
        <v>15</v>
      </c>
      <c r="H219" s="7" t="s">
        <v>870</v>
      </c>
      <c r="I219" s="8" t="s">
        <v>871</v>
      </c>
    </row>
    <row r="220" spans="1:9" ht="113.25" customHeight="1" x14ac:dyDescent="0.35">
      <c r="A220" s="6">
        <v>215</v>
      </c>
      <c r="B220" s="7" t="s">
        <v>868</v>
      </c>
      <c r="C220" s="6" t="s">
        <v>11</v>
      </c>
      <c r="D220" s="7" t="s">
        <v>872</v>
      </c>
      <c r="E220" s="7" t="s">
        <v>873</v>
      </c>
      <c r="F220" s="6" t="s">
        <v>209</v>
      </c>
      <c r="G220" s="7" t="s">
        <v>15</v>
      </c>
      <c r="H220" s="7" t="s">
        <v>874</v>
      </c>
      <c r="I220" s="8" t="s">
        <v>875</v>
      </c>
    </row>
    <row r="221" spans="1:9" ht="113.25" customHeight="1" x14ac:dyDescent="0.35">
      <c r="A221" s="6">
        <v>216</v>
      </c>
      <c r="B221" s="7" t="s">
        <v>868</v>
      </c>
      <c r="C221" s="6" t="s">
        <v>11</v>
      </c>
      <c r="D221" s="7" t="s">
        <v>796</v>
      </c>
      <c r="E221" s="7" t="s">
        <v>876</v>
      </c>
      <c r="F221" s="6" t="s">
        <v>209</v>
      </c>
      <c r="G221" s="7" t="s">
        <v>102</v>
      </c>
      <c r="H221" s="7" t="s">
        <v>877</v>
      </c>
      <c r="I221" s="8" t="s">
        <v>878</v>
      </c>
    </row>
    <row r="222" spans="1:9" ht="113.25" customHeight="1" x14ac:dyDescent="0.35">
      <c r="A222" s="6">
        <v>217</v>
      </c>
      <c r="B222" s="7" t="s">
        <v>868</v>
      </c>
      <c r="C222" s="6" t="s">
        <v>95</v>
      </c>
      <c r="D222" s="7" t="s">
        <v>796</v>
      </c>
      <c r="E222" s="7" t="s">
        <v>879</v>
      </c>
      <c r="F222" s="6" t="s">
        <v>209</v>
      </c>
      <c r="G222" s="7" t="s">
        <v>15</v>
      </c>
      <c r="H222" s="7" t="s">
        <v>880</v>
      </c>
      <c r="I222" s="8" t="s">
        <v>881</v>
      </c>
    </row>
    <row r="223" spans="1:9" ht="201" customHeight="1" x14ac:dyDescent="0.35">
      <c r="A223" s="6">
        <v>218</v>
      </c>
      <c r="B223" s="7" t="s">
        <v>868</v>
      </c>
      <c r="C223" s="6" t="s">
        <v>38</v>
      </c>
      <c r="D223" s="7" t="s">
        <v>882</v>
      </c>
      <c r="E223" s="7" t="s">
        <v>883</v>
      </c>
      <c r="F223" s="6" t="s">
        <v>87</v>
      </c>
      <c r="G223" s="7" t="s">
        <v>102</v>
      </c>
      <c r="H223" s="7" t="s">
        <v>884</v>
      </c>
      <c r="I223" s="8" t="s">
        <v>885</v>
      </c>
    </row>
    <row r="224" spans="1:9" ht="75.75" customHeight="1" x14ac:dyDescent="0.35">
      <c r="A224" s="6">
        <v>219</v>
      </c>
      <c r="B224" s="7" t="s">
        <v>868</v>
      </c>
      <c r="C224" s="6" t="s">
        <v>95</v>
      </c>
      <c r="D224" s="7" t="s">
        <v>872</v>
      </c>
      <c r="E224" s="7" t="s">
        <v>886</v>
      </c>
      <c r="F224" s="6" t="s">
        <v>98</v>
      </c>
      <c r="G224" s="7" t="s">
        <v>102</v>
      </c>
      <c r="H224" s="7" t="s">
        <v>887</v>
      </c>
      <c r="I224" s="8" t="s">
        <v>888</v>
      </c>
    </row>
    <row r="225" spans="1:9" ht="238.5" customHeight="1" x14ac:dyDescent="0.35">
      <c r="A225" s="6">
        <v>220</v>
      </c>
      <c r="B225" s="7" t="s">
        <v>889</v>
      </c>
      <c r="C225" s="6" t="s">
        <v>38</v>
      </c>
      <c r="D225" s="7" t="s">
        <v>796</v>
      </c>
      <c r="E225" s="7" t="s">
        <v>890</v>
      </c>
      <c r="F225" s="6" t="s">
        <v>98</v>
      </c>
      <c r="G225" s="7" t="s">
        <v>41</v>
      </c>
      <c r="H225" s="7" t="s">
        <v>891</v>
      </c>
      <c r="I225" s="8" t="s">
        <v>892</v>
      </c>
    </row>
    <row r="226" spans="1:9" ht="138" customHeight="1" x14ac:dyDescent="0.35">
      <c r="A226" s="6">
        <v>221</v>
      </c>
      <c r="B226" s="7" t="s">
        <v>889</v>
      </c>
      <c r="C226" s="6" t="s">
        <v>38</v>
      </c>
      <c r="D226" s="7" t="s">
        <v>787</v>
      </c>
      <c r="E226" s="7" t="s">
        <v>893</v>
      </c>
      <c r="F226" s="6" t="s">
        <v>98</v>
      </c>
      <c r="G226" s="7" t="s">
        <v>41</v>
      </c>
      <c r="H226" s="7" t="s">
        <v>894</v>
      </c>
      <c r="I226" s="8" t="s">
        <v>895</v>
      </c>
    </row>
    <row r="227" spans="1:9" ht="163.5" customHeight="1" x14ac:dyDescent="0.35">
      <c r="A227" s="6">
        <v>222</v>
      </c>
      <c r="B227" s="7" t="s">
        <v>889</v>
      </c>
      <c r="C227" s="6" t="s">
        <v>95</v>
      </c>
      <c r="D227" s="7" t="s">
        <v>787</v>
      </c>
      <c r="E227" s="7" t="s">
        <v>896</v>
      </c>
      <c r="F227" s="6" t="s">
        <v>98</v>
      </c>
      <c r="G227" s="7" t="s">
        <v>41</v>
      </c>
      <c r="H227" s="7" t="s">
        <v>897</v>
      </c>
      <c r="I227" s="8" t="s">
        <v>898</v>
      </c>
    </row>
    <row r="228" spans="1:9" ht="201" customHeight="1" x14ac:dyDescent="0.35">
      <c r="A228" s="6">
        <v>223</v>
      </c>
      <c r="B228" s="7" t="s">
        <v>889</v>
      </c>
      <c r="C228" s="6" t="s">
        <v>38</v>
      </c>
      <c r="D228" s="7" t="s">
        <v>787</v>
      </c>
      <c r="E228" s="7" t="s">
        <v>899</v>
      </c>
      <c r="F228" s="6" t="s">
        <v>900</v>
      </c>
      <c r="G228" s="7" t="s">
        <v>102</v>
      </c>
      <c r="H228" s="7" t="s">
        <v>901</v>
      </c>
      <c r="I228" s="8" t="s">
        <v>902</v>
      </c>
    </row>
    <row r="229" spans="1:9" ht="150.75" customHeight="1" x14ac:dyDescent="0.35">
      <c r="A229" s="6">
        <v>224</v>
      </c>
      <c r="B229" s="7" t="s">
        <v>889</v>
      </c>
      <c r="C229" s="6" t="s">
        <v>38</v>
      </c>
      <c r="D229" s="7" t="s">
        <v>903</v>
      </c>
      <c r="E229" s="7" t="s">
        <v>904</v>
      </c>
      <c r="F229" s="6" t="s">
        <v>87</v>
      </c>
      <c r="G229" s="7" t="s">
        <v>102</v>
      </c>
      <c r="H229" s="7" t="s">
        <v>905</v>
      </c>
      <c r="I229" s="8" t="s">
        <v>906</v>
      </c>
    </row>
    <row r="230" spans="1:9" ht="188.25" customHeight="1" x14ac:dyDescent="0.35">
      <c r="A230" s="6">
        <v>225</v>
      </c>
      <c r="B230" s="7" t="s">
        <v>907</v>
      </c>
      <c r="C230" s="6" t="s">
        <v>11</v>
      </c>
      <c r="D230" s="7" t="s">
        <v>908</v>
      </c>
      <c r="E230" s="7" t="s">
        <v>909</v>
      </c>
      <c r="F230" s="6" t="s">
        <v>209</v>
      </c>
      <c r="G230" s="7" t="s">
        <v>15</v>
      </c>
      <c r="H230" s="7" t="s">
        <v>910</v>
      </c>
      <c r="I230" s="8" t="s">
        <v>911</v>
      </c>
    </row>
    <row r="231" spans="1:9" ht="100.5" customHeight="1" x14ac:dyDescent="0.35">
      <c r="A231" s="6">
        <v>226</v>
      </c>
      <c r="B231" s="7" t="s">
        <v>907</v>
      </c>
      <c r="C231" s="6" t="s">
        <v>38</v>
      </c>
      <c r="D231" s="7" t="s">
        <v>739</v>
      </c>
      <c r="E231" s="7" t="s">
        <v>912</v>
      </c>
      <c r="F231" s="6" t="s">
        <v>14</v>
      </c>
      <c r="G231" s="7" t="s">
        <v>41</v>
      </c>
      <c r="H231" s="7" t="s">
        <v>913</v>
      </c>
      <c r="I231" s="8" t="s">
        <v>914</v>
      </c>
    </row>
    <row r="232" spans="1:9" ht="175.5" customHeight="1" x14ac:dyDescent="0.35">
      <c r="A232" s="6">
        <v>227</v>
      </c>
      <c r="B232" s="7" t="s">
        <v>907</v>
      </c>
      <c r="C232" s="6" t="s">
        <v>64</v>
      </c>
      <c r="D232" s="7" t="s">
        <v>915</v>
      </c>
      <c r="E232" s="7" t="s">
        <v>916</v>
      </c>
      <c r="F232" s="6" t="s">
        <v>98</v>
      </c>
      <c r="G232" s="7" t="s">
        <v>41</v>
      </c>
      <c r="H232" s="7" t="s">
        <v>917</v>
      </c>
      <c r="I232" s="8" t="s">
        <v>918</v>
      </c>
    </row>
    <row r="233" spans="1:9" ht="126" customHeight="1" x14ac:dyDescent="0.35">
      <c r="A233" s="6">
        <v>228</v>
      </c>
      <c r="B233" s="7" t="s">
        <v>907</v>
      </c>
      <c r="C233" s="6" t="s">
        <v>38</v>
      </c>
      <c r="D233" s="7" t="s">
        <v>739</v>
      </c>
      <c r="E233" s="7" t="s">
        <v>919</v>
      </c>
      <c r="F233" s="6" t="s">
        <v>87</v>
      </c>
      <c r="G233" s="7" t="s">
        <v>15</v>
      </c>
      <c r="H233" s="7" t="s">
        <v>920</v>
      </c>
      <c r="I233" s="8" t="s">
        <v>921</v>
      </c>
    </row>
    <row r="234" spans="1:9" ht="276" customHeight="1" x14ac:dyDescent="0.35">
      <c r="A234" s="6">
        <v>229</v>
      </c>
      <c r="B234" s="7" t="s">
        <v>907</v>
      </c>
      <c r="C234" s="6" t="s">
        <v>64</v>
      </c>
      <c r="D234" s="7" t="s">
        <v>739</v>
      </c>
      <c r="E234" s="7" t="s">
        <v>922</v>
      </c>
      <c r="F234" s="6" t="s">
        <v>923</v>
      </c>
      <c r="G234" s="7" t="s">
        <v>15</v>
      </c>
      <c r="H234" s="7" t="s">
        <v>924</v>
      </c>
      <c r="I234" s="8" t="s">
        <v>925</v>
      </c>
    </row>
    <row r="235" spans="1:9" ht="138" customHeight="1" x14ac:dyDescent="0.35">
      <c r="A235" s="6">
        <v>230</v>
      </c>
      <c r="B235" s="7" t="s">
        <v>926</v>
      </c>
      <c r="C235" s="6" t="s">
        <v>38</v>
      </c>
      <c r="D235" s="7" t="s">
        <v>927</v>
      </c>
      <c r="E235" s="7" t="s">
        <v>928</v>
      </c>
      <c r="F235" s="6" t="s">
        <v>98</v>
      </c>
      <c r="G235" s="7" t="s">
        <v>15</v>
      </c>
      <c r="H235" s="7" t="s">
        <v>929</v>
      </c>
      <c r="I235" s="8" t="s">
        <v>930</v>
      </c>
    </row>
    <row r="236" spans="1:9" ht="100.5" customHeight="1" x14ac:dyDescent="0.35">
      <c r="A236" s="6">
        <v>231</v>
      </c>
      <c r="B236" s="7" t="s">
        <v>926</v>
      </c>
      <c r="C236" s="6" t="s">
        <v>38</v>
      </c>
      <c r="D236" s="7" t="s">
        <v>931</v>
      </c>
      <c r="E236" s="7" t="s">
        <v>932</v>
      </c>
      <c r="F236" s="6" t="s">
        <v>87</v>
      </c>
      <c r="G236" s="7" t="s">
        <v>102</v>
      </c>
      <c r="H236" s="7" t="s">
        <v>933</v>
      </c>
      <c r="I236" s="8" t="s">
        <v>934</v>
      </c>
    </row>
    <row r="237" spans="1:9" ht="14.25" customHeight="1" x14ac:dyDescent="0.35">
      <c r="A237" s="10"/>
      <c r="B237" s="10"/>
      <c r="C237" s="10"/>
      <c r="D237" s="10"/>
      <c r="E237" s="10"/>
      <c r="F237" s="10"/>
      <c r="G237" s="10"/>
      <c r="H237" s="10"/>
      <c r="I237" s="9"/>
    </row>
    <row r="238" spans="1:9" ht="14.25" customHeight="1" x14ac:dyDescent="0.35">
      <c r="A238" s="10"/>
      <c r="B238" s="10"/>
      <c r="C238" s="10"/>
      <c r="D238" s="10"/>
      <c r="E238" s="10"/>
      <c r="F238" s="10"/>
      <c r="G238" s="10"/>
      <c r="H238" s="10"/>
      <c r="I238" s="9"/>
    </row>
    <row r="239" spans="1:9" ht="14.25" customHeight="1" x14ac:dyDescent="0.35">
      <c r="A239" s="10"/>
      <c r="B239" s="10"/>
      <c r="C239" s="10"/>
      <c r="D239" s="10"/>
      <c r="E239" s="10"/>
      <c r="F239" s="10"/>
      <c r="G239" s="10"/>
      <c r="H239" s="10"/>
      <c r="I239" s="9"/>
    </row>
    <row r="240" spans="1:9" ht="14.25" customHeight="1" x14ac:dyDescent="0.35">
      <c r="A240" s="10"/>
      <c r="B240" s="10"/>
      <c r="C240" s="10"/>
      <c r="D240" s="10"/>
      <c r="E240" s="10"/>
      <c r="F240" s="10"/>
      <c r="G240" s="10"/>
      <c r="H240" s="10"/>
      <c r="I240" s="9"/>
    </row>
    <row r="241" spans="1:9" ht="14.25" customHeight="1" x14ac:dyDescent="0.35">
      <c r="A241" s="10"/>
      <c r="B241" s="10"/>
      <c r="C241" s="10"/>
      <c r="D241" s="10"/>
      <c r="E241" s="10"/>
      <c r="F241" s="10"/>
      <c r="G241" s="10"/>
      <c r="H241" s="10"/>
      <c r="I241" s="9"/>
    </row>
    <row r="242" spans="1:9" ht="14.25" customHeight="1" x14ac:dyDescent="0.35">
      <c r="A242" s="10"/>
      <c r="B242" s="10"/>
      <c r="C242" s="10"/>
      <c r="D242" s="10"/>
      <c r="E242" s="10"/>
      <c r="F242" s="10"/>
      <c r="G242" s="10"/>
      <c r="H242" s="10"/>
      <c r="I242" s="9"/>
    </row>
    <row r="243" spans="1:9" ht="14.25" customHeight="1" x14ac:dyDescent="0.35">
      <c r="A243" s="10"/>
      <c r="B243" s="10"/>
      <c r="C243" s="10"/>
      <c r="D243" s="10"/>
      <c r="E243" s="10"/>
      <c r="F243" s="10"/>
      <c r="G243" s="10"/>
      <c r="H243" s="10"/>
      <c r="I243" s="9"/>
    </row>
    <row r="244" spans="1:9" ht="14.25" customHeight="1" x14ac:dyDescent="0.35">
      <c r="A244" s="10"/>
      <c r="B244" s="10"/>
      <c r="C244" s="10"/>
      <c r="D244" s="10"/>
      <c r="E244" s="10"/>
      <c r="F244" s="10"/>
      <c r="G244" s="10"/>
      <c r="H244" s="10"/>
      <c r="I244" s="9"/>
    </row>
    <row r="245" spans="1:9" ht="14.25" customHeight="1" x14ac:dyDescent="0.35">
      <c r="A245" s="10"/>
      <c r="B245" s="10"/>
      <c r="C245" s="10"/>
      <c r="D245" s="10"/>
      <c r="E245" s="10"/>
      <c r="F245" s="10"/>
      <c r="G245" s="10"/>
      <c r="H245" s="10"/>
      <c r="I245" s="9"/>
    </row>
    <row r="246" spans="1:9" ht="14.25" customHeight="1" x14ac:dyDescent="0.35">
      <c r="A246" s="10"/>
      <c r="B246" s="10"/>
      <c r="C246" s="10"/>
      <c r="D246" s="10"/>
      <c r="E246" s="10"/>
      <c r="F246" s="10"/>
      <c r="G246" s="10"/>
      <c r="H246" s="10"/>
      <c r="I246" s="9"/>
    </row>
    <row r="247" spans="1:9" ht="14.25" customHeight="1" x14ac:dyDescent="0.35">
      <c r="A247" s="10"/>
      <c r="B247" s="10"/>
      <c r="C247" s="10"/>
      <c r="D247" s="10"/>
      <c r="E247" s="10"/>
      <c r="F247" s="10"/>
      <c r="G247" s="10"/>
      <c r="H247" s="10"/>
      <c r="I247" s="9"/>
    </row>
    <row r="248" spans="1:9" ht="14.25" customHeight="1" x14ac:dyDescent="0.35">
      <c r="A248" s="10"/>
      <c r="B248" s="10"/>
      <c r="C248" s="10"/>
      <c r="D248" s="10"/>
      <c r="E248" s="10"/>
      <c r="F248" s="10"/>
      <c r="G248" s="10"/>
      <c r="H248" s="10"/>
      <c r="I248" s="9"/>
    </row>
    <row r="249" spans="1:9" ht="14.25" customHeight="1" x14ac:dyDescent="0.35">
      <c r="A249" s="10"/>
      <c r="B249" s="10"/>
      <c r="C249" s="10"/>
      <c r="D249" s="10"/>
      <c r="E249" s="10"/>
      <c r="F249" s="10"/>
      <c r="G249" s="10"/>
      <c r="H249" s="10"/>
      <c r="I249" s="9"/>
    </row>
    <row r="250" spans="1:9" ht="14.25" customHeight="1" x14ac:dyDescent="0.35">
      <c r="A250" s="10"/>
      <c r="B250" s="10"/>
      <c r="C250" s="10"/>
      <c r="D250" s="10"/>
      <c r="E250" s="10"/>
      <c r="F250" s="10"/>
      <c r="G250" s="10"/>
      <c r="H250" s="10"/>
      <c r="I250" s="9"/>
    </row>
    <row r="251" spans="1:9" ht="14.25" customHeight="1" x14ac:dyDescent="0.35">
      <c r="A251" s="10"/>
      <c r="B251" s="10"/>
      <c r="C251" s="10"/>
      <c r="D251" s="10"/>
      <c r="E251" s="10"/>
      <c r="F251" s="10"/>
      <c r="G251" s="10"/>
      <c r="H251" s="10"/>
      <c r="I251" s="9"/>
    </row>
    <row r="252" spans="1:9" ht="14.25" customHeight="1" x14ac:dyDescent="0.35">
      <c r="A252" s="10"/>
      <c r="B252" s="10"/>
      <c r="C252" s="10"/>
      <c r="D252" s="10"/>
      <c r="E252" s="10"/>
      <c r="F252" s="10"/>
      <c r="G252" s="10"/>
      <c r="H252" s="10"/>
      <c r="I252" s="9"/>
    </row>
    <row r="253" spans="1:9" ht="14.25" customHeight="1" x14ac:dyDescent="0.35">
      <c r="A253" s="10"/>
      <c r="B253" s="10"/>
      <c r="C253" s="10"/>
      <c r="D253" s="10"/>
      <c r="E253" s="10"/>
      <c r="F253" s="10"/>
      <c r="G253" s="10"/>
      <c r="H253" s="10"/>
      <c r="I253" s="9"/>
    </row>
    <row r="254" spans="1:9" ht="14.25" customHeight="1" x14ac:dyDescent="0.35">
      <c r="A254" s="10"/>
      <c r="B254" s="10"/>
      <c r="C254" s="10"/>
      <c r="D254" s="10"/>
      <c r="E254" s="10"/>
      <c r="F254" s="10"/>
      <c r="G254" s="10"/>
      <c r="H254" s="10"/>
      <c r="I254" s="9"/>
    </row>
    <row r="255" spans="1:9" ht="14.25" customHeight="1" x14ac:dyDescent="0.35">
      <c r="A255" s="10"/>
      <c r="B255" s="10"/>
      <c r="C255" s="10"/>
      <c r="D255" s="10"/>
      <c r="E255" s="10"/>
      <c r="F255" s="10"/>
      <c r="G255" s="10"/>
      <c r="H255" s="10"/>
      <c r="I255" s="9"/>
    </row>
    <row r="256" spans="1:9" ht="14.25" customHeight="1" x14ac:dyDescent="0.35">
      <c r="A256" s="10"/>
      <c r="B256" s="10"/>
      <c r="C256" s="10"/>
      <c r="D256" s="10"/>
      <c r="E256" s="10"/>
      <c r="F256" s="10"/>
      <c r="G256" s="10"/>
      <c r="H256" s="10"/>
      <c r="I256" s="9"/>
    </row>
    <row r="257" spans="1:9" ht="14.25" customHeight="1" x14ac:dyDescent="0.35">
      <c r="A257" s="10"/>
      <c r="B257" s="10"/>
      <c r="C257" s="10"/>
      <c r="D257" s="10"/>
      <c r="E257" s="10"/>
      <c r="F257" s="10"/>
      <c r="G257" s="10"/>
      <c r="H257" s="10"/>
      <c r="I257" s="9"/>
    </row>
    <row r="258" spans="1:9" ht="14.25" customHeight="1" x14ac:dyDescent="0.35">
      <c r="A258" s="10"/>
      <c r="B258" s="10"/>
      <c r="C258" s="10"/>
      <c r="D258" s="10"/>
      <c r="E258" s="10"/>
      <c r="F258" s="10"/>
      <c r="G258" s="10"/>
      <c r="H258" s="10"/>
      <c r="I258" s="9"/>
    </row>
    <row r="259" spans="1:9" ht="14.25" customHeight="1" x14ac:dyDescent="0.35">
      <c r="A259" s="10"/>
      <c r="B259" s="10"/>
      <c r="C259" s="10"/>
      <c r="D259" s="10"/>
      <c r="E259" s="10"/>
      <c r="F259" s="10"/>
      <c r="G259" s="10"/>
      <c r="H259" s="10"/>
      <c r="I259" s="9"/>
    </row>
    <row r="260" spans="1:9" ht="14.25" customHeight="1" x14ac:dyDescent="0.35">
      <c r="A260" s="10"/>
      <c r="B260" s="10"/>
      <c r="C260" s="10"/>
      <c r="D260" s="10"/>
      <c r="E260" s="10"/>
      <c r="F260" s="10"/>
      <c r="G260" s="10"/>
      <c r="H260" s="10"/>
      <c r="I260" s="9"/>
    </row>
    <row r="261" spans="1:9" ht="14.25" customHeight="1" x14ac:dyDescent="0.35">
      <c r="A261" s="10"/>
      <c r="B261" s="10"/>
      <c r="C261" s="10"/>
      <c r="D261" s="10"/>
      <c r="E261" s="10"/>
      <c r="F261" s="10"/>
      <c r="G261" s="10"/>
      <c r="H261" s="10"/>
      <c r="I261" s="9"/>
    </row>
    <row r="262" spans="1:9" ht="14.25" customHeight="1" x14ac:dyDescent="0.35">
      <c r="A262" s="10"/>
      <c r="B262" s="10"/>
      <c r="C262" s="10"/>
      <c r="D262" s="10"/>
      <c r="E262" s="10"/>
      <c r="F262" s="10"/>
      <c r="G262" s="10"/>
      <c r="H262" s="10"/>
      <c r="I262" s="9"/>
    </row>
    <row r="263" spans="1:9" ht="14.25" customHeight="1" x14ac:dyDescent="0.35">
      <c r="A263" s="10"/>
      <c r="B263" s="10"/>
      <c r="C263" s="10"/>
      <c r="D263" s="10"/>
      <c r="E263" s="10"/>
      <c r="F263" s="10"/>
      <c r="G263" s="10"/>
      <c r="H263" s="10"/>
      <c r="I263" s="9"/>
    </row>
    <row r="264" spans="1:9" ht="14.25" customHeight="1" x14ac:dyDescent="0.35">
      <c r="A264" s="10"/>
      <c r="B264" s="10"/>
      <c r="C264" s="10"/>
      <c r="D264" s="10"/>
      <c r="E264" s="10"/>
      <c r="F264" s="10"/>
      <c r="G264" s="10"/>
      <c r="H264" s="10"/>
      <c r="I264" s="9"/>
    </row>
    <row r="265" spans="1:9" ht="14.25" customHeight="1" x14ac:dyDescent="0.35">
      <c r="A265" s="10"/>
      <c r="B265" s="10"/>
      <c r="C265" s="10"/>
      <c r="D265" s="10"/>
      <c r="E265" s="10"/>
      <c r="F265" s="10"/>
      <c r="G265" s="10"/>
      <c r="H265" s="10"/>
      <c r="I265" s="9"/>
    </row>
    <row r="266" spans="1:9" ht="14.25" customHeight="1" x14ac:dyDescent="0.35">
      <c r="A266" s="10"/>
      <c r="B266" s="10"/>
      <c r="C266" s="10"/>
      <c r="D266" s="10"/>
      <c r="E266" s="10"/>
      <c r="F266" s="10"/>
      <c r="G266" s="10"/>
      <c r="H266" s="10"/>
      <c r="I266" s="9"/>
    </row>
    <row r="267" spans="1:9" ht="14.25" customHeight="1" x14ac:dyDescent="0.35">
      <c r="A267" s="10"/>
      <c r="B267" s="10"/>
      <c r="C267" s="10"/>
      <c r="D267" s="10"/>
      <c r="E267" s="10"/>
      <c r="F267" s="10"/>
      <c r="G267" s="10"/>
      <c r="H267" s="10"/>
      <c r="I267" s="9"/>
    </row>
    <row r="268" spans="1:9" ht="14.25" customHeight="1" x14ac:dyDescent="0.35">
      <c r="A268" s="10"/>
      <c r="B268" s="10"/>
      <c r="C268" s="10"/>
      <c r="D268" s="10"/>
      <c r="E268" s="10"/>
      <c r="F268" s="10"/>
      <c r="G268" s="10"/>
      <c r="H268" s="10"/>
      <c r="I268" s="9"/>
    </row>
    <row r="269" spans="1:9" ht="14.25" customHeight="1" x14ac:dyDescent="0.35">
      <c r="A269" s="10"/>
      <c r="B269" s="10"/>
      <c r="C269" s="10"/>
      <c r="D269" s="10"/>
      <c r="E269" s="10"/>
      <c r="F269" s="10"/>
      <c r="G269" s="10"/>
      <c r="H269" s="10"/>
      <c r="I269" s="9"/>
    </row>
    <row r="270" spans="1:9" ht="14.25" customHeight="1" x14ac:dyDescent="0.35">
      <c r="A270" s="10"/>
      <c r="B270" s="10"/>
      <c r="C270" s="10"/>
      <c r="D270" s="10"/>
      <c r="E270" s="10"/>
      <c r="F270" s="10"/>
      <c r="G270" s="10"/>
      <c r="H270" s="10"/>
      <c r="I270" s="9"/>
    </row>
    <row r="271" spans="1:9" ht="14.25" customHeight="1" x14ac:dyDescent="0.35">
      <c r="A271" s="10"/>
      <c r="B271" s="10"/>
      <c r="C271" s="10"/>
      <c r="D271" s="10"/>
      <c r="E271" s="10"/>
      <c r="F271" s="10"/>
      <c r="G271" s="10"/>
      <c r="H271" s="10"/>
      <c r="I271" s="9"/>
    </row>
    <row r="272" spans="1:9" ht="14.25" customHeight="1" x14ac:dyDescent="0.35">
      <c r="A272" s="10"/>
      <c r="B272" s="10"/>
      <c r="C272" s="10"/>
      <c r="D272" s="10"/>
      <c r="E272" s="10"/>
      <c r="F272" s="10"/>
      <c r="G272" s="10"/>
      <c r="H272" s="10"/>
      <c r="I272" s="9"/>
    </row>
    <row r="273" spans="1:9" ht="14.25" customHeight="1" x14ac:dyDescent="0.35">
      <c r="A273" s="10"/>
      <c r="B273" s="10"/>
      <c r="C273" s="10"/>
      <c r="D273" s="10"/>
      <c r="E273" s="10"/>
      <c r="F273" s="10"/>
      <c r="G273" s="10"/>
      <c r="H273" s="10"/>
      <c r="I273" s="9"/>
    </row>
    <row r="274" spans="1:9" ht="14.25" customHeight="1" x14ac:dyDescent="0.35">
      <c r="A274" s="10"/>
      <c r="B274" s="10"/>
      <c r="C274" s="10"/>
      <c r="D274" s="10"/>
      <c r="E274" s="10"/>
      <c r="F274" s="10"/>
      <c r="G274" s="10"/>
      <c r="H274" s="10"/>
      <c r="I274" s="9"/>
    </row>
    <row r="275" spans="1:9" ht="14.25" customHeight="1" x14ac:dyDescent="0.35">
      <c r="A275" s="10"/>
      <c r="B275" s="10"/>
      <c r="C275" s="10"/>
      <c r="D275" s="10"/>
      <c r="E275" s="10"/>
      <c r="F275" s="10"/>
      <c r="G275" s="10"/>
      <c r="H275" s="10"/>
      <c r="I275" s="9"/>
    </row>
    <row r="276" spans="1:9" ht="14.25" customHeight="1" x14ac:dyDescent="0.35">
      <c r="A276" s="10"/>
      <c r="B276" s="10"/>
      <c r="C276" s="10"/>
      <c r="D276" s="10"/>
      <c r="E276" s="10"/>
      <c r="F276" s="10"/>
      <c r="G276" s="10"/>
      <c r="H276" s="10"/>
      <c r="I276" s="9"/>
    </row>
    <row r="277" spans="1:9" ht="14.25" customHeight="1" x14ac:dyDescent="0.35">
      <c r="A277" s="10"/>
      <c r="B277" s="10"/>
      <c r="C277" s="10"/>
      <c r="D277" s="10"/>
      <c r="E277" s="10"/>
      <c r="F277" s="10"/>
      <c r="G277" s="10"/>
      <c r="H277" s="10"/>
      <c r="I277" s="9"/>
    </row>
    <row r="278" spans="1:9" ht="14.25" customHeight="1" x14ac:dyDescent="0.35">
      <c r="A278" s="10"/>
      <c r="B278" s="10"/>
      <c r="C278" s="10"/>
      <c r="D278" s="10"/>
      <c r="E278" s="10"/>
      <c r="F278" s="10"/>
      <c r="G278" s="10"/>
      <c r="H278" s="10"/>
      <c r="I278" s="9"/>
    </row>
    <row r="279" spans="1:9" ht="14.25" customHeight="1" x14ac:dyDescent="0.35">
      <c r="A279" s="10"/>
      <c r="B279" s="10"/>
      <c r="C279" s="10"/>
      <c r="D279" s="10"/>
      <c r="E279" s="10"/>
      <c r="F279" s="10"/>
      <c r="G279" s="10"/>
      <c r="H279" s="10"/>
      <c r="I279" s="9"/>
    </row>
    <row r="280" spans="1:9" ht="14.25" customHeight="1" x14ac:dyDescent="0.35">
      <c r="A280" s="10"/>
      <c r="B280" s="10"/>
      <c r="C280" s="10"/>
      <c r="D280" s="10"/>
      <c r="E280" s="10"/>
      <c r="F280" s="10"/>
      <c r="G280" s="10"/>
      <c r="H280" s="10"/>
      <c r="I280" s="9"/>
    </row>
    <row r="281" spans="1:9" ht="14.25" customHeight="1" x14ac:dyDescent="0.35">
      <c r="A281" s="10"/>
      <c r="B281" s="10"/>
      <c r="C281" s="10"/>
      <c r="D281" s="10"/>
      <c r="E281" s="10"/>
      <c r="F281" s="10"/>
      <c r="G281" s="10"/>
      <c r="H281" s="10"/>
      <c r="I281" s="9"/>
    </row>
    <row r="282" spans="1:9" ht="14.25" customHeight="1" x14ac:dyDescent="0.35">
      <c r="A282" s="10"/>
      <c r="B282" s="10"/>
      <c r="C282" s="10"/>
      <c r="D282" s="10"/>
      <c r="E282" s="10"/>
      <c r="F282" s="10"/>
      <c r="G282" s="10"/>
      <c r="H282" s="10"/>
      <c r="I282" s="9"/>
    </row>
    <row r="283" spans="1:9" ht="14.25" customHeight="1" x14ac:dyDescent="0.35">
      <c r="A283" s="10"/>
      <c r="B283" s="10"/>
      <c r="C283" s="10"/>
      <c r="D283" s="10"/>
      <c r="E283" s="10"/>
      <c r="F283" s="10"/>
      <c r="G283" s="10"/>
      <c r="H283" s="10"/>
      <c r="I283" s="9"/>
    </row>
    <row r="284" spans="1:9" ht="14.25" customHeight="1" x14ac:dyDescent="0.35">
      <c r="A284" s="10"/>
      <c r="B284" s="10"/>
      <c r="C284" s="10"/>
      <c r="D284" s="10"/>
      <c r="E284" s="10"/>
      <c r="F284" s="10"/>
      <c r="G284" s="10"/>
      <c r="H284" s="10"/>
      <c r="I284" s="9"/>
    </row>
    <row r="285" spans="1:9" ht="14.25" customHeight="1" x14ac:dyDescent="0.35">
      <c r="A285" s="10"/>
      <c r="B285" s="10"/>
      <c r="C285" s="10"/>
      <c r="D285" s="10"/>
      <c r="E285" s="10"/>
      <c r="F285" s="10"/>
      <c r="G285" s="10"/>
      <c r="H285" s="10"/>
      <c r="I285" s="9"/>
    </row>
    <row r="286" spans="1:9" ht="14.25" customHeight="1" x14ac:dyDescent="0.35">
      <c r="A286" s="10"/>
      <c r="B286" s="10"/>
      <c r="C286" s="10"/>
      <c r="D286" s="10"/>
      <c r="E286" s="10"/>
      <c r="F286" s="10"/>
      <c r="G286" s="10"/>
      <c r="H286" s="10"/>
      <c r="I286" s="9"/>
    </row>
    <row r="287" spans="1:9" ht="14.25" customHeight="1" x14ac:dyDescent="0.35">
      <c r="A287" s="10"/>
      <c r="B287" s="10"/>
      <c r="C287" s="10"/>
      <c r="D287" s="10"/>
      <c r="E287" s="10"/>
      <c r="F287" s="10"/>
      <c r="G287" s="10"/>
      <c r="H287" s="10"/>
      <c r="I287" s="9"/>
    </row>
    <row r="288" spans="1:9" ht="14.25" customHeight="1" x14ac:dyDescent="0.35">
      <c r="A288" s="10"/>
      <c r="B288" s="10"/>
      <c r="C288" s="10"/>
      <c r="D288" s="10"/>
      <c r="E288" s="10"/>
      <c r="F288" s="10"/>
      <c r="G288" s="10"/>
      <c r="H288" s="10"/>
      <c r="I288" s="9"/>
    </row>
    <row r="289" spans="1:9" ht="14.25" customHeight="1" x14ac:dyDescent="0.35">
      <c r="A289" s="10"/>
      <c r="B289" s="10"/>
      <c r="C289" s="10"/>
      <c r="D289" s="10"/>
      <c r="E289" s="10"/>
      <c r="F289" s="10"/>
      <c r="G289" s="10"/>
      <c r="H289" s="10"/>
      <c r="I289" s="9"/>
    </row>
    <row r="290" spans="1:9" ht="14.25" customHeight="1" x14ac:dyDescent="0.35">
      <c r="A290" s="10"/>
      <c r="B290" s="10"/>
      <c r="C290" s="10"/>
      <c r="D290" s="10"/>
      <c r="E290" s="10"/>
      <c r="F290" s="10"/>
      <c r="G290" s="10"/>
      <c r="H290" s="10"/>
      <c r="I290" s="9"/>
    </row>
    <row r="291" spans="1:9" ht="14.25" customHeight="1" x14ac:dyDescent="0.35">
      <c r="A291" s="10"/>
      <c r="B291" s="10"/>
      <c r="C291" s="10"/>
      <c r="D291" s="10"/>
      <c r="E291" s="10"/>
      <c r="F291" s="10"/>
      <c r="G291" s="10"/>
      <c r="H291" s="10"/>
      <c r="I291" s="9"/>
    </row>
    <row r="292" spans="1:9" ht="14.25" customHeight="1" x14ac:dyDescent="0.35">
      <c r="A292" s="10"/>
      <c r="B292" s="10"/>
      <c r="C292" s="10"/>
      <c r="D292" s="10"/>
      <c r="E292" s="10"/>
      <c r="F292" s="10"/>
      <c r="G292" s="10"/>
      <c r="H292" s="10"/>
      <c r="I292" s="9"/>
    </row>
    <row r="293" spans="1:9" ht="14.25" customHeight="1" x14ac:dyDescent="0.35">
      <c r="A293" s="10"/>
      <c r="B293" s="10"/>
      <c r="C293" s="10"/>
      <c r="D293" s="10"/>
      <c r="E293" s="10"/>
      <c r="F293" s="10"/>
      <c r="G293" s="10"/>
      <c r="H293" s="10"/>
      <c r="I293" s="9"/>
    </row>
    <row r="294" spans="1:9" ht="14.25" customHeight="1" x14ac:dyDescent="0.35">
      <c r="A294" s="10"/>
      <c r="B294" s="10"/>
      <c r="C294" s="10"/>
      <c r="D294" s="10"/>
      <c r="E294" s="10"/>
      <c r="F294" s="10"/>
      <c r="G294" s="10"/>
      <c r="H294" s="10"/>
      <c r="I294" s="9"/>
    </row>
    <row r="295" spans="1:9" ht="14.25" customHeight="1" x14ac:dyDescent="0.35">
      <c r="A295" s="10"/>
      <c r="B295" s="10"/>
      <c r="C295" s="10"/>
      <c r="D295" s="10"/>
      <c r="E295" s="10"/>
      <c r="F295" s="10"/>
      <c r="G295" s="10"/>
      <c r="H295" s="10"/>
      <c r="I295" s="9"/>
    </row>
    <row r="296" spans="1:9" ht="14.25" customHeight="1" x14ac:dyDescent="0.35">
      <c r="A296" s="10"/>
      <c r="B296" s="10"/>
      <c r="C296" s="10"/>
      <c r="D296" s="10"/>
      <c r="E296" s="10"/>
      <c r="F296" s="10"/>
      <c r="G296" s="10"/>
      <c r="H296" s="10"/>
      <c r="I296" s="9"/>
    </row>
    <row r="297" spans="1:9" ht="14.25" customHeight="1" x14ac:dyDescent="0.35">
      <c r="A297" s="10"/>
      <c r="B297" s="10"/>
      <c r="C297" s="10"/>
      <c r="D297" s="10"/>
      <c r="E297" s="10"/>
      <c r="F297" s="10"/>
      <c r="G297" s="10"/>
      <c r="H297" s="10"/>
      <c r="I297" s="9"/>
    </row>
    <row r="298" spans="1:9" ht="14.25" customHeight="1" x14ac:dyDescent="0.35">
      <c r="A298" s="10"/>
      <c r="B298" s="10"/>
      <c r="C298" s="10"/>
      <c r="D298" s="10"/>
      <c r="E298" s="10"/>
      <c r="F298" s="10"/>
      <c r="G298" s="10"/>
      <c r="H298" s="10"/>
      <c r="I298" s="9"/>
    </row>
    <row r="299" spans="1:9" ht="14.25" customHeight="1" x14ac:dyDescent="0.35">
      <c r="A299" s="10"/>
      <c r="B299" s="10"/>
      <c r="C299" s="10"/>
      <c r="D299" s="10"/>
      <c r="E299" s="10"/>
      <c r="F299" s="10"/>
      <c r="G299" s="10"/>
      <c r="H299" s="10"/>
      <c r="I299" s="9"/>
    </row>
    <row r="300" spans="1:9" ht="14.25" customHeight="1" x14ac:dyDescent="0.35">
      <c r="A300" s="10"/>
      <c r="B300" s="10"/>
      <c r="C300" s="10"/>
      <c r="D300" s="10"/>
      <c r="E300" s="10"/>
      <c r="F300" s="10"/>
      <c r="G300" s="10"/>
      <c r="H300" s="10"/>
      <c r="I300" s="9"/>
    </row>
    <row r="301" spans="1:9" ht="14.25" customHeight="1" x14ac:dyDescent="0.35">
      <c r="A301" s="10"/>
      <c r="B301" s="10"/>
      <c r="C301" s="10"/>
      <c r="D301" s="10"/>
      <c r="E301" s="10"/>
      <c r="F301" s="10"/>
      <c r="G301" s="10"/>
      <c r="H301" s="10"/>
      <c r="I301" s="9"/>
    </row>
    <row r="302" spans="1:9" ht="14.25" customHeight="1" x14ac:dyDescent="0.35">
      <c r="A302" s="10"/>
      <c r="B302" s="10"/>
      <c r="C302" s="10"/>
      <c r="D302" s="10"/>
      <c r="E302" s="10"/>
      <c r="F302" s="10"/>
      <c r="G302" s="10"/>
      <c r="H302" s="10"/>
      <c r="I302" s="9"/>
    </row>
    <row r="303" spans="1:9" ht="14.25" customHeight="1" x14ac:dyDescent="0.35">
      <c r="A303" s="10"/>
      <c r="B303" s="10"/>
      <c r="C303" s="10"/>
      <c r="D303" s="10"/>
      <c r="E303" s="10"/>
      <c r="F303" s="10"/>
      <c r="G303" s="10"/>
      <c r="H303" s="10"/>
      <c r="I303" s="9"/>
    </row>
    <row r="304" spans="1:9" ht="14.25" customHeight="1" x14ac:dyDescent="0.35">
      <c r="A304" s="10"/>
      <c r="B304" s="10"/>
      <c r="C304" s="10"/>
      <c r="D304" s="10"/>
      <c r="E304" s="10"/>
      <c r="F304" s="10"/>
      <c r="G304" s="10"/>
      <c r="H304" s="10"/>
      <c r="I304" s="9"/>
    </row>
    <row r="305" spans="1:9" ht="14.25" customHeight="1" x14ac:dyDescent="0.35">
      <c r="A305" s="10"/>
      <c r="B305" s="10"/>
      <c r="C305" s="10"/>
      <c r="D305" s="10"/>
      <c r="E305" s="10"/>
      <c r="F305" s="10"/>
      <c r="G305" s="10"/>
      <c r="H305" s="10"/>
      <c r="I305" s="9"/>
    </row>
    <row r="306" spans="1:9" ht="14.25" customHeight="1" x14ac:dyDescent="0.35">
      <c r="A306" s="10"/>
      <c r="B306" s="10"/>
      <c r="C306" s="10"/>
      <c r="D306" s="10"/>
      <c r="E306" s="10"/>
      <c r="F306" s="10"/>
      <c r="G306" s="10"/>
      <c r="H306" s="10"/>
      <c r="I306" s="9"/>
    </row>
    <row r="307" spans="1:9" ht="14.25" customHeight="1" x14ac:dyDescent="0.35">
      <c r="A307" s="10"/>
      <c r="B307" s="10"/>
      <c r="C307" s="10"/>
      <c r="D307" s="10"/>
      <c r="E307" s="10"/>
      <c r="F307" s="10"/>
      <c r="G307" s="10"/>
      <c r="H307" s="10"/>
      <c r="I307" s="9"/>
    </row>
    <row r="308" spans="1:9" ht="14.25" customHeight="1" x14ac:dyDescent="0.35">
      <c r="A308" s="10"/>
      <c r="B308" s="10"/>
      <c r="C308" s="10"/>
      <c r="D308" s="10"/>
      <c r="E308" s="10"/>
      <c r="F308" s="10"/>
      <c r="G308" s="10"/>
      <c r="H308" s="10"/>
      <c r="I308" s="9"/>
    </row>
    <row r="309" spans="1:9" ht="14.25" customHeight="1" x14ac:dyDescent="0.35">
      <c r="A309" s="10"/>
      <c r="B309" s="10"/>
      <c r="C309" s="10"/>
      <c r="D309" s="10"/>
      <c r="E309" s="10"/>
      <c r="F309" s="10"/>
      <c r="G309" s="10"/>
      <c r="H309" s="10"/>
      <c r="I309" s="9"/>
    </row>
    <row r="310" spans="1:9" ht="14.25" customHeight="1" x14ac:dyDescent="0.35">
      <c r="A310" s="10"/>
      <c r="B310" s="10"/>
      <c r="C310" s="10"/>
      <c r="D310" s="10"/>
      <c r="E310" s="10"/>
      <c r="F310" s="10"/>
      <c r="G310" s="10"/>
      <c r="H310" s="10"/>
      <c r="I310" s="9"/>
    </row>
    <row r="311" spans="1:9" ht="14.25" customHeight="1" x14ac:dyDescent="0.35">
      <c r="A311" s="10"/>
      <c r="B311" s="10"/>
      <c r="C311" s="10"/>
      <c r="D311" s="10"/>
      <c r="E311" s="10"/>
      <c r="F311" s="10"/>
      <c r="G311" s="10"/>
      <c r="H311" s="10"/>
      <c r="I311" s="9"/>
    </row>
    <row r="312" spans="1:9" ht="14.25" customHeight="1" x14ac:dyDescent="0.35">
      <c r="A312" s="10"/>
      <c r="B312" s="10"/>
      <c r="C312" s="10"/>
      <c r="D312" s="10"/>
      <c r="E312" s="10"/>
      <c r="F312" s="10"/>
      <c r="G312" s="10"/>
      <c r="H312" s="10"/>
      <c r="I312" s="9"/>
    </row>
    <row r="313" spans="1:9" ht="14.25" customHeight="1" x14ac:dyDescent="0.35">
      <c r="A313" s="10"/>
      <c r="B313" s="10"/>
      <c r="C313" s="10"/>
      <c r="D313" s="10"/>
      <c r="E313" s="10"/>
      <c r="F313" s="10"/>
      <c r="G313" s="10"/>
      <c r="H313" s="10"/>
      <c r="I313" s="9"/>
    </row>
    <row r="314" spans="1:9" ht="14.25" customHeight="1" x14ac:dyDescent="0.35">
      <c r="A314" s="10"/>
      <c r="B314" s="10"/>
      <c r="C314" s="10"/>
      <c r="D314" s="10"/>
      <c r="E314" s="10"/>
      <c r="F314" s="10"/>
      <c r="G314" s="10"/>
      <c r="H314" s="10"/>
      <c r="I314" s="9"/>
    </row>
    <row r="315" spans="1:9" ht="14.25" customHeight="1" x14ac:dyDescent="0.35">
      <c r="A315" s="10"/>
      <c r="B315" s="10"/>
      <c r="C315" s="10"/>
      <c r="D315" s="10"/>
      <c r="E315" s="10"/>
      <c r="F315" s="10"/>
      <c r="G315" s="10"/>
      <c r="H315" s="10"/>
      <c r="I315" s="9"/>
    </row>
    <row r="316" spans="1:9" ht="14.25" customHeight="1" x14ac:dyDescent="0.35">
      <c r="A316" s="10"/>
      <c r="B316" s="10"/>
      <c r="C316" s="10"/>
      <c r="D316" s="10"/>
      <c r="E316" s="10"/>
      <c r="F316" s="10"/>
      <c r="G316" s="10"/>
      <c r="H316" s="10"/>
      <c r="I316" s="9"/>
    </row>
    <row r="317" spans="1:9" ht="14.25" customHeight="1" x14ac:dyDescent="0.35">
      <c r="A317" s="10"/>
      <c r="B317" s="10"/>
      <c r="C317" s="10"/>
      <c r="D317" s="10"/>
      <c r="E317" s="10"/>
      <c r="F317" s="10"/>
      <c r="G317" s="10"/>
      <c r="H317" s="10"/>
      <c r="I317" s="9"/>
    </row>
    <row r="318" spans="1:9" ht="14.25" customHeight="1" x14ac:dyDescent="0.35">
      <c r="A318" s="10"/>
      <c r="B318" s="10"/>
      <c r="C318" s="10"/>
      <c r="D318" s="10"/>
      <c r="E318" s="10"/>
      <c r="F318" s="10"/>
      <c r="G318" s="10"/>
      <c r="H318" s="10"/>
      <c r="I318" s="9"/>
    </row>
    <row r="319" spans="1:9" ht="14.25" customHeight="1" x14ac:dyDescent="0.35">
      <c r="A319" s="10"/>
      <c r="B319" s="10"/>
      <c r="C319" s="10"/>
      <c r="D319" s="10"/>
      <c r="E319" s="10"/>
      <c r="F319" s="10"/>
      <c r="G319" s="10"/>
      <c r="H319" s="10"/>
      <c r="I319" s="9"/>
    </row>
    <row r="320" spans="1:9" ht="14.25" customHeight="1" x14ac:dyDescent="0.35">
      <c r="A320" s="10"/>
      <c r="B320" s="10"/>
      <c r="C320" s="10"/>
      <c r="D320" s="10"/>
      <c r="E320" s="10"/>
      <c r="F320" s="10"/>
      <c r="G320" s="10"/>
      <c r="H320" s="10"/>
      <c r="I320" s="9"/>
    </row>
    <row r="321" spans="1:9" ht="14.25" customHeight="1" x14ac:dyDescent="0.35">
      <c r="A321" s="10"/>
      <c r="B321" s="10"/>
      <c r="C321" s="10"/>
      <c r="D321" s="10"/>
      <c r="E321" s="10"/>
      <c r="F321" s="10"/>
      <c r="G321" s="10"/>
      <c r="H321" s="10"/>
      <c r="I321" s="9"/>
    </row>
    <row r="322" spans="1:9" ht="14.25" customHeight="1" x14ac:dyDescent="0.35">
      <c r="A322" s="10"/>
      <c r="B322" s="10"/>
      <c r="C322" s="10"/>
      <c r="D322" s="10"/>
      <c r="E322" s="10"/>
      <c r="F322" s="10"/>
      <c r="G322" s="10"/>
      <c r="H322" s="10"/>
      <c r="I322" s="9"/>
    </row>
    <row r="323" spans="1:9" ht="14.25" customHeight="1" x14ac:dyDescent="0.35">
      <c r="A323" s="10"/>
      <c r="B323" s="10"/>
      <c r="C323" s="10"/>
      <c r="D323" s="10"/>
      <c r="E323" s="10"/>
      <c r="F323" s="10"/>
      <c r="G323" s="10"/>
      <c r="H323" s="10"/>
      <c r="I323" s="9"/>
    </row>
    <row r="324" spans="1:9" ht="14.25" customHeight="1" x14ac:dyDescent="0.35">
      <c r="A324" s="10"/>
      <c r="B324" s="10"/>
      <c r="C324" s="10"/>
      <c r="D324" s="10"/>
      <c r="E324" s="10"/>
      <c r="F324" s="10"/>
      <c r="G324" s="10"/>
      <c r="H324" s="10"/>
      <c r="I324" s="9"/>
    </row>
    <row r="325" spans="1:9" ht="14.25" customHeight="1" x14ac:dyDescent="0.35">
      <c r="A325" s="10"/>
      <c r="B325" s="10"/>
      <c r="C325" s="10"/>
      <c r="D325" s="10"/>
      <c r="E325" s="10"/>
      <c r="F325" s="10"/>
      <c r="G325" s="10"/>
      <c r="H325" s="10"/>
      <c r="I325" s="9"/>
    </row>
    <row r="326" spans="1:9" ht="14.25" customHeight="1" x14ac:dyDescent="0.35">
      <c r="A326" s="10"/>
      <c r="B326" s="10"/>
      <c r="C326" s="10"/>
      <c r="D326" s="10"/>
      <c r="E326" s="10"/>
      <c r="F326" s="10"/>
      <c r="G326" s="10"/>
      <c r="H326" s="10"/>
      <c r="I326" s="9"/>
    </row>
    <row r="327" spans="1:9" ht="14.25" customHeight="1" x14ac:dyDescent="0.35">
      <c r="A327" s="10"/>
      <c r="B327" s="10"/>
      <c r="C327" s="10"/>
      <c r="D327" s="10"/>
      <c r="E327" s="10"/>
      <c r="F327" s="10"/>
      <c r="G327" s="10"/>
      <c r="H327" s="10"/>
      <c r="I327" s="9"/>
    </row>
    <row r="328" spans="1:9" ht="14.25" customHeight="1" x14ac:dyDescent="0.35">
      <c r="A328" s="10"/>
      <c r="B328" s="10"/>
      <c r="C328" s="10"/>
      <c r="D328" s="10"/>
      <c r="E328" s="10"/>
      <c r="F328" s="10"/>
      <c r="G328" s="10"/>
      <c r="H328" s="10"/>
      <c r="I328" s="9"/>
    </row>
    <row r="329" spans="1:9" ht="14.25" customHeight="1" x14ac:dyDescent="0.35">
      <c r="A329" s="10"/>
      <c r="B329" s="10"/>
      <c r="C329" s="10"/>
      <c r="D329" s="10"/>
      <c r="E329" s="10"/>
      <c r="F329" s="10"/>
      <c r="G329" s="10"/>
      <c r="H329" s="10"/>
      <c r="I329" s="9"/>
    </row>
    <row r="330" spans="1:9" ht="14.25" customHeight="1" x14ac:dyDescent="0.35">
      <c r="A330" s="10"/>
      <c r="B330" s="10"/>
      <c r="C330" s="10"/>
      <c r="D330" s="10"/>
      <c r="E330" s="10"/>
      <c r="F330" s="10"/>
      <c r="G330" s="10"/>
      <c r="H330" s="10"/>
      <c r="I330" s="9"/>
    </row>
    <row r="331" spans="1:9" ht="14.25" customHeight="1" x14ac:dyDescent="0.35">
      <c r="A331" s="10"/>
      <c r="B331" s="10"/>
      <c r="C331" s="10"/>
      <c r="D331" s="10"/>
      <c r="E331" s="10"/>
      <c r="F331" s="10"/>
      <c r="G331" s="10"/>
      <c r="H331" s="10"/>
      <c r="I331" s="9"/>
    </row>
    <row r="332" spans="1:9" ht="14.25" customHeight="1" x14ac:dyDescent="0.35">
      <c r="A332" s="10"/>
      <c r="B332" s="10"/>
      <c r="C332" s="10"/>
      <c r="D332" s="10"/>
      <c r="E332" s="10"/>
      <c r="F332" s="10"/>
      <c r="G332" s="10"/>
      <c r="H332" s="10"/>
      <c r="I332" s="9"/>
    </row>
    <row r="333" spans="1:9" ht="14.25" customHeight="1" x14ac:dyDescent="0.35">
      <c r="A333" s="10"/>
      <c r="B333" s="10"/>
      <c r="C333" s="10"/>
      <c r="D333" s="10"/>
      <c r="E333" s="10"/>
      <c r="F333" s="10"/>
      <c r="G333" s="10"/>
      <c r="H333" s="10"/>
      <c r="I333" s="9"/>
    </row>
    <row r="334" spans="1:9" ht="14.25" customHeight="1" x14ac:dyDescent="0.35">
      <c r="A334" s="10"/>
      <c r="B334" s="10"/>
      <c r="C334" s="10"/>
      <c r="D334" s="10"/>
      <c r="E334" s="10"/>
      <c r="F334" s="10"/>
      <c r="G334" s="10"/>
      <c r="H334" s="10"/>
      <c r="I334" s="9"/>
    </row>
    <row r="335" spans="1:9" ht="14.25" customHeight="1" x14ac:dyDescent="0.35">
      <c r="A335" s="10"/>
      <c r="B335" s="10"/>
      <c r="C335" s="10"/>
      <c r="D335" s="10"/>
      <c r="E335" s="10"/>
      <c r="F335" s="10"/>
      <c r="G335" s="10"/>
      <c r="H335" s="10"/>
      <c r="I335" s="9"/>
    </row>
    <row r="336" spans="1:9" ht="14.25" customHeight="1" x14ac:dyDescent="0.35">
      <c r="A336" s="10"/>
      <c r="B336" s="10"/>
      <c r="C336" s="10"/>
      <c r="D336" s="10"/>
      <c r="E336" s="10"/>
      <c r="F336" s="10"/>
      <c r="G336" s="10"/>
      <c r="H336" s="10"/>
      <c r="I336" s="9"/>
    </row>
    <row r="337" spans="1:9" ht="14.25" customHeight="1" x14ac:dyDescent="0.35">
      <c r="A337" s="10"/>
      <c r="B337" s="10"/>
      <c r="C337" s="10"/>
      <c r="D337" s="10"/>
      <c r="E337" s="10"/>
      <c r="F337" s="10"/>
      <c r="G337" s="10"/>
      <c r="H337" s="10"/>
      <c r="I337" s="9"/>
    </row>
    <row r="338" spans="1:9" ht="14.25" customHeight="1" x14ac:dyDescent="0.35">
      <c r="A338" s="10"/>
      <c r="B338" s="10"/>
      <c r="C338" s="10"/>
      <c r="D338" s="10"/>
      <c r="E338" s="10"/>
      <c r="F338" s="10"/>
      <c r="G338" s="10"/>
      <c r="H338" s="10"/>
      <c r="I338" s="9"/>
    </row>
    <row r="339" spans="1:9" ht="14.25" customHeight="1" x14ac:dyDescent="0.35">
      <c r="A339" s="10"/>
      <c r="B339" s="10"/>
      <c r="C339" s="10"/>
      <c r="D339" s="10"/>
      <c r="E339" s="10"/>
      <c r="F339" s="10"/>
      <c r="G339" s="10"/>
      <c r="H339" s="10"/>
      <c r="I339" s="9"/>
    </row>
    <row r="340" spans="1:9" ht="14.25" customHeight="1" x14ac:dyDescent="0.35">
      <c r="A340" s="10"/>
      <c r="B340" s="10"/>
      <c r="C340" s="10"/>
      <c r="D340" s="10"/>
      <c r="E340" s="10"/>
      <c r="F340" s="10"/>
      <c r="G340" s="10"/>
      <c r="H340" s="10"/>
      <c r="I340" s="9"/>
    </row>
    <row r="341" spans="1:9" ht="14.25" customHeight="1" x14ac:dyDescent="0.35">
      <c r="A341" s="10"/>
      <c r="B341" s="10"/>
      <c r="C341" s="10"/>
      <c r="D341" s="10"/>
      <c r="E341" s="10"/>
      <c r="F341" s="10"/>
      <c r="G341" s="10"/>
      <c r="H341" s="10"/>
      <c r="I341" s="9"/>
    </row>
    <row r="342" spans="1:9" ht="14.25" customHeight="1" x14ac:dyDescent="0.35">
      <c r="A342" s="10"/>
      <c r="B342" s="10"/>
      <c r="C342" s="10"/>
      <c r="D342" s="10"/>
      <c r="E342" s="10"/>
      <c r="F342" s="10"/>
      <c r="G342" s="10"/>
      <c r="H342" s="10"/>
      <c r="I342" s="9"/>
    </row>
    <row r="343" spans="1:9" ht="14.25" customHeight="1" x14ac:dyDescent="0.35">
      <c r="A343" s="10"/>
      <c r="B343" s="10"/>
      <c r="C343" s="10"/>
      <c r="D343" s="10"/>
      <c r="E343" s="10"/>
      <c r="F343" s="10"/>
      <c r="G343" s="10"/>
      <c r="H343" s="10"/>
      <c r="I343" s="9"/>
    </row>
    <row r="344" spans="1:9" ht="14.25" customHeight="1" x14ac:dyDescent="0.35">
      <c r="A344" s="10"/>
      <c r="B344" s="10"/>
      <c r="C344" s="10"/>
      <c r="D344" s="10"/>
      <c r="E344" s="10"/>
      <c r="F344" s="10"/>
      <c r="G344" s="10"/>
      <c r="H344" s="10"/>
      <c r="I344" s="9"/>
    </row>
    <row r="345" spans="1:9" ht="14.25" customHeight="1" x14ac:dyDescent="0.35">
      <c r="A345" s="10"/>
      <c r="B345" s="10"/>
      <c r="C345" s="10"/>
      <c r="D345" s="10"/>
      <c r="E345" s="10"/>
      <c r="F345" s="10"/>
      <c r="G345" s="10"/>
      <c r="H345" s="10"/>
      <c r="I345" s="9"/>
    </row>
    <row r="346" spans="1:9" ht="14.25" customHeight="1" x14ac:dyDescent="0.35">
      <c r="A346" s="10"/>
      <c r="B346" s="10"/>
      <c r="C346" s="10"/>
      <c r="D346" s="10"/>
      <c r="E346" s="10"/>
      <c r="F346" s="10"/>
      <c r="G346" s="10"/>
      <c r="H346" s="10"/>
      <c r="I346" s="9"/>
    </row>
    <row r="347" spans="1:9" ht="14.25" customHeight="1" x14ac:dyDescent="0.35">
      <c r="A347" s="10"/>
      <c r="B347" s="10"/>
      <c r="C347" s="10"/>
      <c r="D347" s="10"/>
      <c r="E347" s="10"/>
      <c r="F347" s="10"/>
      <c r="G347" s="10"/>
      <c r="H347" s="10"/>
      <c r="I347" s="9"/>
    </row>
    <row r="348" spans="1:9" ht="14.25" customHeight="1" x14ac:dyDescent="0.35">
      <c r="A348" s="10"/>
      <c r="B348" s="10"/>
      <c r="C348" s="10"/>
      <c r="D348" s="10"/>
      <c r="E348" s="10"/>
      <c r="F348" s="10"/>
      <c r="G348" s="10"/>
      <c r="H348" s="10"/>
      <c r="I348" s="9"/>
    </row>
    <row r="349" spans="1:9" ht="14.25" customHeight="1" x14ac:dyDescent="0.35">
      <c r="A349" s="10"/>
      <c r="B349" s="10"/>
      <c r="C349" s="10"/>
      <c r="D349" s="10"/>
      <c r="E349" s="10"/>
      <c r="F349" s="10"/>
      <c r="G349" s="10"/>
      <c r="H349" s="10"/>
      <c r="I349" s="9"/>
    </row>
    <row r="350" spans="1:9" ht="14.25" customHeight="1" x14ac:dyDescent="0.35">
      <c r="A350" s="10"/>
      <c r="B350" s="10"/>
      <c r="C350" s="10"/>
      <c r="D350" s="10"/>
      <c r="E350" s="10"/>
      <c r="F350" s="10"/>
      <c r="G350" s="10"/>
      <c r="H350" s="10"/>
      <c r="I350" s="9"/>
    </row>
    <row r="351" spans="1:9" ht="14.25" customHeight="1" x14ac:dyDescent="0.35">
      <c r="A351" s="10"/>
      <c r="B351" s="10"/>
      <c r="C351" s="10"/>
      <c r="D351" s="10"/>
      <c r="E351" s="10"/>
      <c r="F351" s="10"/>
      <c r="G351" s="10"/>
      <c r="H351" s="10"/>
      <c r="I351" s="9"/>
    </row>
    <row r="352" spans="1:9" ht="14.25" customHeight="1" x14ac:dyDescent="0.35">
      <c r="A352" s="10"/>
      <c r="B352" s="10"/>
      <c r="C352" s="10"/>
      <c r="D352" s="10"/>
      <c r="E352" s="10"/>
      <c r="F352" s="10"/>
      <c r="G352" s="10"/>
      <c r="H352" s="10"/>
      <c r="I352" s="9"/>
    </row>
    <row r="353" spans="1:9" ht="14.25" customHeight="1" x14ac:dyDescent="0.35">
      <c r="A353" s="10"/>
      <c r="B353" s="10"/>
      <c r="C353" s="10"/>
      <c r="D353" s="10"/>
      <c r="E353" s="10"/>
      <c r="F353" s="10"/>
      <c r="G353" s="10"/>
      <c r="H353" s="10"/>
      <c r="I353" s="9"/>
    </row>
    <row r="354" spans="1:9" ht="14.25" customHeight="1" x14ac:dyDescent="0.35">
      <c r="A354" s="10"/>
      <c r="B354" s="10"/>
      <c r="C354" s="10"/>
      <c r="D354" s="10"/>
      <c r="E354" s="10"/>
      <c r="F354" s="10"/>
      <c r="G354" s="10"/>
      <c r="H354" s="10"/>
      <c r="I354" s="9"/>
    </row>
    <row r="355" spans="1:9" ht="14.25" customHeight="1" x14ac:dyDescent="0.35">
      <c r="A355" s="10"/>
      <c r="B355" s="10"/>
      <c r="C355" s="10"/>
      <c r="D355" s="10"/>
      <c r="E355" s="10"/>
      <c r="F355" s="10"/>
      <c r="G355" s="10"/>
      <c r="H355" s="10"/>
      <c r="I355" s="9"/>
    </row>
    <row r="356" spans="1:9" ht="14.25" customHeight="1" x14ac:dyDescent="0.35">
      <c r="A356" s="10"/>
      <c r="B356" s="10"/>
      <c r="C356" s="10"/>
      <c r="D356" s="10"/>
      <c r="E356" s="10"/>
      <c r="F356" s="10"/>
      <c r="G356" s="10"/>
      <c r="H356" s="10"/>
      <c r="I356" s="9"/>
    </row>
    <row r="357" spans="1:9" ht="14.25" customHeight="1" x14ac:dyDescent="0.35">
      <c r="A357" s="10"/>
      <c r="B357" s="10"/>
      <c r="C357" s="10"/>
      <c r="D357" s="10"/>
      <c r="E357" s="10"/>
      <c r="F357" s="10"/>
      <c r="G357" s="10"/>
      <c r="H357" s="10"/>
      <c r="I357" s="9"/>
    </row>
    <row r="358" spans="1:9" ht="14.25" customHeight="1" x14ac:dyDescent="0.35">
      <c r="A358" s="10"/>
      <c r="B358" s="10"/>
      <c r="C358" s="10"/>
      <c r="D358" s="10"/>
      <c r="E358" s="10"/>
      <c r="F358" s="10"/>
      <c r="G358" s="10"/>
      <c r="H358" s="10"/>
      <c r="I358" s="9"/>
    </row>
    <row r="359" spans="1:9" ht="14.25" customHeight="1" x14ac:dyDescent="0.35">
      <c r="A359" s="10"/>
      <c r="B359" s="10"/>
      <c r="C359" s="10"/>
      <c r="D359" s="10"/>
      <c r="E359" s="10"/>
      <c r="F359" s="10"/>
      <c r="G359" s="10"/>
      <c r="H359" s="10"/>
      <c r="I359" s="9"/>
    </row>
    <row r="360" spans="1:9" ht="14.25" customHeight="1" x14ac:dyDescent="0.35">
      <c r="A360" s="10"/>
      <c r="B360" s="10"/>
      <c r="C360" s="10"/>
      <c r="D360" s="10"/>
      <c r="E360" s="10"/>
      <c r="F360" s="10"/>
      <c r="G360" s="10"/>
      <c r="H360" s="10"/>
      <c r="I360" s="9"/>
    </row>
    <row r="361" spans="1:9" ht="14.25" customHeight="1" x14ac:dyDescent="0.35">
      <c r="A361" s="10"/>
      <c r="B361" s="10"/>
      <c r="C361" s="10"/>
      <c r="D361" s="10"/>
      <c r="E361" s="10"/>
      <c r="F361" s="10"/>
      <c r="G361" s="10"/>
      <c r="H361" s="10"/>
      <c r="I361" s="9"/>
    </row>
    <row r="362" spans="1:9" ht="14.25" customHeight="1" x14ac:dyDescent="0.35">
      <c r="A362" s="10"/>
      <c r="B362" s="10"/>
      <c r="C362" s="10"/>
      <c r="D362" s="10"/>
      <c r="E362" s="10"/>
      <c r="F362" s="10"/>
      <c r="G362" s="10"/>
      <c r="H362" s="10"/>
      <c r="I362" s="9"/>
    </row>
    <row r="363" spans="1:9" ht="14.25" customHeight="1" x14ac:dyDescent="0.35">
      <c r="A363" s="10"/>
      <c r="B363" s="10"/>
      <c r="C363" s="10"/>
      <c r="D363" s="10"/>
      <c r="E363" s="10"/>
      <c r="F363" s="10"/>
      <c r="G363" s="10"/>
      <c r="H363" s="10"/>
      <c r="I363" s="9"/>
    </row>
    <row r="364" spans="1:9" ht="14.25" customHeight="1" x14ac:dyDescent="0.35">
      <c r="A364" s="10"/>
      <c r="B364" s="10"/>
      <c r="C364" s="10"/>
      <c r="D364" s="10"/>
      <c r="E364" s="10"/>
      <c r="F364" s="10"/>
      <c r="G364" s="10"/>
      <c r="H364" s="10"/>
      <c r="I364" s="9"/>
    </row>
    <row r="365" spans="1:9" ht="14.25" customHeight="1" x14ac:dyDescent="0.35">
      <c r="A365" s="10"/>
      <c r="B365" s="10"/>
      <c r="C365" s="10"/>
      <c r="D365" s="10"/>
      <c r="E365" s="10"/>
      <c r="F365" s="10"/>
      <c r="G365" s="10"/>
      <c r="H365" s="10"/>
      <c r="I365" s="9"/>
    </row>
    <row r="366" spans="1:9" ht="14.25" customHeight="1" x14ac:dyDescent="0.35">
      <c r="A366" s="10"/>
      <c r="B366" s="10"/>
      <c r="C366" s="10"/>
      <c r="D366" s="10"/>
      <c r="E366" s="10"/>
      <c r="F366" s="10"/>
      <c r="G366" s="10"/>
      <c r="H366" s="10"/>
      <c r="I366" s="9"/>
    </row>
    <row r="367" spans="1:9" ht="14.25" customHeight="1" x14ac:dyDescent="0.35">
      <c r="A367" s="10"/>
      <c r="B367" s="10"/>
      <c r="C367" s="10"/>
      <c r="D367" s="10"/>
      <c r="E367" s="10"/>
      <c r="F367" s="10"/>
      <c r="G367" s="10"/>
      <c r="H367" s="10"/>
      <c r="I367" s="9"/>
    </row>
    <row r="368" spans="1:9" ht="14.25" customHeight="1" x14ac:dyDescent="0.35">
      <c r="A368" s="10"/>
      <c r="B368" s="10"/>
      <c r="C368" s="10"/>
      <c r="D368" s="10"/>
      <c r="E368" s="10"/>
      <c r="F368" s="10"/>
      <c r="G368" s="10"/>
      <c r="H368" s="10"/>
      <c r="I368" s="9"/>
    </row>
    <row r="369" spans="1:9" ht="14.25" customHeight="1" x14ac:dyDescent="0.35">
      <c r="A369" s="10"/>
      <c r="B369" s="10"/>
      <c r="C369" s="10"/>
      <c r="D369" s="10"/>
      <c r="E369" s="10"/>
      <c r="F369" s="10"/>
      <c r="G369" s="10"/>
      <c r="H369" s="10"/>
      <c r="I369" s="9"/>
    </row>
    <row r="370" spans="1:9" ht="14.25" customHeight="1" x14ac:dyDescent="0.35">
      <c r="A370" s="10"/>
      <c r="B370" s="10"/>
      <c r="C370" s="10"/>
      <c r="D370" s="10"/>
      <c r="E370" s="10"/>
      <c r="F370" s="10"/>
      <c r="G370" s="10"/>
      <c r="H370" s="10"/>
      <c r="I370" s="9"/>
    </row>
    <row r="371" spans="1:9" ht="14.25" customHeight="1" x14ac:dyDescent="0.35">
      <c r="A371" s="10"/>
      <c r="B371" s="10"/>
      <c r="C371" s="10"/>
      <c r="D371" s="10"/>
      <c r="E371" s="10"/>
      <c r="F371" s="10"/>
      <c r="G371" s="10"/>
      <c r="H371" s="10"/>
      <c r="I371" s="9"/>
    </row>
    <row r="372" spans="1:9" ht="14.25" customHeight="1" x14ac:dyDescent="0.35">
      <c r="A372" s="10"/>
      <c r="B372" s="10"/>
      <c r="C372" s="10"/>
      <c r="D372" s="10"/>
      <c r="E372" s="10"/>
      <c r="F372" s="10"/>
      <c r="G372" s="10"/>
      <c r="H372" s="10"/>
      <c r="I372" s="9"/>
    </row>
    <row r="373" spans="1:9" ht="14.25" customHeight="1" x14ac:dyDescent="0.35">
      <c r="A373" s="10"/>
      <c r="B373" s="10"/>
      <c r="C373" s="10"/>
      <c r="D373" s="10"/>
      <c r="E373" s="10"/>
      <c r="F373" s="10"/>
      <c r="G373" s="10"/>
      <c r="H373" s="10"/>
      <c r="I373" s="9"/>
    </row>
    <row r="374" spans="1:9" ht="14.25" customHeight="1" x14ac:dyDescent="0.35">
      <c r="A374" s="10"/>
      <c r="B374" s="10"/>
      <c r="C374" s="10"/>
      <c r="D374" s="10"/>
      <c r="E374" s="10"/>
      <c r="F374" s="10"/>
      <c r="G374" s="10"/>
      <c r="H374" s="10"/>
      <c r="I374" s="9"/>
    </row>
    <row r="375" spans="1:9" ht="14.25" customHeight="1" x14ac:dyDescent="0.35">
      <c r="A375" s="10"/>
      <c r="B375" s="10"/>
      <c r="C375" s="10"/>
      <c r="D375" s="10"/>
      <c r="E375" s="10"/>
      <c r="F375" s="10"/>
      <c r="G375" s="10"/>
      <c r="H375" s="10"/>
      <c r="I375" s="9"/>
    </row>
    <row r="376" spans="1:9" ht="14.25" customHeight="1" x14ac:dyDescent="0.35">
      <c r="A376" s="10"/>
      <c r="B376" s="10"/>
      <c r="C376" s="10"/>
      <c r="D376" s="10"/>
      <c r="E376" s="10"/>
      <c r="F376" s="10"/>
      <c r="G376" s="10"/>
      <c r="H376" s="10"/>
      <c r="I376" s="9"/>
    </row>
    <row r="377" spans="1:9" ht="14.25" customHeight="1" x14ac:dyDescent="0.35">
      <c r="A377" s="10"/>
      <c r="B377" s="10"/>
      <c r="C377" s="10"/>
      <c r="D377" s="10"/>
      <c r="E377" s="10"/>
      <c r="F377" s="10"/>
      <c r="G377" s="10"/>
      <c r="H377" s="10"/>
      <c r="I377" s="9"/>
    </row>
    <row r="378" spans="1:9" ht="14.25" customHeight="1" x14ac:dyDescent="0.35">
      <c r="A378" s="10"/>
      <c r="B378" s="10"/>
      <c r="C378" s="10"/>
      <c r="D378" s="10"/>
      <c r="E378" s="10"/>
      <c r="F378" s="10"/>
      <c r="G378" s="10"/>
      <c r="H378" s="10"/>
      <c r="I378" s="9"/>
    </row>
    <row r="379" spans="1:9" ht="14.25" customHeight="1" x14ac:dyDescent="0.35">
      <c r="A379" s="10"/>
      <c r="B379" s="10"/>
      <c r="C379" s="10"/>
      <c r="D379" s="10"/>
      <c r="E379" s="10"/>
      <c r="F379" s="10"/>
      <c r="G379" s="10"/>
      <c r="H379" s="10"/>
      <c r="I379" s="9"/>
    </row>
    <row r="380" spans="1:9" ht="14.25" customHeight="1" x14ac:dyDescent="0.35">
      <c r="A380" s="10"/>
      <c r="B380" s="10"/>
      <c r="C380" s="10"/>
      <c r="D380" s="10"/>
      <c r="E380" s="10"/>
      <c r="F380" s="10"/>
      <c r="G380" s="10"/>
      <c r="H380" s="10"/>
      <c r="I380" s="9"/>
    </row>
    <row r="381" spans="1:9" ht="14.25" customHeight="1" x14ac:dyDescent="0.35">
      <c r="A381" s="10"/>
      <c r="B381" s="10"/>
      <c r="C381" s="10"/>
      <c r="D381" s="10"/>
      <c r="E381" s="10"/>
      <c r="F381" s="10"/>
      <c r="G381" s="10"/>
      <c r="H381" s="10"/>
      <c r="I381" s="9"/>
    </row>
    <row r="382" spans="1:9" ht="14.25" customHeight="1" x14ac:dyDescent="0.35">
      <c r="A382" s="10"/>
      <c r="B382" s="10"/>
      <c r="C382" s="10"/>
      <c r="D382" s="10"/>
      <c r="E382" s="10"/>
      <c r="F382" s="10"/>
      <c r="G382" s="10"/>
      <c r="H382" s="10"/>
      <c r="I382" s="9"/>
    </row>
    <row r="383" spans="1:9" ht="14.25" customHeight="1" x14ac:dyDescent="0.35">
      <c r="A383" s="10"/>
      <c r="B383" s="10"/>
      <c r="C383" s="10"/>
      <c r="D383" s="10"/>
      <c r="E383" s="10"/>
      <c r="F383" s="10"/>
      <c r="G383" s="10"/>
      <c r="H383" s="10"/>
      <c r="I383" s="9"/>
    </row>
    <row r="384" spans="1:9" ht="14.25" customHeight="1" x14ac:dyDescent="0.35">
      <c r="A384" s="10"/>
      <c r="B384" s="10"/>
      <c r="C384" s="10"/>
      <c r="D384" s="10"/>
      <c r="E384" s="10"/>
      <c r="F384" s="10"/>
      <c r="G384" s="10"/>
      <c r="H384" s="10"/>
      <c r="I384" s="9"/>
    </row>
    <row r="385" spans="1:9" ht="14.25" customHeight="1" x14ac:dyDescent="0.35">
      <c r="A385" s="10"/>
      <c r="B385" s="10"/>
      <c r="C385" s="10"/>
      <c r="D385" s="10"/>
      <c r="E385" s="10"/>
      <c r="F385" s="10"/>
      <c r="G385" s="10"/>
      <c r="H385" s="10"/>
      <c r="I385" s="9"/>
    </row>
    <row r="386" spans="1:9" ht="14.25" customHeight="1" x14ac:dyDescent="0.35">
      <c r="A386" s="10"/>
      <c r="B386" s="10"/>
      <c r="C386" s="10"/>
      <c r="D386" s="10"/>
      <c r="E386" s="10"/>
      <c r="F386" s="10"/>
      <c r="G386" s="10"/>
      <c r="H386" s="10"/>
      <c r="I386" s="9"/>
    </row>
    <row r="387" spans="1:9" ht="14.25" customHeight="1" x14ac:dyDescent="0.35">
      <c r="A387" s="10"/>
      <c r="B387" s="10"/>
      <c r="C387" s="10"/>
      <c r="D387" s="10"/>
      <c r="E387" s="10"/>
      <c r="F387" s="10"/>
      <c r="G387" s="10"/>
      <c r="H387" s="10"/>
      <c r="I387" s="9"/>
    </row>
    <row r="388" spans="1:9" ht="14.25" customHeight="1" x14ac:dyDescent="0.35">
      <c r="A388" s="10"/>
      <c r="B388" s="10"/>
      <c r="C388" s="10"/>
      <c r="D388" s="10"/>
      <c r="E388" s="10"/>
      <c r="F388" s="10"/>
      <c r="G388" s="10"/>
      <c r="H388" s="10"/>
      <c r="I388" s="9"/>
    </row>
    <row r="389" spans="1:9" ht="14.25" customHeight="1" x14ac:dyDescent="0.35">
      <c r="A389" s="10"/>
      <c r="B389" s="10"/>
      <c r="C389" s="10"/>
      <c r="D389" s="10"/>
      <c r="E389" s="10"/>
      <c r="F389" s="10"/>
      <c r="G389" s="10"/>
      <c r="H389" s="10"/>
      <c r="I389" s="9"/>
    </row>
    <row r="390" spans="1:9" ht="14.25" customHeight="1" x14ac:dyDescent="0.35">
      <c r="A390" s="10"/>
      <c r="B390" s="10"/>
      <c r="C390" s="10"/>
      <c r="D390" s="10"/>
      <c r="E390" s="10"/>
      <c r="F390" s="10"/>
      <c r="G390" s="10"/>
      <c r="H390" s="10"/>
      <c r="I390" s="9"/>
    </row>
    <row r="391" spans="1:9" ht="14.25" customHeight="1" x14ac:dyDescent="0.35">
      <c r="A391" s="10"/>
      <c r="B391" s="10"/>
      <c r="C391" s="10"/>
      <c r="D391" s="10"/>
      <c r="E391" s="10"/>
      <c r="F391" s="10"/>
      <c r="G391" s="10"/>
      <c r="H391" s="10"/>
      <c r="I391" s="9"/>
    </row>
    <row r="392" spans="1:9" ht="14.25" customHeight="1" x14ac:dyDescent="0.35">
      <c r="A392" s="10"/>
      <c r="B392" s="10"/>
      <c r="C392" s="10"/>
      <c r="D392" s="10"/>
      <c r="E392" s="10"/>
      <c r="F392" s="10"/>
      <c r="G392" s="10"/>
      <c r="H392" s="10"/>
      <c r="I392" s="9"/>
    </row>
    <row r="393" spans="1:9" ht="14.25" customHeight="1" x14ac:dyDescent="0.35">
      <c r="A393" s="10"/>
      <c r="B393" s="10"/>
      <c r="C393" s="10"/>
      <c r="D393" s="10"/>
      <c r="E393" s="10"/>
      <c r="F393" s="10"/>
      <c r="G393" s="10"/>
      <c r="H393" s="10"/>
      <c r="I393" s="9"/>
    </row>
    <row r="394" spans="1:9" ht="14.25" customHeight="1" x14ac:dyDescent="0.35">
      <c r="A394" s="10"/>
      <c r="B394" s="10"/>
      <c r="C394" s="10"/>
      <c r="D394" s="10"/>
      <c r="E394" s="10"/>
      <c r="F394" s="10"/>
      <c r="G394" s="10"/>
      <c r="H394" s="10"/>
      <c r="I394" s="9"/>
    </row>
    <row r="395" spans="1:9" ht="14.25" customHeight="1" x14ac:dyDescent="0.35">
      <c r="A395" s="10"/>
      <c r="B395" s="10"/>
      <c r="C395" s="10"/>
      <c r="D395" s="10"/>
      <c r="E395" s="10"/>
      <c r="F395" s="10"/>
      <c r="G395" s="10"/>
      <c r="H395" s="10"/>
      <c r="I395" s="9"/>
    </row>
    <row r="396" spans="1:9" ht="14.25" customHeight="1" x14ac:dyDescent="0.35">
      <c r="A396" s="10"/>
      <c r="B396" s="10"/>
      <c r="C396" s="10"/>
      <c r="D396" s="10"/>
      <c r="E396" s="10"/>
      <c r="F396" s="10"/>
      <c r="G396" s="10"/>
      <c r="H396" s="10"/>
      <c r="I396" s="9"/>
    </row>
    <row r="397" spans="1:9" ht="14.25" customHeight="1" x14ac:dyDescent="0.35">
      <c r="A397" s="10"/>
      <c r="B397" s="10"/>
      <c r="C397" s="10"/>
      <c r="D397" s="10"/>
      <c r="E397" s="10"/>
      <c r="F397" s="10"/>
      <c r="G397" s="10"/>
      <c r="H397" s="10"/>
      <c r="I397" s="9"/>
    </row>
    <row r="398" spans="1:9" ht="14.25" customHeight="1" x14ac:dyDescent="0.35">
      <c r="A398" s="10"/>
      <c r="B398" s="10"/>
      <c r="C398" s="10"/>
      <c r="D398" s="10"/>
      <c r="E398" s="10"/>
      <c r="F398" s="10"/>
      <c r="G398" s="10"/>
      <c r="H398" s="10"/>
      <c r="I398" s="9"/>
    </row>
    <row r="399" spans="1:9" ht="14.25" customHeight="1" x14ac:dyDescent="0.35">
      <c r="A399" s="10"/>
      <c r="B399" s="10"/>
      <c r="C399" s="10"/>
      <c r="D399" s="10"/>
      <c r="E399" s="10"/>
      <c r="F399" s="10"/>
      <c r="G399" s="10"/>
      <c r="H399" s="10"/>
      <c r="I399" s="9"/>
    </row>
    <row r="400" spans="1:9" ht="14.25" customHeight="1" x14ac:dyDescent="0.35">
      <c r="A400" s="10"/>
      <c r="B400" s="10"/>
      <c r="C400" s="10"/>
      <c r="D400" s="10"/>
      <c r="E400" s="10"/>
      <c r="F400" s="10"/>
      <c r="G400" s="10"/>
      <c r="H400" s="10"/>
      <c r="I400" s="9"/>
    </row>
    <row r="401" spans="1:9" ht="14.25" customHeight="1" x14ac:dyDescent="0.35">
      <c r="A401" s="10"/>
      <c r="B401" s="10"/>
      <c r="C401" s="10"/>
      <c r="D401" s="10"/>
      <c r="E401" s="10"/>
      <c r="F401" s="10"/>
      <c r="G401" s="10"/>
      <c r="H401" s="10"/>
      <c r="I401" s="9"/>
    </row>
    <row r="402" spans="1:9" ht="14.25" customHeight="1" x14ac:dyDescent="0.35">
      <c r="A402" s="10"/>
      <c r="B402" s="10"/>
      <c r="C402" s="10"/>
      <c r="D402" s="10"/>
      <c r="E402" s="10"/>
      <c r="F402" s="10"/>
      <c r="G402" s="10"/>
      <c r="H402" s="10"/>
      <c r="I402" s="9"/>
    </row>
    <row r="403" spans="1:9" ht="14.25" customHeight="1" x14ac:dyDescent="0.35">
      <c r="A403" s="10"/>
      <c r="B403" s="10"/>
      <c r="C403" s="10"/>
      <c r="D403" s="10"/>
      <c r="E403" s="10"/>
      <c r="F403" s="10"/>
      <c r="G403" s="10"/>
      <c r="H403" s="10"/>
      <c r="I403" s="9"/>
    </row>
    <row r="404" spans="1:9" ht="14.25" customHeight="1" x14ac:dyDescent="0.35">
      <c r="A404" s="10"/>
      <c r="B404" s="10"/>
      <c r="C404" s="10"/>
      <c r="D404" s="10"/>
      <c r="E404" s="10"/>
      <c r="F404" s="10"/>
      <c r="G404" s="10"/>
      <c r="H404" s="10"/>
      <c r="I404" s="9"/>
    </row>
    <row r="405" spans="1:9" ht="14.25" customHeight="1" x14ac:dyDescent="0.35">
      <c r="A405" s="10"/>
      <c r="B405" s="10"/>
      <c r="C405" s="10"/>
      <c r="D405" s="10"/>
      <c r="E405" s="10"/>
      <c r="F405" s="10"/>
      <c r="G405" s="10"/>
      <c r="H405" s="10"/>
      <c r="I405" s="9"/>
    </row>
    <row r="406" spans="1:9" ht="14.25" customHeight="1" x14ac:dyDescent="0.35">
      <c r="A406" s="10"/>
      <c r="B406" s="10"/>
      <c r="C406" s="10"/>
      <c r="D406" s="10"/>
      <c r="E406" s="10"/>
      <c r="F406" s="10"/>
      <c r="G406" s="10"/>
      <c r="H406" s="10"/>
      <c r="I406" s="9"/>
    </row>
    <row r="407" spans="1:9" ht="14.25" customHeight="1" x14ac:dyDescent="0.35">
      <c r="A407" s="10"/>
      <c r="B407" s="10"/>
      <c r="C407" s="10"/>
      <c r="D407" s="10"/>
      <c r="E407" s="10"/>
      <c r="F407" s="10"/>
      <c r="G407" s="10"/>
      <c r="H407" s="10"/>
      <c r="I407" s="9"/>
    </row>
    <row r="408" spans="1:9" ht="14.25" customHeight="1" x14ac:dyDescent="0.35">
      <c r="A408" s="10"/>
      <c r="B408" s="10"/>
      <c r="C408" s="10"/>
      <c r="D408" s="10"/>
      <c r="E408" s="10"/>
      <c r="F408" s="10"/>
      <c r="G408" s="10"/>
      <c r="H408" s="10"/>
      <c r="I408" s="9"/>
    </row>
    <row r="409" spans="1:9" ht="14.25" customHeight="1" x14ac:dyDescent="0.35">
      <c r="A409" s="10"/>
      <c r="B409" s="10"/>
      <c r="C409" s="10"/>
      <c r="D409" s="10"/>
      <c r="E409" s="10"/>
      <c r="F409" s="10"/>
      <c r="G409" s="10"/>
      <c r="H409" s="10"/>
      <c r="I409" s="9"/>
    </row>
    <row r="410" spans="1:9" ht="14.25" customHeight="1" x14ac:dyDescent="0.35">
      <c r="A410" s="10"/>
      <c r="B410" s="10"/>
      <c r="C410" s="10"/>
      <c r="D410" s="10"/>
      <c r="E410" s="10"/>
      <c r="F410" s="10"/>
      <c r="G410" s="10"/>
      <c r="H410" s="10"/>
      <c r="I410" s="9"/>
    </row>
    <row r="411" spans="1:9" ht="14.25" customHeight="1" x14ac:dyDescent="0.35">
      <c r="A411" s="10"/>
      <c r="B411" s="10"/>
      <c r="C411" s="10"/>
      <c r="D411" s="10"/>
      <c r="E411" s="10"/>
      <c r="F411" s="10"/>
      <c r="G411" s="10"/>
      <c r="H411" s="10"/>
      <c r="I411" s="9"/>
    </row>
    <row r="412" spans="1:9" ht="14.25" customHeight="1" x14ac:dyDescent="0.35">
      <c r="A412" s="10"/>
      <c r="B412" s="10"/>
      <c r="C412" s="10"/>
      <c r="D412" s="10"/>
      <c r="E412" s="10"/>
      <c r="F412" s="10"/>
      <c r="G412" s="10"/>
      <c r="H412" s="10"/>
      <c r="I412" s="9"/>
    </row>
    <row r="413" spans="1:9" ht="14.25" customHeight="1" x14ac:dyDescent="0.35">
      <c r="A413" s="10"/>
      <c r="B413" s="10"/>
      <c r="C413" s="10"/>
      <c r="D413" s="10"/>
      <c r="E413" s="10"/>
      <c r="F413" s="10"/>
      <c r="G413" s="10"/>
      <c r="H413" s="10"/>
      <c r="I413" s="9"/>
    </row>
    <row r="414" spans="1:9" ht="14.25" customHeight="1" x14ac:dyDescent="0.35">
      <c r="A414" s="10"/>
      <c r="B414" s="10"/>
      <c r="C414" s="10"/>
      <c r="D414" s="10"/>
      <c r="E414" s="10"/>
      <c r="F414" s="10"/>
      <c r="G414" s="10"/>
      <c r="H414" s="10"/>
      <c r="I414" s="9"/>
    </row>
    <row r="415" spans="1:9" ht="14.25" customHeight="1" x14ac:dyDescent="0.35">
      <c r="A415" s="10"/>
      <c r="B415" s="10"/>
      <c r="C415" s="10"/>
      <c r="D415" s="10"/>
      <c r="E415" s="10"/>
      <c r="F415" s="10"/>
      <c r="G415" s="10"/>
      <c r="H415" s="10"/>
      <c r="I415" s="9"/>
    </row>
    <row r="416" spans="1:9" ht="14.25" customHeight="1" x14ac:dyDescent="0.35">
      <c r="A416" s="10"/>
      <c r="B416" s="10"/>
      <c r="C416" s="10"/>
      <c r="D416" s="10"/>
      <c r="E416" s="10"/>
      <c r="F416" s="10"/>
      <c r="G416" s="10"/>
      <c r="H416" s="10"/>
      <c r="I416" s="9"/>
    </row>
    <row r="417" spans="1:9" ht="14.25" customHeight="1" x14ac:dyDescent="0.35">
      <c r="A417" s="10"/>
      <c r="B417" s="10"/>
      <c r="C417" s="10"/>
      <c r="D417" s="10"/>
      <c r="E417" s="10"/>
      <c r="F417" s="10"/>
      <c r="G417" s="10"/>
      <c r="H417" s="10"/>
      <c r="I417" s="9"/>
    </row>
    <row r="418" spans="1:9" ht="14.25" customHeight="1" x14ac:dyDescent="0.35">
      <c r="A418" s="10"/>
      <c r="B418" s="10"/>
      <c r="C418" s="10"/>
      <c r="D418" s="10"/>
      <c r="E418" s="10"/>
      <c r="F418" s="10"/>
      <c r="G418" s="10"/>
      <c r="H418" s="10"/>
      <c r="I418" s="9"/>
    </row>
    <row r="419" spans="1:9" ht="14.25" customHeight="1" x14ac:dyDescent="0.35">
      <c r="A419" s="10"/>
      <c r="B419" s="10"/>
      <c r="C419" s="10"/>
      <c r="D419" s="10"/>
      <c r="E419" s="10"/>
      <c r="F419" s="10"/>
      <c r="G419" s="10"/>
      <c r="H419" s="10"/>
      <c r="I419" s="9"/>
    </row>
    <row r="420" spans="1:9" ht="14.25" customHeight="1" x14ac:dyDescent="0.35">
      <c r="A420" s="10"/>
      <c r="B420" s="10"/>
      <c r="C420" s="10"/>
      <c r="D420" s="10"/>
      <c r="E420" s="10"/>
      <c r="F420" s="10"/>
      <c r="G420" s="10"/>
      <c r="H420" s="10"/>
      <c r="I420" s="9"/>
    </row>
    <row r="421" spans="1:9" ht="14.25" customHeight="1" x14ac:dyDescent="0.35">
      <c r="A421" s="10"/>
      <c r="B421" s="10"/>
      <c r="C421" s="10"/>
      <c r="D421" s="10"/>
      <c r="E421" s="10"/>
      <c r="F421" s="10"/>
      <c r="G421" s="10"/>
      <c r="H421" s="10"/>
      <c r="I421" s="9"/>
    </row>
    <row r="422" spans="1:9" ht="14.25" customHeight="1" x14ac:dyDescent="0.35">
      <c r="A422" s="10"/>
      <c r="B422" s="10"/>
      <c r="C422" s="10"/>
      <c r="D422" s="10"/>
      <c r="E422" s="10"/>
      <c r="F422" s="10"/>
      <c r="G422" s="10"/>
      <c r="H422" s="10"/>
      <c r="I422" s="9"/>
    </row>
    <row r="423" spans="1:9" ht="14.25" customHeight="1" x14ac:dyDescent="0.35">
      <c r="A423" s="10"/>
      <c r="B423" s="10"/>
      <c r="C423" s="10"/>
      <c r="D423" s="10"/>
      <c r="E423" s="10"/>
      <c r="F423" s="10"/>
      <c r="G423" s="10"/>
      <c r="H423" s="10"/>
      <c r="I423" s="9"/>
    </row>
    <row r="424" spans="1:9" ht="14.25" customHeight="1" x14ac:dyDescent="0.35">
      <c r="A424" s="10"/>
      <c r="B424" s="10"/>
      <c r="C424" s="10"/>
      <c r="D424" s="10"/>
      <c r="E424" s="10"/>
      <c r="F424" s="10"/>
      <c r="G424" s="10"/>
      <c r="H424" s="10"/>
      <c r="I424" s="9"/>
    </row>
    <row r="425" spans="1:9" ht="14.25" customHeight="1" x14ac:dyDescent="0.35">
      <c r="A425" s="10"/>
      <c r="B425" s="10"/>
      <c r="C425" s="10"/>
      <c r="D425" s="10"/>
      <c r="E425" s="10"/>
      <c r="F425" s="10"/>
      <c r="G425" s="10"/>
      <c r="H425" s="10"/>
      <c r="I425" s="9"/>
    </row>
    <row r="426" spans="1:9" ht="14.25" customHeight="1" x14ac:dyDescent="0.35">
      <c r="A426" s="10"/>
      <c r="B426" s="10"/>
      <c r="C426" s="10"/>
      <c r="D426" s="10"/>
      <c r="E426" s="10"/>
      <c r="F426" s="10"/>
      <c r="G426" s="10"/>
      <c r="H426" s="10"/>
      <c r="I426" s="9"/>
    </row>
    <row r="427" spans="1:9" ht="14.25" customHeight="1" x14ac:dyDescent="0.35">
      <c r="A427" s="10"/>
      <c r="B427" s="10"/>
      <c r="C427" s="10"/>
      <c r="D427" s="10"/>
      <c r="E427" s="10"/>
      <c r="F427" s="10"/>
      <c r="G427" s="10"/>
      <c r="H427" s="10"/>
      <c r="I427" s="9"/>
    </row>
    <row r="428" spans="1:9" ht="14.25" customHeight="1" x14ac:dyDescent="0.35">
      <c r="A428" s="10"/>
      <c r="B428" s="10"/>
      <c r="C428" s="10"/>
      <c r="D428" s="10"/>
      <c r="E428" s="10"/>
      <c r="F428" s="10"/>
      <c r="G428" s="10"/>
      <c r="H428" s="10"/>
      <c r="I428" s="9"/>
    </row>
    <row r="429" spans="1:9" ht="14.25" customHeight="1" x14ac:dyDescent="0.35">
      <c r="A429" s="10"/>
      <c r="B429" s="10"/>
      <c r="C429" s="10"/>
      <c r="D429" s="10"/>
      <c r="E429" s="10"/>
      <c r="F429" s="10"/>
      <c r="G429" s="10"/>
      <c r="H429" s="10"/>
      <c r="I429" s="9"/>
    </row>
    <row r="430" spans="1:9" ht="14.25" customHeight="1" x14ac:dyDescent="0.35">
      <c r="A430" s="10"/>
      <c r="B430" s="10"/>
      <c r="C430" s="10"/>
      <c r="D430" s="10"/>
      <c r="E430" s="10"/>
      <c r="F430" s="10"/>
      <c r="G430" s="10"/>
      <c r="H430" s="10"/>
      <c r="I430" s="9"/>
    </row>
    <row r="431" spans="1:9" ht="14.25" customHeight="1" x14ac:dyDescent="0.35">
      <c r="A431" s="10"/>
      <c r="B431" s="10"/>
      <c r="C431" s="10"/>
      <c r="D431" s="10"/>
      <c r="E431" s="10"/>
      <c r="F431" s="10"/>
      <c r="G431" s="10"/>
      <c r="H431" s="10"/>
      <c r="I431" s="9"/>
    </row>
    <row r="432" spans="1:9" ht="14.25" customHeight="1" x14ac:dyDescent="0.35">
      <c r="A432" s="10"/>
      <c r="B432" s="10"/>
      <c r="C432" s="10"/>
      <c r="D432" s="10"/>
      <c r="E432" s="10"/>
      <c r="F432" s="10"/>
      <c r="G432" s="10"/>
      <c r="H432" s="10"/>
      <c r="I432" s="9"/>
    </row>
    <row r="433" spans="1:9" ht="14.25" customHeight="1" x14ac:dyDescent="0.35">
      <c r="A433" s="10"/>
      <c r="B433" s="10"/>
      <c r="C433" s="10"/>
      <c r="D433" s="10"/>
      <c r="E433" s="10"/>
      <c r="F433" s="10"/>
      <c r="G433" s="10"/>
      <c r="H433" s="10"/>
      <c r="I433" s="9"/>
    </row>
    <row r="434" spans="1:9" ht="14.25" customHeight="1" x14ac:dyDescent="0.35">
      <c r="A434" s="10"/>
      <c r="B434" s="10"/>
      <c r="C434" s="10"/>
      <c r="D434" s="10"/>
      <c r="E434" s="10"/>
      <c r="F434" s="10"/>
      <c r="G434" s="10"/>
      <c r="H434" s="10"/>
      <c r="I434" s="9"/>
    </row>
    <row r="435" spans="1:9" ht="14.25" customHeight="1" x14ac:dyDescent="0.35">
      <c r="A435" s="10"/>
      <c r="B435" s="10"/>
      <c r="C435" s="10"/>
      <c r="D435" s="10"/>
      <c r="E435" s="10"/>
      <c r="F435" s="10"/>
      <c r="G435" s="10"/>
      <c r="H435" s="10"/>
      <c r="I435" s="9"/>
    </row>
    <row r="436" spans="1:9" ht="14.25" customHeight="1" x14ac:dyDescent="0.35">
      <c r="A436" s="10"/>
      <c r="B436" s="10"/>
      <c r="C436" s="10"/>
      <c r="D436" s="10"/>
      <c r="E436" s="10"/>
      <c r="F436" s="10"/>
      <c r="G436" s="10"/>
      <c r="H436" s="10"/>
      <c r="I436" s="9"/>
    </row>
    <row r="437" spans="1:9" ht="14.25" customHeight="1" x14ac:dyDescent="0.35">
      <c r="A437" s="10"/>
      <c r="B437" s="10"/>
      <c r="C437" s="10"/>
      <c r="D437" s="10"/>
      <c r="E437" s="10"/>
      <c r="F437" s="10"/>
      <c r="G437" s="10"/>
      <c r="H437" s="10"/>
      <c r="I437" s="9"/>
    </row>
    <row r="438" spans="1:9" ht="14.25" customHeight="1" x14ac:dyDescent="0.35">
      <c r="A438" s="10"/>
      <c r="B438" s="10"/>
      <c r="C438" s="10"/>
      <c r="D438" s="10"/>
      <c r="E438" s="10"/>
      <c r="F438" s="10"/>
      <c r="G438" s="10"/>
      <c r="H438" s="10"/>
      <c r="I438" s="9"/>
    </row>
    <row r="439" spans="1:9" ht="14.25" customHeight="1" x14ac:dyDescent="0.35">
      <c r="A439" s="10"/>
      <c r="B439" s="10"/>
      <c r="C439" s="10"/>
      <c r="D439" s="10"/>
      <c r="E439" s="10"/>
      <c r="F439" s="10"/>
      <c r="G439" s="10"/>
      <c r="H439" s="10"/>
      <c r="I439" s="9"/>
    </row>
    <row r="440" spans="1:9" ht="14.25" customHeight="1" x14ac:dyDescent="0.35">
      <c r="A440" s="10"/>
      <c r="B440" s="10"/>
      <c r="C440" s="10"/>
      <c r="D440" s="10"/>
      <c r="E440" s="10"/>
      <c r="F440" s="10"/>
      <c r="G440" s="10"/>
      <c r="H440" s="10"/>
      <c r="I440" s="9"/>
    </row>
    <row r="441" spans="1:9" ht="14.25" customHeight="1" x14ac:dyDescent="0.35">
      <c r="A441" s="10"/>
      <c r="B441" s="10"/>
      <c r="C441" s="10"/>
      <c r="D441" s="10"/>
      <c r="E441" s="10"/>
      <c r="F441" s="10"/>
      <c r="G441" s="10"/>
      <c r="H441" s="10"/>
      <c r="I441" s="9"/>
    </row>
    <row r="442" spans="1:9" ht="14.25" customHeight="1" x14ac:dyDescent="0.35">
      <c r="A442" s="10"/>
      <c r="B442" s="10"/>
      <c r="C442" s="10"/>
      <c r="D442" s="10"/>
      <c r="E442" s="10"/>
      <c r="F442" s="10"/>
      <c r="G442" s="10"/>
      <c r="H442" s="10"/>
      <c r="I442" s="9"/>
    </row>
    <row r="443" spans="1:9" ht="14.25" customHeight="1" x14ac:dyDescent="0.35">
      <c r="A443" s="10"/>
      <c r="B443" s="10"/>
      <c r="C443" s="10"/>
      <c r="D443" s="10"/>
      <c r="E443" s="10"/>
      <c r="F443" s="10"/>
      <c r="G443" s="10"/>
      <c r="H443" s="10"/>
      <c r="I443" s="9"/>
    </row>
    <row r="444" spans="1:9" ht="14.25" customHeight="1" x14ac:dyDescent="0.35">
      <c r="A444" s="10"/>
      <c r="B444" s="10"/>
      <c r="C444" s="10"/>
      <c r="D444" s="10"/>
      <c r="E444" s="10"/>
      <c r="F444" s="10"/>
      <c r="G444" s="10"/>
      <c r="H444" s="10"/>
      <c r="I444" s="9"/>
    </row>
    <row r="445" spans="1:9" ht="14.25" customHeight="1" x14ac:dyDescent="0.35">
      <c r="A445" s="10"/>
      <c r="B445" s="10"/>
      <c r="C445" s="10"/>
      <c r="D445" s="10"/>
      <c r="E445" s="10"/>
      <c r="F445" s="10"/>
      <c r="G445" s="10"/>
      <c r="H445" s="10"/>
      <c r="I445" s="9"/>
    </row>
    <row r="446" spans="1:9" ht="14.25" customHeight="1" x14ac:dyDescent="0.35">
      <c r="A446" s="10"/>
      <c r="B446" s="10"/>
      <c r="C446" s="10"/>
      <c r="D446" s="10"/>
      <c r="E446" s="10"/>
      <c r="F446" s="10"/>
      <c r="G446" s="10"/>
      <c r="H446" s="10"/>
      <c r="I446" s="9"/>
    </row>
    <row r="447" spans="1:9" ht="14.25" customHeight="1" x14ac:dyDescent="0.35">
      <c r="A447" s="10"/>
      <c r="B447" s="10"/>
      <c r="C447" s="10"/>
      <c r="D447" s="10"/>
      <c r="E447" s="10"/>
      <c r="F447" s="10"/>
      <c r="G447" s="10"/>
      <c r="H447" s="10"/>
      <c r="I447" s="9"/>
    </row>
    <row r="448" spans="1:9" ht="14.25" customHeight="1" x14ac:dyDescent="0.35">
      <c r="A448" s="10"/>
      <c r="B448" s="10"/>
      <c r="C448" s="10"/>
      <c r="D448" s="10"/>
      <c r="E448" s="10"/>
      <c r="F448" s="10"/>
      <c r="G448" s="10"/>
      <c r="H448" s="10"/>
      <c r="I448" s="9"/>
    </row>
    <row r="449" spans="1:9" ht="14.25" customHeight="1" x14ac:dyDescent="0.35">
      <c r="A449" s="10"/>
      <c r="B449" s="10"/>
      <c r="C449" s="10"/>
      <c r="D449" s="10"/>
      <c r="E449" s="10"/>
      <c r="F449" s="10"/>
      <c r="G449" s="10"/>
      <c r="H449" s="10"/>
      <c r="I449" s="9"/>
    </row>
    <row r="450" spans="1:9" ht="14.25" customHeight="1" x14ac:dyDescent="0.35">
      <c r="A450" s="10"/>
      <c r="B450" s="10"/>
      <c r="C450" s="10"/>
      <c r="D450" s="10"/>
      <c r="E450" s="10"/>
      <c r="F450" s="10"/>
      <c r="G450" s="10"/>
      <c r="H450" s="10"/>
      <c r="I450" s="9"/>
    </row>
    <row r="451" spans="1:9" ht="14.25" customHeight="1" x14ac:dyDescent="0.35">
      <c r="A451" s="10"/>
      <c r="B451" s="10"/>
      <c r="C451" s="10"/>
      <c r="D451" s="10"/>
      <c r="E451" s="10"/>
      <c r="F451" s="10"/>
      <c r="G451" s="10"/>
      <c r="H451" s="10"/>
      <c r="I451" s="9"/>
    </row>
    <row r="452" spans="1:9" ht="14.25" customHeight="1" x14ac:dyDescent="0.35">
      <c r="A452" s="10"/>
      <c r="B452" s="10"/>
      <c r="C452" s="10"/>
      <c r="D452" s="10"/>
      <c r="E452" s="10"/>
      <c r="F452" s="10"/>
      <c r="G452" s="10"/>
      <c r="H452" s="10"/>
      <c r="I452" s="9"/>
    </row>
    <row r="453" spans="1:9" ht="14.25" customHeight="1" x14ac:dyDescent="0.35">
      <c r="A453" s="10"/>
      <c r="B453" s="10"/>
      <c r="C453" s="10"/>
      <c r="D453" s="10"/>
      <c r="E453" s="10"/>
      <c r="F453" s="10"/>
      <c r="G453" s="10"/>
      <c r="H453" s="10"/>
      <c r="I453" s="9"/>
    </row>
    <row r="454" spans="1:9" ht="14.25" customHeight="1" x14ac:dyDescent="0.35">
      <c r="A454" s="10"/>
      <c r="B454" s="10"/>
      <c r="C454" s="10"/>
      <c r="D454" s="10"/>
      <c r="E454" s="10"/>
      <c r="F454" s="10"/>
      <c r="G454" s="10"/>
      <c r="H454" s="10"/>
      <c r="I454" s="9"/>
    </row>
    <row r="455" spans="1:9" ht="14.25" customHeight="1" x14ac:dyDescent="0.35">
      <c r="A455" s="10"/>
      <c r="B455" s="10"/>
      <c r="C455" s="10"/>
      <c r="D455" s="10"/>
      <c r="E455" s="10"/>
      <c r="F455" s="10"/>
      <c r="G455" s="10"/>
      <c r="H455" s="10"/>
      <c r="I455" s="9"/>
    </row>
    <row r="456" spans="1:9" ht="14.25" customHeight="1" x14ac:dyDescent="0.35">
      <c r="A456" s="10"/>
      <c r="B456" s="10"/>
      <c r="C456" s="10"/>
      <c r="D456" s="10"/>
      <c r="E456" s="10"/>
      <c r="F456" s="10"/>
      <c r="G456" s="10"/>
      <c r="H456" s="10"/>
      <c r="I456" s="9"/>
    </row>
    <row r="457" spans="1:9" ht="14.25" customHeight="1" x14ac:dyDescent="0.35">
      <c r="A457" s="10"/>
      <c r="B457" s="10"/>
      <c r="C457" s="10"/>
      <c r="D457" s="10"/>
      <c r="E457" s="10"/>
      <c r="F457" s="10"/>
      <c r="G457" s="10"/>
      <c r="H457" s="10"/>
      <c r="I457" s="9"/>
    </row>
    <row r="458" spans="1:9" ht="14.25" customHeight="1" x14ac:dyDescent="0.35">
      <c r="A458" s="10"/>
      <c r="B458" s="10"/>
      <c r="C458" s="10"/>
      <c r="D458" s="10"/>
      <c r="E458" s="10"/>
      <c r="F458" s="10"/>
      <c r="G458" s="10"/>
      <c r="H458" s="10"/>
      <c r="I458" s="9"/>
    </row>
    <row r="459" spans="1:9" ht="14.25" customHeight="1" x14ac:dyDescent="0.35">
      <c r="A459" s="10"/>
      <c r="B459" s="10"/>
      <c r="C459" s="10"/>
      <c r="D459" s="10"/>
      <c r="E459" s="10"/>
      <c r="F459" s="10"/>
      <c r="G459" s="10"/>
      <c r="H459" s="10"/>
      <c r="I459" s="9"/>
    </row>
    <row r="460" spans="1:9" ht="14.25" customHeight="1" x14ac:dyDescent="0.35">
      <c r="A460" s="10"/>
      <c r="B460" s="10"/>
      <c r="C460" s="10"/>
      <c r="D460" s="10"/>
      <c r="E460" s="10"/>
      <c r="F460" s="10"/>
      <c r="G460" s="10"/>
      <c r="H460" s="10"/>
      <c r="I460" s="9"/>
    </row>
    <row r="461" spans="1:9" ht="14.25" customHeight="1" x14ac:dyDescent="0.35">
      <c r="A461" s="10"/>
      <c r="B461" s="10"/>
      <c r="C461" s="10"/>
      <c r="D461" s="10"/>
      <c r="E461" s="10"/>
      <c r="F461" s="10"/>
      <c r="G461" s="10"/>
      <c r="H461" s="10"/>
      <c r="I461" s="9"/>
    </row>
    <row r="462" spans="1:9" ht="14.25" customHeight="1" x14ac:dyDescent="0.35">
      <c r="A462" s="10"/>
      <c r="B462" s="10"/>
      <c r="C462" s="10"/>
      <c r="D462" s="10"/>
      <c r="E462" s="10"/>
      <c r="F462" s="10"/>
      <c r="G462" s="10"/>
      <c r="H462" s="10"/>
      <c r="I462" s="9"/>
    </row>
    <row r="463" spans="1:9" ht="14.25" customHeight="1" x14ac:dyDescent="0.35">
      <c r="A463" s="10"/>
      <c r="B463" s="10"/>
      <c r="C463" s="10"/>
      <c r="D463" s="10"/>
      <c r="E463" s="10"/>
      <c r="F463" s="10"/>
      <c r="G463" s="10"/>
      <c r="H463" s="10"/>
      <c r="I463" s="9"/>
    </row>
    <row r="464" spans="1:9" ht="14.25" customHeight="1" x14ac:dyDescent="0.35">
      <c r="A464" s="10"/>
      <c r="B464" s="10"/>
      <c r="C464" s="10"/>
      <c r="D464" s="10"/>
      <c r="E464" s="10"/>
      <c r="F464" s="10"/>
      <c r="G464" s="10"/>
      <c r="H464" s="10"/>
      <c r="I464" s="9"/>
    </row>
    <row r="465" spans="1:9" ht="14.25" customHeight="1" x14ac:dyDescent="0.35">
      <c r="A465" s="10"/>
      <c r="B465" s="10"/>
      <c r="C465" s="10"/>
      <c r="D465" s="10"/>
      <c r="E465" s="10"/>
      <c r="F465" s="10"/>
      <c r="G465" s="10"/>
      <c r="H465" s="10"/>
      <c r="I465" s="9"/>
    </row>
    <row r="466" spans="1:9" ht="14.25" customHeight="1" x14ac:dyDescent="0.35">
      <c r="A466" s="10"/>
      <c r="B466" s="10"/>
      <c r="C466" s="10"/>
      <c r="D466" s="10"/>
      <c r="E466" s="10"/>
      <c r="F466" s="10"/>
      <c r="G466" s="10"/>
      <c r="H466" s="10"/>
      <c r="I466" s="9"/>
    </row>
    <row r="467" spans="1:9" ht="14.25" customHeight="1" x14ac:dyDescent="0.35">
      <c r="A467" s="10"/>
      <c r="B467" s="10"/>
      <c r="C467" s="10"/>
      <c r="D467" s="10"/>
      <c r="E467" s="10"/>
      <c r="F467" s="10"/>
      <c r="G467" s="10"/>
      <c r="H467" s="10"/>
      <c r="I467" s="9"/>
    </row>
    <row r="468" spans="1:9" ht="14.25" customHeight="1" x14ac:dyDescent="0.35">
      <c r="A468" s="10"/>
      <c r="B468" s="10"/>
      <c r="C468" s="10"/>
      <c r="D468" s="10"/>
      <c r="E468" s="10"/>
      <c r="F468" s="10"/>
      <c r="G468" s="10"/>
      <c r="H468" s="10"/>
      <c r="I468" s="9"/>
    </row>
    <row r="469" spans="1:9" ht="14.25" customHeight="1" x14ac:dyDescent="0.35">
      <c r="A469" s="10"/>
      <c r="B469" s="10"/>
      <c r="C469" s="10"/>
      <c r="D469" s="10"/>
      <c r="E469" s="10"/>
      <c r="F469" s="10"/>
      <c r="G469" s="10"/>
      <c r="H469" s="10"/>
      <c r="I469" s="9"/>
    </row>
    <row r="470" spans="1:9" ht="14.25" customHeight="1" x14ac:dyDescent="0.35">
      <c r="A470" s="10"/>
      <c r="B470" s="10"/>
      <c r="C470" s="10"/>
      <c r="D470" s="10"/>
      <c r="E470" s="10"/>
      <c r="F470" s="10"/>
      <c r="G470" s="10"/>
      <c r="H470" s="10"/>
      <c r="I470" s="9"/>
    </row>
    <row r="471" spans="1:9" ht="14.25" customHeight="1" x14ac:dyDescent="0.35">
      <c r="A471" s="10"/>
      <c r="B471" s="10"/>
      <c r="C471" s="10"/>
      <c r="D471" s="10"/>
      <c r="E471" s="10"/>
      <c r="F471" s="10"/>
      <c r="G471" s="10"/>
      <c r="H471" s="10"/>
      <c r="I471" s="9"/>
    </row>
    <row r="472" spans="1:9" ht="14.25" customHeight="1" x14ac:dyDescent="0.35">
      <c r="A472" s="10"/>
      <c r="B472" s="10"/>
      <c r="C472" s="10"/>
      <c r="D472" s="10"/>
      <c r="E472" s="10"/>
      <c r="F472" s="10"/>
      <c r="G472" s="10"/>
      <c r="H472" s="10"/>
      <c r="I472" s="9"/>
    </row>
    <row r="473" spans="1:9" ht="14.25" customHeight="1" x14ac:dyDescent="0.35">
      <c r="A473" s="10"/>
      <c r="B473" s="10"/>
      <c r="C473" s="10"/>
      <c r="D473" s="10"/>
      <c r="E473" s="10"/>
      <c r="F473" s="10"/>
      <c r="G473" s="10"/>
      <c r="H473" s="10"/>
      <c r="I473" s="9"/>
    </row>
    <row r="474" spans="1:9" ht="14.25" customHeight="1" x14ac:dyDescent="0.35">
      <c r="A474" s="10"/>
      <c r="B474" s="10"/>
      <c r="C474" s="10"/>
      <c r="D474" s="10"/>
      <c r="E474" s="10"/>
      <c r="F474" s="10"/>
      <c r="G474" s="10"/>
      <c r="H474" s="10"/>
      <c r="I474" s="9"/>
    </row>
    <row r="475" spans="1:9" ht="14.25" customHeight="1" x14ac:dyDescent="0.35">
      <c r="A475" s="10"/>
      <c r="B475" s="10"/>
      <c r="C475" s="10"/>
      <c r="D475" s="10"/>
      <c r="E475" s="10"/>
      <c r="F475" s="10"/>
      <c r="G475" s="10"/>
      <c r="H475" s="10"/>
      <c r="I475" s="9"/>
    </row>
    <row r="476" spans="1:9" ht="14.25" customHeight="1" x14ac:dyDescent="0.35">
      <c r="A476" s="10"/>
      <c r="B476" s="10"/>
      <c r="C476" s="10"/>
      <c r="D476" s="10"/>
      <c r="E476" s="10"/>
      <c r="F476" s="10"/>
      <c r="G476" s="10"/>
      <c r="H476" s="10"/>
      <c r="I476" s="9"/>
    </row>
    <row r="477" spans="1:9" ht="14.25" customHeight="1" x14ac:dyDescent="0.35">
      <c r="A477" s="10"/>
      <c r="B477" s="10"/>
      <c r="C477" s="10"/>
      <c r="D477" s="10"/>
      <c r="E477" s="10"/>
      <c r="F477" s="10"/>
      <c r="G477" s="10"/>
      <c r="H477" s="10"/>
      <c r="I477" s="9"/>
    </row>
    <row r="478" spans="1:9" ht="14.25" customHeight="1" x14ac:dyDescent="0.35">
      <c r="A478" s="10"/>
      <c r="B478" s="10"/>
      <c r="C478" s="10"/>
      <c r="D478" s="10"/>
      <c r="E478" s="10"/>
      <c r="F478" s="10"/>
      <c r="G478" s="10"/>
      <c r="H478" s="10"/>
      <c r="I478" s="9"/>
    </row>
    <row r="479" spans="1:9" ht="14.25" customHeight="1" x14ac:dyDescent="0.35">
      <c r="A479" s="10"/>
      <c r="B479" s="10"/>
      <c r="C479" s="10"/>
      <c r="D479" s="10"/>
      <c r="E479" s="10"/>
      <c r="F479" s="10"/>
      <c r="G479" s="10"/>
      <c r="H479" s="10"/>
      <c r="I479" s="9"/>
    </row>
    <row r="480" spans="1:9" ht="14.25" customHeight="1" x14ac:dyDescent="0.35">
      <c r="A480" s="10"/>
      <c r="B480" s="10"/>
      <c r="C480" s="10"/>
      <c r="D480" s="10"/>
      <c r="E480" s="10"/>
      <c r="F480" s="10"/>
      <c r="G480" s="10"/>
      <c r="H480" s="10"/>
      <c r="I480" s="9"/>
    </row>
    <row r="481" spans="1:9" ht="14.25" customHeight="1" x14ac:dyDescent="0.35">
      <c r="A481" s="10"/>
      <c r="B481" s="10"/>
      <c r="C481" s="10"/>
      <c r="D481" s="10"/>
      <c r="E481" s="10"/>
      <c r="F481" s="10"/>
      <c r="G481" s="10"/>
      <c r="H481" s="10"/>
      <c r="I481" s="9"/>
    </row>
    <row r="482" spans="1:9" ht="14.25" customHeight="1" x14ac:dyDescent="0.35">
      <c r="A482" s="10"/>
      <c r="B482" s="10"/>
      <c r="C482" s="10"/>
      <c r="D482" s="10"/>
      <c r="E482" s="10"/>
      <c r="F482" s="10"/>
      <c r="G482" s="10"/>
      <c r="H482" s="10"/>
      <c r="I482" s="9"/>
    </row>
    <row r="483" spans="1:9" ht="14.25" customHeight="1" x14ac:dyDescent="0.35">
      <c r="A483" s="10"/>
      <c r="B483" s="10"/>
      <c r="C483" s="10"/>
      <c r="D483" s="10"/>
      <c r="E483" s="10"/>
      <c r="F483" s="10"/>
      <c r="G483" s="10"/>
      <c r="H483" s="10"/>
      <c r="I483" s="9"/>
    </row>
    <row r="484" spans="1:9" ht="14.25" customHeight="1" x14ac:dyDescent="0.35">
      <c r="A484" s="10"/>
      <c r="B484" s="10"/>
      <c r="C484" s="10"/>
      <c r="D484" s="10"/>
      <c r="E484" s="10"/>
      <c r="F484" s="10"/>
      <c r="G484" s="10"/>
      <c r="H484" s="10"/>
      <c r="I484" s="9"/>
    </row>
    <row r="485" spans="1:9" ht="14.25" customHeight="1" x14ac:dyDescent="0.35">
      <c r="A485" s="10"/>
      <c r="B485" s="10"/>
      <c r="C485" s="10"/>
      <c r="D485" s="10"/>
      <c r="E485" s="10"/>
      <c r="F485" s="10"/>
      <c r="G485" s="10"/>
      <c r="H485" s="10"/>
      <c r="I485" s="9"/>
    </row>
    <row r="486" spans="1:9" ht="14.25" customHeight="1" x14ac:dyDescent="0.35">
      <c r="A486" s="10"/>
      <c r="B486" s="10"/>
      <c r="C486" s="10"/>
      <c r="D486" s="10"/>
      <c r="E486" s="10"/>
      <c r="F486" s="10"/>
      <c r="G486" s="10"/>
      <c r="H486" s="10"/>
      <c r="I486" s="9"/>
    </row>
    <row r="487" spans="1:9" ht="14.25" customHeight="1" x14ac:dyDescent="0.35">
      <c r="A487" s="10"/>
      <c r="B487" s="10"/>
      <c r="C487" s="10"/>
      <c r="D487" s="10"/>
      <c r="E487" s="10"/>
      <c r="F487" s="10"/>
      <c r="G487" s="10"/>
      <c r="H487" s="10"/>
      <c r="I487" s="9"/>
    </row>
    <row r="488" spans="1:9" ht="14.25" customHeight="1" x14ac:dyDescent="0.35">
      <c r="A488" s="10"/>
      <c r="B488" s="10"/>
      <c r="C488" s="10"/>
      <c r="D488" s="10"/>
      <c r="E488" s="10"/>
      <c r="F488" s="10"/>
      <c r="G488" s="10"/>
      <c r="H488" s="10"/>
      <c r="I488" s="9"/>
    </row>
    <row r="489" spans="1:9" ht="14.25" customHeight="1" x14ac:dyDescent="0.35">
      <c r="A489" s="10"/>
      <c r="B489" s="10"/>
      <c r="C489" s="10"/>
      <c r="D489" s="10"/>
      <c r="E489" s="10"/>
      <c r="F489" s="10"/>
      <c r="G489" s="10"/>
      <c r="H489" s="10"/>
      <c r="I489" s="9"/>
    </row>
    <row r="490" spans="1:9" ht="14.25" customHeight="1" x14ac:dyDescent="0.35">
      <c r="A490" s="10"/>
      <c r="B490" s="10"/>
      <c r="C490" s="10"/>
      <c r="D490" s="10"/>
      <c r="E490" s="10"/>
      <c r="F490" s="10"/>
      <c r="G490" s="10"/>
      <c r="H490" s="10"/>
      <c r="I490" s="9"/>
    </row>
    <row r="491" spans="1:9" ht="14.25" customHeight="1" x14ac:dyDescent="0.35">
      <c r="A491" s="10"/>
      <c r="B491" s="10"/>
      <c r="C491" s="10"/>
      <c r="D491" s="10"/>
      <c r="E491" s="10"/>
      <c r="F491" s="10"/>
      <c r="G491" s="10"/>
      <c r="H491" s="10"/>
      <c r="I491" s="9"/>
    </row>
    <row r="492" spans="1:9" ht="14.25" customHeight="1" x14ac:dyDescent="0.35">
      <c r="A492" s="10"/>
      <c r="B492" s="10"/>
      <c r="C492" s="10"/>
      <c r="D492" s="10"/>
      <c r="E492" s="10"/>
      <c r="F492" s="10"/>
      <c r="G492" s="10"/>
      <c r="H492" s="10"/>
      <c r="I492" s="9"/>
    </row>
    <row r="493" spans="1:9" ht="14.25" customHeight="1" x14ac:dyDescent="0.35">
      <c r="A493" s="10"/>
      <c r="B493" s="10"/>
      <c r="C493" s="10"/>
      <c r="D493" s="10"/>
      <c r="E493" s="10"/>
      <c r="F493" s="10"/>
      <c r="G493" s="10"/>
      <c r="H493" s="10"/>
      <c r="I493" s="9"/>
    </row>
    <row r="494" spans="1:9" ht="14.25" customHeight="1" x14ac:dyDescent="0.35">
      <c r="A494" s="10"/>
      <c r="B494" s="10"/>
      <c r="C494" s="10"/>
      <c r="D494" s="10"/>
      <c r="E494" s="10"/>
      <c r="F494" s="10"/>
      <c r="G494" s="10"/>
      <c r="H494" s="10"/>
      <c r="I494" s="9"/>
    </row>
    <row r="495" spans="1:9" ht="14.25" customHeight="1" x14ac:dyDescent="0.35">
      <c r="A495" s="10"/>
      <c r="B495" s="10"/>
      <c r="C495" s="10"/>
      <c r="D495" s="10"/>
      <c r="E495" s="10"/>
      <c r="F495" s="10"/>
      <c r="G495" s="10"/>
      <c r="H495" s="10"/>
      <c r="I495" s="9"/>
    </row>
    <row r="496" spans="1:9" ht="14.25" customHeight="1" x14ac:dyDescent="0.35">
      <c r="A496" s="10"/>
      <c r="B496" s="10"/>
      <c r="C496" s="10"/>
      <c r="D496" s="10"/>
      <c r="E496" s="10"/>
      <c r="F496" s="10"/>
      <c r="G496" s="10"/>
      <c r="H496" s="10"/>
      <c r="I496" s="9"/>
    </row>
    <row r="497" spans="1:9" ht="14.25" customHeight="1" x14ac:dyDescent="0.35">
      <c r="A497" s="10"/>
      <c r="B497" s="10"/>
      <c r="C497" s="10"/>
      <c r="D497" s="10"/>
      <c r="E497" s="10"/>
      <c r="F497" s="10"/>
      <c r="G497" s="10"/>
      <c r="H497" s="10"/>
      <c r="I497" s="9"/>
    </row>
    <row r="498" spans="1:9" ht="14.25" customHeight="1" x14ac:dyDescent="0.35">
      <c r="A498" s="10"/>
      <c r="B498" s="10"/>
      <c r="C498" s="10"/>
      <c r="D498" s="10"/>
      <c r="E498" s="10"/>
      <c r="F498" s="10"/>
      <c r="G498" s="10"/>
      <c r="H498" s="10"/>
      <c r="I498" s="9"/>
    </row>
    <row r="499" spans="1:9" ht="14.25" customHeight="1" x14ac:dyDescent="0.35">
      <c r="A499" s="10"/>
      <c r="B499" s="10"/>
      <c r="C499" s="10"/>
      <c r="D499" s="10"/>
      <c r="E499" s="10"/>
      <c r="F499" s="10"/>
      <c r="G499" s="10"/>
      <c r="H499" s="10"/>
      <c r="I499" s="9"/>
    </row>
    <row r="500" spans="1:9" ht="14.25" customHeight="1" x14ac:dyDescent="0.35">
      <c r="A500" s="10"/>
      <c r="B500" s="10"/>
      <c r="C500" s="10"/>
      <c r="D500" s="10"/>
      <c r="E500" s="10"/>
      <c r="F500" s="10"/>
      <c r="G500" s="10"/>
      <c r="H500" s="10"/>
      <c r="I500" s="9"/>
    </row>
    <row r="501" spans="1:9" ht="14.25" customHeight="1" x14ac:dyDescent="0.35">
      <c r="A501" s="10"/>
      <c r="B501" s="10"/>
      <c r="C501" s="10"/>
      <c r="D501" s="10"/>
      <c r="E501" s="10"/>
      <c r="F501" s="10"/>
      <c r="G501" s="10"/>
      <c r="H501" s="10"/>
      <c r="I501" s="9"/>
    </row>
    <row r="502" spans="1:9" ht="14.25" customHeight="1" x14ac:dyDescent="0.35">
      <c r="A502" s="10"/>
      <c r="B502" s="10"/>
      <c r="C502" s="10"/>
      <c r="D502" s="10"/>
      <c r="E502" s="10"/>
      <c r="F502" s="10"/>
      <c r="G502" s="10"/>
      <c r="H502" s="10"/>
      <c r="I502" s="9"/>
    </row>
    <row r="503" spans="1:9" ht="14.25" customHeight="1" x14ac:dyDescent="0.35">
      <c r="A503" s="10"/>
      <c r="B503" s="10"/>
      <c r="C503" s="10"/>
      <c r="D503" s="10"/>
      <c r="E503" s="10"/>
      <c r="F503" s="10"/>
      <c r="G503" s="10"/>
      <c r="H503" s="10"/>
      <c r="I503" s="9"/>
    </row>
    <row r="504" spans="1:9" ht="14.25" customHeight="1" x14ac:dyDescent="0.35">
      <c r="A504" s="10"/>
      <c r="B504" s="10"/>
      <c r="C504" s="10"/>
      <c r="D504" s="10"/>
      <c r="E504" s="10"/>
      <c r="F504" s="10"/>
      <c r="G504" s="10"/>
      <c r="H504" s="10"/>
      <c r="I504" s="9"/>
    </row>
    <row r="505" spans="1:9" ht="14.25" customHeight="1" x14ac:dyDescent="0.35">
      <c r="A505" s="10"/>
      <c r="B505" s="10"/>
      <c r="C505" s="10"/>
      <c r="D505" s="10"/>
      <c r="E505" s="10"/>
      <c r="F505" s="10"/>
      <c r="G505" s="10"/>
      <c r="H505" s="10"/>
      <c r="I505" s="9"/>
    </row>
    <row r="506" spans="1:9" ht="14.25" customHeight="1" x14ac:dyDescent="0.35">
      <c r="A506" s="10"/>
      <c r="B506" s="10"/>
      <c r="C506" s="10"/>
      <c r="D506" s="10"/>
      <c r="E506" s="10"/>
      <c r="F506" s="10"/>
      <c r="G506" s="10"/>
      <c r="H506" s="10"/>
      <c r="I506" s="9"/>
    </row>
    <row r="507" spans="1:9" ht="14.25" customHeight="1" x14ac:dyDescent="0.35">
      <c r="A507" s="10"/>
      <c r="B507" s="10"/>
      <c r="C507" s="10"/>
      <c r="D507" s="10"/>
      <c r="E507" s="10"/>
      <c r="F507" s="10"/>
      <c r="G507" s="10"/>
      <c r="H507" s="10"/>
      <c r="I507" s="9"/>
    </row>
    <row r="508" spans="1:9" ht="14.25" customHeight="1" x14ac:dyDescent="0.35">
      <c r="A508" s="10"/>
      <c r="B508" s="10"/>
      <c r="C508" s="10"/>
      <c r="D508" s="10"/>
      <c r="E508" s="10"/>
      <c r="F508" s="10"/>
      <c r="G508" s="10"/>
      <c r="H508" s="10"/>
      <c r="I508" s="9"/>
    </row>
    <row r="509" spans="1:9" ht="14.25" customHeight="1" x14ac:dyDescent="0.35">
      <c r="A509" s="10"/>
      <c r="B509" s="10"/>
      <c r="C509" s="10"/>
      <c r="D509" s="10"/>
      <c r="E509" s="10"/>
      <c r="F509" s="10"/>
      <c r="G509" s="10"/>
      <c r="H509" s="10"/>
      <c r="I509" s="9"/>
    </row>
    <row r="510" spans="1:9" ht="14.25" customHeight="1" x14ac:dyDescent="0.35">
      <c r="A510" s="10"/>
      <c r="B510" s="10"/>
      <c r="C510" s="10"/>
      <c r="D510" s="10"/>
      <c r="E510" s="10"/>
      <c r="F510" s="10"/>
      <c r="G510" s="10"/>
      <c r="H510" s="10"/>
      <c r="I510" s="9"/>
    </row>
    <row r="511" spans="1:9" ht="14.25" customHeight="1" x14ac:dyDescent="0.35">
      <c r="A511" s="10"/>
      <c r="B511" s="10"/>
      <c r="C511" s="10"/>
      <c r="D511" s="10"/>
      <c r="E511" s="10"/>
      <c r="F511" s="10"/>
      <c r="G511" s="10"/>
      <c r="H511" s="10"/>
      <c r="I511" s="9"/>
    </row>
    <row r="512" spans="1:9" ht="14.25" customHeight="1" x14ac:dyDescent="0.35">
      <c r="A512" s="10"/>
      <c r="B512" s="10"/>
      <c r="C512" s="10"/>
      <c r="D512" s="10"/>
      <c r="E512" s="10"/>
      <c r="F512" s="10"/>
      <c r="G512" s="10"/>
      <c r="H512" s="10"/>
      <c r="I512" s="9"/>
    </row>
    <row r="513" spans="1:9" ht="14.25" customHeight="1" x14ac:dyDescent="0.35">
      <c r="A513" s="10"/>
      <c r="B513" s="10"/>
      <c r="C513" s="10"/>
      <c r="D513" s="10"/>
      <c r="E513" s="10"/>
      <c r="F513" s="10"/>
      <c r="G513" s="10"/>
      <c r="H513" s="10"/>
      <c r="I513" s="9"/>
    </row>
    <row r="514" spans="1:9" ht="14.25" customHeight="1" x14ac:dyDescent="0.35">
      <c r="A514" s="10"/>
      <c r="B514" s="10"/>
      <c r="C514" s="10"/>
      <c r="D514" s="10"/>
      <c r="E514" s="10"/>
      <c r="F514" s="10"/>
      <c r="G514" s="10"/>
      <c r="H514" s="10"/>
      <c r="I514" s="9"/>
    </row>
    <row r="515" spans="1:9" ht="14.25" customHeight="1" x14ac:dyDescent="0.35">
      <c r="A515" s="10"/>
      <c r="B515" s="10"/>
      <c r="C515" s="10"/>
      <c r="D515" s="10"/>
      <c r="E515" s="10"/>
      <c r="F515" s="10"/>
      <c r="G515" s="10"/>
      <c r="H515" s="10"/>
      <c r="I515" s="9"/>
    </row>
    <row r="516" spans="1:9" ht="14.25" customHeight="1" x14ac:dyDescent="0.35">
      <c r="A516" s="10"/>
      <c r="B516" s="10"/>
      <c r="C516" s="10"/>
      <c r="D516" s="10"/>
      <c r="E516" s="10"/>
      <c r="F516" s="10"/>
      <c r="G516" s="10"/>
      <c r="H516" s="10"/>
      <c r="I516" s="9"/>
    </row>
    <row r="517" spans="1:9" ht="14.25" customHeight="1" x14ac:dyDescent="0.35">
      <c r="A517" s="10"/>
      <c r="B517" s="10"/>
      <c r="C517" s="10"/>
      <c r="D517" s="10"/>
      <c r="E517" s="10"/>
      <c r="F517" s="10"/>
      <c r="G517" s="10"/>
      <c r="H517" s="10"/>
      <c r="I517" s="9"/>
    </row>
    <row r="518" spans="1:9" ht="14.25" customHeight="1" x14ac:dyDescent="0.35">
      <c r="A518" s="10"/>
      <c r="B518" s="10"/>
      <c r="C518" s="10"/>
      <c r="D518" s="10"/>
      <c r="E518" s="10"/>
      <c r="F518" s="10"/>
      <c r="G518" s="10"/>
      <c r="H518" s="10"/>
      <c r="I518" s="9"/>
    </row>
    <row r="519" spans="1:9" ht="14.25" customHeight="1" x14ac:dyDescent="0.35">
      <c r="A519" s="10"/>
      <c r="B519" s="10"/>
      <c r="C519" s="10"/>
      <c r="D519" s="10"/>
      <c r="E519" s="10"/>
      <c r="F519" s="10"/>
      <c r="G519" s="10"/>
      <c r="H519" s="10"/>
      <c r="I519" s="9"/>
    </row>
    <row r="520" spans="1:9" ht="14.25" customHeight="1" x14ac:dyDescent="0.35">
      <c r="A520" s="10"/>
      <c r="B520" s="10"/>
      <c r="C520" s="10"/>
      <c r="D520" s="10"/>
      <c r="E520" s="10"/>
      <c r="F520" s="10"/>
      <c r="G520" s="10"/>
      <c r="H520" s="10"/>
      <c r="I520" s="9"/>
    </row>
    <row r="521" spans="1:9" ht="14.25" customHeight="1" x14ac:dyDescent="0.35">
      <c r="A521" s="10"/>
      <c r="B521" s="10"/>
      <c r="C521" s="10"/>
      <c r="D521" s="10"/>
      <c r="E521" s="10"/>
      <c r="F521" s="10"/>
      <c r="G521" s="10"/>
      <c r="H521" s="10"/>
      <c r="I521" s="9"/>
    </row>
    <row r="522" spans="1:9" ht="14.25" customHeight="1" x14ac:dyDescent="0.35">
      <c r="A522" s="10"/>
      <c r="B522" s="10"/>
      <c r="C522" s="10"/>
      <c r="D522" s="10"/>
      <c r="E522" s="10"/>
      <c r="F522" s="10"/>
      <c r="G522" s="10"/>
      <c r="H522" s="10"/>
      <c r="I522" s="9"/>
    </row>
    <row r="523" spans="1:9" ht="14.25" customHeight="1" x14ac:dyDescent="0.35">
      <c r="A523" s="10"/>
      <c r="B523" s="10"/>
      <c r="C523" s="10"/>
      <c r="D523" s="10"/>
      <c r="E523" s="10"/>
      <c r="F523" s="10"/>
      <c r="G523" s="10"/>
      <c r="H523" s="10"/>
      <c r="I523" s="9"/>
    </row>
    <row r="524" spans="1:9" ht="14.25" customHeight="1" x14ac:dyDescent="0.35">
      <c r="A524" s="10"/>
      <c r="B524" s="10"/>
      <c r="C524" s="10"/>
      <c r="D524" s="10"/>
      <c r="E524" s="10"/>
      <c r="F524" s="10"/>
      <c r="G524" s="10"/>
      <c r="H524" s="10"/>
      <c r="I524" s="9"/>
    </row>
    <row r="525" spans="1:9" ht="14.25" customHeight="1" x14ac:dyDescent="0.35">
      <c r="A525" s="10"/>
      <c r="B525" s="10"/>
      <c r="C525" s="10"/>
      <c r="D525" s="10"/>
      <c r="E525" s="10"/>
      <c r="F525" s="10"/>
      <c r="G525" s="10"/>
      <c r="H525" s="10"/>
      <c r="I525" s="9"/>
    </row>
    <row r="526" spans="1:9" ht="14.25" customHeight="1" x14ac:dyDescent="0.35">
      <c r="A526" s="10"/>
      <c r="B526" s="10"/>
      <c r="C526" s="10"/>
      <c r="D526" s="10"/>
      <c r="E526" s="10"/>
      <c r="F526" s="10"/>
      <c r="G526" s="10"/>
      <c r="H526" s="10"/>
      <c r="I526" s="9"/>
    </row>
    <row r="527" spans="1:9" ht="14.25" customHeight="1" x14ac:dyDescent="0.35">
      <c r="A527" s="10"/>
      <c r="B527" s="10"/>
      <c r="C527" s="10"/>
      <c r="D527" s="10"/>
      <c r="E527" s="10"/>
      <c r="F527" s="10"/>
      <c r="G527" s="10"/>
      <c r="H527" s="10"/>
      <c r="I527" s="9"/>
    </row>
    <row r="528" spans="1:9" ht="14.25" customHeight="1" x14ac:dyDescent="0.35">
      <c r="A528" s="10"/>
      <c r="B528" s="10"/>
      <c r="C528" s="10"/>
      <c r="D528" s="10"/>
      <c r="E528" s="10"/>
      <c r="F528" s="10"/>
      <c r="G528" s="10"/>
      <c r="H528" s="10"/>
      <c r="I528" s="9"/>
    </row>
    <row r="529" spans="1:9" ht="14.25" customHeight="1" x14ac:dyDescent="0.35">
      <c r="A529" s="10"/>
      <c r="B529" s="10"/>
      <c r="C529" s="10"/>
      <c r="D529" s="10"/>
      <c r="E529" s="10"/>
      <c r="F529" s="10"/>
      <c r="G529" s="10"/>
      <c r="H529" s="10"/>
      <c r="I529" s="9"/>
    </row>
    <row r="530" spans="1:9" ht="14.25" customHeight="1" x14ac:dyDescent="0.35">
      <c r="A530" s="10"/>
      <c r="B530" s="10"/>
      <c r="C530" s="10"/>
      <c r="D530" s="10"/>
      <c r="E530" s="10"/>
      <c r="F530" s="10"/>
      <c r="G530" s="10"/>
      <c r="H530" s="10"/>
      <c r="I530" s="9"/>
    </row>
    <row r="531" spans="1:9" ht="14.25" customHeight="1" x14ac:dyDescent="0.35">
      <c r="A531" s="10"/>
      <c r="B531" s="10"/>
      <c r="C531" s="10"/>
      <c r="D531" s="10"/>
      <c r="E531" s="10"/>
      <c r="F531" s="10"/>
      <c r="G531" s="10"/>
      <c r="H531" s="10"/>
      <c r="I531" s="9"/>
    </row>
    <row r="532" spans="1:9" ht="14.25" customHeight="1" x14ac:dyDescent="0.35">
      <c r="A532" s="10"/>
      <c r="B532" s="10"/>
      <c r="C532" s="10"/>
      <c r="D532" s="10"/>
      <c r="E532" s="10"/>
      <c r="F532" s="10"/>
      <c r="G532" s="10"/>
      <c r="H532" s="10"/>
      <c r="I532" s="9"/>
    </row>
    <row r="533" spans="1:9" ht="14.25" customHeight="1" x14ac:dyDescent="0.35">
      <c r="A533" s="10"/>
      <c r="B533" s="10"/>
      <c r="C533" s="10"/>
      <c r="D533" s="10"/>
      <c r="E533" s="10"/>
      <c r="F533" s="10"/>
      <c r="G533" s="10"/>
      <c r="H533" s="10"/>
      <c r="I533" s="9"/>
    </row>
    <row r="534" spans="1:9" ht="14.25" customHeight="1" x14ac:dyDescent="0.35">
      <c r="A534" s="10"/>
      <c r="B534" s="10"/>
      <c r="C534" s="10"/>
      <c r="D534" s="10"/>
      <c r="E534" s="10"/>
      <c r="F534" s="10"/>
      <c r="G534" s="10"/>
      <c r="H534" s="10"/>
      <c r="I534" s="9"/>
    </row>
    <row r="535" spans="1:9" ht="14.25" customHeight="1" x14ac:dyDescent="0.35">
      <c r="A535" s="10"/>
      <c r="B535" s="10"/>
      <c r="C535" s="10"/>
      <c r="D535" s="10"/>
      <c r="E535" s="10"/>
      <c r="F535" s="10"/>
      <c r="G535" s="10"/>
      <c r="H535" s="10"/>
      <c r="I535" s="9"/>
    </row>
    <row r="536" spans="1:9" ht="14.25" customHeight="1" x14ac:dyDescent="0.35">
      <c r="A536" s="10"/>
      <c r="B536" s="10"/>
      <c r="C536" s="10"/>
      <c r="D536" s="10"/>
      <c r="E536" s="10"/>
      <c r="F536" s="10"/>
      <c r="G536" s="10"/>
      <c r="H536" s="10"/>
      <c r="I536" s="9"/>
    </row>
    <row r="537" spans="1:9" ht="14.25" customHeight="1" x14ac:dyDescent="0.35">
      <c r="A537" s="10"/>
      <c r="B537" s="10"/>
      <c r="C537" s="10"/>
      <c r="D537" s="10"/>
      <c r="E537" s="10"/>
      <c r="F537" s="10"/>
      <c r="G537" s="10"/>
      <c r="H537" s="10"/>
      <c r="I537" s="9"/>
    </row>
    <row r="538" spans="1:9" ht="14.25" customHeight="1" x14ac:dyDescent="0.35">
      <c r="A538" s="10"/>
      <c r="B538" s="10"/>
      <c r="C538" s="10"/>
      <c r="D538" s="10"/>
      <c r="E538" s="10"/>
      <c r="F538" s="10"/>
      <c r="G538" s="10"/>
      <c r="H538" s="10"/>
      <c r="I538" s="9"/>
    </row>
    <row r="539" spans="1:9" ht="14.25" customHeight="1" x14ac:dyDescent="0.35">
      <c r="A539" s="10"/>
      <c r="B539" s="10"/>
      <c r="C539" s="10"/>
      <c r="D539" s="10"/>
      <c r="E539" s="10"/>
      <c r="F539" s="10"/>
      <c r="G539" s="10"/>
      <c r="H539" s="10"/>
      <c r="I539" s="9"/>
    </row>
    <row r="540" spans="1:9" ht="14.25" customHeight="1" x14ac:dyDescent="0.35">
      <c r="A540" s="10"/>
      <c r="B540" s="10"/>
      <c r="C540" s="10"/>
      <c r="D540" s="10"/>
      <c r="E540" s="10"/>
      <c r="F540" s="10"/>
      <c r="G540" s="10"/>
      <c r="H540" s="10"/>
      <c r="I540" s="9"/>
    </row>
    <row r="541" spans="1:9" ht="14.25" customHeight="1" x14ac:dyDescent="0.35">
      <c r="A541" s="10"/>
      <c r="B541" s="10"/>
      <c r="C541" s="10"/>
      <c r="D541" s="10"/>
      <c r="E541" s="10"/>
      <c r="F541" s="10"/>
      <c r="G541" s="10"/>
      <c r="H541" s="10"/>
      <c r="I541" s="9"/>
    </row>
    <row r="542" spans="1:9" ht="14.25" customHeight="1" x14ac:dyDescent="0.35">
      <c r="A542" s="10"/>
      <c r="B542" s="10"/>
      <c r="C542" s="10"/>
      <c r="D542" s="10"/>
      <c r="E542" s="10"/>
      <c r="F542" s="10"/>
      <c r="G542" s="10"/>
      <c r="H542" s="10"/>
      <c r="I542" s="9"/>
    </row>
    <row r="543" spans="1:9" ht="14.25" customHeight="1" x14ac:dyDescent="0.35">
      <c r="A543" s="10"/>
      <c r="B543" s="10"/>
      <c r="C543" s="10"/>
      <c r="D543" s="10"/>
      <c r="E543" s="10"/>
      <c r="F543" s="10"/>
      <c r="G543" s="10"/>
      <c r="H543" s="10"/>
      <c r="I543" s="9"/>
    </row>
    <row r="544" spans="1:9" ht="14.25" customHeight="1" x14ac:dyDescent="0.35">
      <c r="A544" s="10"/>
      <c r="B544" s="10"/>
      <c r="C544" s="10"/>
      <c r="D544" s="10"/>
      <c r="E544" s="10"/>
      <c r="F544" s="10"/>
      <c r="G544" s="10"/>
      <c r="H544" s="10"/>
      <c r="I544" s="9"/>
    </row>
    <row r="545" spans="1:9" ht="14.25" customHeight="1" x14ac:dyDescent="0.35">
      <c r="A545" s="10"/>
      <c r="B545" s="10"/>
      <c r="C545" s="10"/>
      <c r="D545" s="10"/>
      <c r="E545" s="10"/>
      <c r="F545" s="10"/>
      <c r="G545" s="10"/>
      <c r="H545" s="10"/>
      <c r="I545" s="9"/>
    </row>
    <row r="546" spans="1:9" ht="14.25" customHeight="1" x14ac:dyDescent="0.35">
      <c r="A546" s="10"/>
      <c r="B546" s="10"/>
      <c r="C546" s="10"/>
      <c r="D546" s="10"/>
      <c r="E546" s="10"/>
      <c r="F546" s="10"/>
      <c r="G546" s="10"/>
      <c r="H546" s="10"/>
      <c r="I546" s="9"/>
    </row>
    <row r="547" spans="1:9" ht="14.25" customHeight="1" x14ac:dyDescent="0.35">
      <c r="A547" s="10"/>
      <c r="B547" s="10"/>
      <c r="C547" s="10"/>
      <c r="D547" s="10"/>
      <c r="E547" s="10"/>
      <c r="F547" s="10"/>
      <c r="G547" s="10"/>
      <c r="H547" s="10"/>
      <c r="I547" s="9"/>
    </row>
    <row r="548" spans="1:9" ht="14.25" customHeight="1" x14ac:dyDescent="0.35">
      <c r="A548" s="10"/>
      <c r="B548" s="10"/>
      <c r="C548" s="10"/>
      <c r="D548" s="10"/>
      <c r="E548" s="10"/>
      <c r="F548" s="10"/>
      <c r="G548" s="10"/>
      <c r="H548" s="10"/>
      <c r="I548" s="9"/>
    </row>
    <row r="549" spans="1:9" ht="14.25" customHeight="1" x14ac:dyDescent="0.35">
      <c r="A549" s="10"/>
      <c r="B549" s="10"/>
      <c r="C549" s="10"/>
      <c r="D549" s="10"/>
      <c r="E549" s="10"/>
      <c r="F549" s="10"/>
      <c r="G549" s="10"/>
      <c r="H549" s="10"/>
      <c r="I549" s="9"/>
    </row>
    <row r="550" spans="1:9" ht="14.25" customHeight="1" x14ac:dyDescent="0.35">
      <c r="A550" s="10"/>
      <c r="B550" s="10"/>
      <c r="C550" s="10"/>
      <c r="D550" s="10"/>
      <c r="E550" s="10"/>
      <c r="F550" s="10"/>
      <c r="G550" s="10"/>
      <c r="H550" s="10"/>
      <c r="I550" s="9"/>
    </row>
    <row r="551" spans="1:9" ht="14.25" customHeight="1" x14ac:dyDescent="0.35">
      <c r="A551" s="10"/>
      <c r="B551" s="10"/>
      <c r="C551" s="10"/>
      <c r="D551" s="10"/>
      <c r="E551" s="10"/>
      <c r="F551" s="10"/>
      <c r="G551" s="10"/>
      <c r="H551" s="10"/>
      <c r="I551" s="9"/>
    </row>
    <row r="552" spans="1:9" ht="14.25" customHeight="1" x14ac:dyDescent="0.35">
      <c r="A552" s="10"/>
      <c r="B552" s="10"/>
      <c r="C552" s="10"/>
      <c r="D552" s="10"/>
      <c r="E552" s="10"/>
      <c r="F552" s="10"/>
      <c r="G552" s="10"/>
      <c r="H552" s="10"/>
      <c r="I552" s="9"/>
    </row>
    <row r="553" spans="1:9" ht="14.25" customHeight="1" x14ac:dyDescent="0.35">
      <c r="A553" s="10"/>
      <c r="B553" s="10"/>
      <c r="C553" s="10"/>
      <c r="D553" s="10"/>
      <c r="E553" s="10"/>
      <c r="F553" s="10"/>
      <c r="G553" s="10"/>
      <c r="H553" s="10"/>
      <c r="I553" s="9"/>
    </row>
    <row r="554" spans="1:9" ht="14.25" customHeight="1" x14ac:dyDescent="0.35">
      <c r="A554" s="10"/>
      <c r="B554" s="10"/>
      <c r="C554" s="10"/>
      <c r="D554" s="10"/>
      <c r="E554" s="10"/>
      <c r="F554" s="10"/>
      <c r="G554" s="10"/>
      <c r="H554" s="10"/>
      <c r="I554" s="9"/>
    </row>
    <row r="555" spans="1:9" ht="14.25" customHeight="1" x14ac:dyDescent="0.35">
      <c r="A555" s="10"/>
      <c r="B555" s="10"/>
      <c r="C555" s="10"/>
      <c r="D555" s="10"/>
      <c r="E555" s="10"/>
      <c r="F555" s="10"/>
      <c r="G555" s="10"/>
      <c r="H555" s="10"/>
      <c r="I555" s="9"/>
    </row>
    <row r="556" spans="1:9" ht="14.25" customHeight="1" x14ac:dyDescent="0.35">
      <c r="A556" s="10"/>
      <c r="B556" s="10"/>
      <c r="C556" s="10"/>
      <c r="D556" s="10"/>
      <c r="E556" s="10"/>
      <c r="F556" s="10"/>
      <c r="G556" s="10"/>
      <c r="H556" s="10"/>
      <c r="I556" s="9"/>
    </row>
    <row r="557" spans="1:9" ht="14.25" customHeight="1" x14ac:dyDescent="0.35">
      <c r="A557" s="10"/>
      <c r="B557" s="10"/>
      <c r="C557" s="10"/>
      <c r="D557" s="10"/>
      <c r="E557" s="10"/>
      <c r="F557" s="10"/>
      <c r="G557" s="10"/>
      <c r="H557" s="10"/>
      <c r="I557" s="9"/>
    </row>
    <row r="558" spans="1:9" ht="14.25" customHeight="1" x14ac:dyDescent="0.35">
      <c r="A558" s="10"/>
      <c r="B558" s="10"/>
      <c r="C558" s="10"/>
      <c r="D558" s="10"/>
      <c r="E558" s="10"/>
      <c r="F558" s="10"/>
      <c r="G558" s="10"/>
      <c r="H558" s="10"/>
      <c r="I558" s="9"/>
    </row>
    <row r="559" spans="1:9" ht="14.25" customHeight="1" x14ac:dyDescent="0.35">
      <c r="A559" s="10"/>
      <c r="B559" s="10"/>
      <c r="C559" s="10"/>
      <c r="D559" s="10"/>
      <c r="E559" s="10"/>
      <c r="F559" s="10"/>
      <c r="G559" s="10"/>
      <c r="H559" s="10"/>
      <c r="I559" s="9"/>
    </row>
    <row r="560" spans="1:9" ht="14.25" customHeight="1" x14ac:dyDescent="0.35">
      <c r="A560" s="10"/>
      <c r="B560" s="10"/>
      <c r="C560" s="10"/>
      <c r="D560" s="10"/>
      <c r="E560" s="10"/>
      <c r="F560" s="10"/>
      <c r="G560" s="10"/>
      <c r="H560" s="10"/>
      <c r="I560" s="9"/>
    </row>
    <row r="561" spans="1:9" ht="14.25" customHeight="1" x14ac:dyDescent="0.35">
      <c r="A561" s="10"/>
      <c r="B561" s="10"/>
      <c r="C561" s="10"/>
      <c r="D561" s="10"/>
      <c r="E561" s="10"/>
      <c r="F561" s="10"/>
      <c r="G561" s="10"/>
      <c r="H561" s="10"/>
      <c r="I561" s="9"/>
    </row>
    <row r="562" spans="1:9" ht="14.25" customHeight="1" x14ac:dyDescent="0.35">
      <c r="A562" s="10"/>
      <c r="B562" s="10"/>
      <c r="C562" s="10"/>
      <c r="D562" s="10"/>
      <c r="E562" s="10"/>
      <c r="F562" s="10"/>
      <c r="G562" s="10"/>
      <c r="H562" s="10"/>
      <c r="I562" s="9"/>
    </row>
    <row r="563" spans="1:9" ht="14.25" customHeight="1" x14ac:dyDescent="0.35">
      <c r="A563" s="10"/>
      <c r="B563" s="10"/>
      <c r="C563" s="10"/>
      <c r="D563" s="10"/>
      <c r="E563" s="10"/>
      <c r="F563" s="10"/>
      <c r="G563" s="10"/>
      <c r="H563" s="10"/>
      <c r="I563" s="9"/>
    </row>
    <row r="564" spans="1:9" ht="14.25" customHeight="1" x14ac:dyDescent="0.35">
      <c r="A564" s="10"/>
      <c r="B564" s="10"/>
      <c r="C564" s="10"/>
      <c r="D564" s="10"/>
      <c r="E564" s="10"/>
      <c r="F564" s="10"/>
      <c r="G564" s="10"/>
      <c r="H564" s="10"/>
      <c r="I564" s="9"/>
    </row>
    <row r="565" spans="1:9" ht="14.25" customHeight="1" x14ac:dyDescent="0.35">
      <c r="A565" s="10"/>
      <c r="B565" s="10"/>
      <c r="C565" s="10"/>
      <c r="D565" s="10"/>
      <c r="E565" s="10"/>
      <c r="F565" s="10"/>
      <c r="G565" s="10"/>
      <c r="H565" s="10"/>
      <c r="I565" s="9"/>
    </row>
    <row r="566" spans="1:9" ht="14.25" customHeight="1" x14ac:dyDescent="0.35">
      <c r="A566" s="10"/>
      <c r="B566" s="10"/>
      <c r="C566" s="10"/>
      <c r="D566" s="10"/>
      <c r="E566" s="10"/>
      <c r="F566" s="10"/>
      <c r="G566" s="10"/>
      <c r="H566" s="10"/>
      <c r="I566" s="9"/>
    </row>
    <row r="567" spans="1:9" ht="14.25" customHeight="1" x14ac:dyDescent="0.35">
      <c r="A567" s="10"/>
      <c r="B567" s="10"/>
      <c r="C567" s="10"/>
      <c r="D567" s="10"/>
      <c r="E567" s="10"/>
      <c r="F567" s="10"/>
      <c r="G567" s="10"/>
      <c r="H567" s="10"/>
      <c r="I567" s="9"/>
    </row>
    <row r="568" spans="1:9" ht="14.25" customHeight="1" x14ac:dyDescent="0.35">
      <c r="A568" s="10"/>
      <c r="B568" s="10"/>
      <c r="C568" s="10"/>
      <c r="D568" s="10"/>
      <c r="E568" s="10"/>
      <c r="F568" s="10"/>
      <c r="G568" s="10"/>
      <c r="H568" s="10"/>
      <c r="I568" s="9"/>
    </row>
    <row r="569" spans="1:9" ht="14.25" customHeight="1" x14ac:dyDescent="0.35">
      <c r="A569" s="10"/>
      <c r="B569" s="10"/>
      <c r="C569" s="10"/>
      <c r="D569" s="10"/>
      <c r="E569" s="10"/>
      <c r="F569" s="10"/>
      <c r="G569" s="10"/>
      <c r="H569" s="10"/>
      <c r="I569" s="9"/>
    </row>
    <row r="570" spans="1:9" ht="14.25" customHeight="1" x14ac:dyDescent="0.35">
      <c r="A570" s="10"/>
      <c r="B570" s="10"/>
      <c r="C570" s="10"/>
      <c r="D570" s="10"/>
      <c r="E570" s="10"/>
      <c r="F570" s="10"/>
      <c r="G570" s="10"/>
      <c r="H570" s="10"/>
      <c r="I570" s="9"/>
    </row>
    <row r="571" spans="1:9" ht="14.25" customHeight="1" x14ac:dyDescent="0.35">
      <c r="A571" s="10"/>
      <c r="B571" s="10"/>
      <c r="C571" s="10"/>
      <c r="D571" s="10"/>
      <c r="E571" s="10"/>
      <c r="F571" s="10"/>
      <c r="G571" s="10"/>
      <c r="H571" s="10"/>
      <c r="I571" s="9"/>
    </row>
    <row r="572" spans="1:9" ht="14.25" customHeight="1" x14ac:dyDescent="0.35">
      <c r="A572" s="10"/>
      <c r="B572" s="10"/>
      <c r="C572" s="10"/>
      <c r="D572" s="10"/>
      <c r="E572" s="10"/>
      <c r="F572" s="10"/>
      <c r="G572" s="10"/>
      <c r="H572" s="10"/>
      <c r="I572" s="9"/>
    </row>
    <row r="573" spans="1:9" ht="14.25" customHeight="1" x14ac:dyDescent="0.35">
      <c r="A573" s="10"/>
      <c r="B573" s="10"/>
      <c r="C573" s="10"/>
      <c r="D573" s="10"/>
      <c r="E573" s="10"/>
      <c r="F573" s="10"/>
      <c r="G573" s="10"/>
      <c r="H573" s="10"/>
      <c r="I573" s="9"/>
    </row>
    <row r="574" spans="1:9" ht="14.25" customHeight="1" x14ac:dyDescent="0.35">
      <c r="A574" s="10"/>
      <c r="B574" s="10"/>
      <c r="C574" s="10"/>
      <c r="D574" s="10"/>
      <c r="E574" s="10"/>
      <c r="F574" s="10"/>
      <c r="G574" s="10"/>
      <c r="H574" s="10"/>
      <c r="I574" s="9"/>
    </row>
    <row r="575" spans="1:9" ht="14.25" customHeight="1" x14ac:dyDescent="0.35">
      <c r="A575" s="10"/>
      <c r="B575" s="10"/>
      <c r="C575" s="10"/>
      <c r="D575" s="10"/>
      <c r="E575" s="10"/>
      <c r="F575" s="10"/>
      <c r="G575" s="10"/>
      <c r="H575" s="10"/>
      <c r="I575" s="9"/>
    </row>
    <row r="576" spans="1:9" ht="14.25" customHeight="1" x14ac:dyDescent="0.35">
      <c r="A576" s="10"/>
      <c r="B576" s="10"/>
      <c r="C576" s="10"/>
      <c r="D576" s="10"/>
      <c r="E576" s="10"/>
      <c r="F576" s="10"/>
      <c r="G576" s="10"/>
      <c r="H576" s="10"/>
      <c r="I576" s="9"/>
    </row>
    <row r="577" spans="1:9" ht="14.25" customHeight="1" x14ac:dyDescent="0.35">
      <c r="A577" s="10"/>
      <c r="B577" s="10"/>
      <c r="C577" s="10"/>
      <c r="D577" s="10"/>
      <c r="E577" s="10"/>
      <c r="F577" s="10"/>
      <c r="G577" s="10"/>
      <c r="H577" s="10"/>
      <c r="I577" s="9"/>
    </row>
    <row r="578" spans="1:9" ht="14.25" customHeight="1" x14ac:dyDescent="0.35">
      <c r="A578" s="10"/>
      <c r="B578" s="10"/>
      <c r="C578" s="10"/>
      <c r="D578" s="10"/>
      <c r="E578" s="10"/>
      <c r="F578" s="10"/>
      <c r="G578" s="10"/>
      <c r="H578" s="10"/>
      <c r="I578" s="9"/>
    </row>
    <row r="579" spans="1:9" ht="14.25" customHeight="1" x14ac:dyDescent="0.35">
      <c r="A579" s="10"/>
      <c r="B579" s="10"/>
      <c r="C579" s="10"/>
      <c r="D579" s="10"/>
      <c r="E579" s="10"/>
      <c r="F579" s="10"/>
      <c r="G579" s="10"/>
      <c r="H579" s="10"/>
      <c r="I579" s="9"/>
    </row>
    <row r="580" spans="1:9" ht="14.25" customHeight="1" x14ac:dyDescent="0.35">
      <c r="A580" s="10"/>
      <c r="B580" s="10"/>
      <c r="C580" s="10"/>
      <c r="D580" s="10"/>
      <c r="E580" s="10"/>
      <c r="F580" s="10"/>
      <c r="G580" s="10"/>
      <c r="H580" s="10"/>
      <c r="I580" s="9"/>
    </row>
    <row r="581" spans="1:9" ht="14.25" customHeight="1" x14ac:dyDescent="0.35">
      <c r="A581" s="10"/>
      <c r="B581" s="10"/>
      <c r="C581" s="10"/>
      <c r="D581" s="10"/>
      <c r="E581" s="10"/>
      <c r="F581" s="10"/>
      <c r="G581" s="10"/>
      <c r="H581" s="10"/>
      <c r="I581" s="9"/>
    </row>
    <row r="582" spans="1:9" ht="14.25" customHeight="1" x14ac:dyDescent="0.35">
      <c r="A582" s="10"/>
      <c r="B582" s="10"/>
      <c r="C582" s="10"/>
      <c r="D582" s="10"/>
      <c r="E582" s="10"/>
      <c r="F582" s="10"/>
      <c r="G582" s="10"/>
      <c r="H582" s="10"/>
      <c r="I582" s="9"/>
    </row>
    <row r="583" spans="1:9" ht="14.25" customHeight="1" x14ac:dyDescent="0.35">
      <c r="A583" s="10"/>
      <c r="B583" s="10"/>
      <c r="C583" s="10"/>
      <c r="D583" s="10"/>
      <c r="E583" s="10"/>
      <c r="F583" s="10"/>
      <c r="G583" s="10"/>
      <c r="H583" s="10"/>
      <c r="I583" s="9"/>
    </row>
    <row r="584" spans="1:9" ht="14.25" customHeight="1" x14ac:dyDescent="0.35">
      <c r="A584" s="10"/>
      <c r="B584" s="10"/>
      <c r="C584" s="10"/>
      <c r="D584" s="10"/>
      <c r="E584" s="10"/>
      <c r="F584" s="10"/>
      <c r="G584" s="10"/>
      <c r="H584" s="10"/>
      <c r="I584" s="9"/>
    </row>
    <row r="585" spans="1:9" ht="14.25" customHeight="1" x14ac:dyDescent="0.35">
      <c r="A585" s="10"/>
      <c r="B585" s="10"/>
      <c r="C585" s="10"/>
      <c r="D585" s="10"/>
      <c r="E585" s="10"/>
      <c r="F585" s="10"/>
      <c r="G585" s="10"/>
      <c r="H585" s="10"/>
      <c r="I585" s="9"/>
    </row>
    <row r="586" spans="1:9" ht="14.25" customHeight="1" x14ac:dyDescent="0.35">
      <c r="A586" s="10"/>
      <c r="B586" s="10"/>
      <c r="C586" s="10"/>
      <c r="D586" s="10"/>
      <c r="E586" s="10"/>
      <c r="F586" s="10"/>
      <c r="G586" s="10"/>
      <c r="H586" s="10"/>
      <c r="I586" s="9"/>
    </row>
    <row r="587" spans="1:9" ht="14.25" customHeight="1" x14ac:dyDescent="0.35">
      <c r="A587" s="10"/>
      <c r="B587" s="10"/>
      <c r="C587" s="10"/>
      <c r="D587" s="10"/>
      <c r="E587" s="10"/>
      <c r="F587" s="10"/>
      <c r="G587" s="10"/>
      <c r="H587" s="10"/>
      <c r="I587" s="9"/>
    </row>
    <row r="588" spans="1:9" ht="14.25" customHeight="1" x14ac:dyDescent="0.35">
      <c r="A588" s="10"/>
      <c r="B588" s="10"/>
      <c r="C588" s="10"/>
      <c r="D588" s="10"/>
      <c r="E588" s="10"/>
      <c r="F588" s="10"/>
      <c r="G588" s="10"/>
      <c r="H588" s="10"/>
      <c r="I588" s="9"/>
    </row>
    <row r="589" spans="1:9" ht="14.25" customHeight="1" x14ac:dyDescent="0.35">
      <c r="A589" s="10"/>
      <c r="B589" s="10"/>
      <c r="C589" s="10"/>
      <c r="D589" s="10"/>
      <c r="E589" s="10"/>
      <c r="F589" s="10"/>
      <c r="G589" s="10"/>
      <c r="H589" s="10"/>
      <c r="I589" s="9"/>
    </row>
    <row r="590" spans="1:9" ht="14.25" customHeight="1" x14ac:dyDescent="0.35">
      <c r="A590" s="10"/>
      <c r="B590" s="10"/>
      <c r="C590" s="10"/>
      <c r="D590" s="10"/>
      <c r="E590" s="10"/>
      <c r="F590" s="10"/>
      <c r="G590" s="10"/>
      <c r="H590" s="10"/>
      <c r="I590" s="9"/>
    </row>
    <row r="591" spans="1:9" ht="14.25" customHeight="1" x14ac:dyDescent="0.35">
      <c r="A591" s="10"/>
      <c r="B591" s="10"/>
      <c r="C591" s="10"/>
      <c r="D591" s="10"/>
      <c r="E591" s="10"/>
      <c r="F591" s="10"/>
      <c r="G591" s="10"/>
      <c r="H591" s="10"/>
      <c r="I591" s="9"/>
    </row>
    <row r="592" spans="1:9" ht="14.25" customHeight="1" x14ac:dyDescent="0.35">
      <c r="A592" s="10"/>
      <c r="B592" s="10"/>
      <c r="C592" s="10"/>
      <c r="D592" s="10"/>
      <c r="E592" s="10"/>
      <c r="F592" s="10"/>
      <c r="G592" s="10"/>
      <c r="H592" s="10"/>
      <c r="I592" s="9"/>
    </row>
    <row r="593" spans="1:9" ht="14.25" customHeight="1" x14ac:dyDescent="0.35">
      <c r="A593" s="10"/>
      <c r="B593" s="10"/>
      <c r="C593" s="10"/>
      <c r="D593" s="10"/>
      <c r="E593" s="10"/>
      <c r="F593" s="10"/>
      <c r="G593" s="10"/>
      <c r="H593" s="10"/>
      <c r="I593" s="9"/>
    </row>
    <row r="594" spans="1:9" ht="14.25" customHeight="1" x14ac:dyDescent="0.35">
      <c r="A594" s="10"/>
      <c r="B594" s="10"/>
      <c r="C594" s="10"/>
      <c r="D594" s="10"/>
      <c r="E594" s="10"/>
      <c r="F594" s="10"/>
      <c r="G594" s="10"/>
      <c r="H594" s="10"/>
      <c r="I594" s="9"/>
    </row>
    <row r="595" spans="1:9" ht="14.25" customHeight="1" x14ac:dyDescent="0.35">
      <c r="A595" s="10"/>
      <c r="B595" s="10"/>
      <c r="C595" s="10"/>
      <c r="D595" s="10"/>
      <c r="E595" s="10"/>
      <c r="F595" s="10"/>
      <c r="G595" s="10"/>
      <c r="H595" s="10"/>
      <c r="I595" s="9"/>
    </row>
    <row r="596" spans="1:9" ht="14.25" customHeight="1" x14ac:dyDescent="0.35">
      <c r="A596" s="10"/>
      <c r="B596" s="10"/>
      <c r="C596" s="10"/>
      <c r="D596" s="10"/>
      <c r="E596" s="10"/>
      <c r="F596" s="10"/>
      <c r="G596" s="10"/>
      <c r="H596" s="10"/>
      <c r="I596" s="9"/>
    </row>
    <row r="597" spans="1:9" ht="14.25" customHeight="1" x14ac:dyDescent="0.35">
      <c r="A597" s="10"/>
      <c r="B597" s="10"/>
      <c r="C597" s="10"/>
      <c r="D597" s="10"/>
      <c r="E597" s="10"/>
      <c r="F597" s="10"/>
      <c r="G597" s="10"/>
      <c r="H597" s="10"/>
      <c r="I597" s="9"/>
    </row>
    <row r="598" spans="1:9" ht="14.25" customHeight="1" x14ac:dyDescent="0.35">
      <c r="A598" s="10"/>
      <c r="B598" s="10"/>
      <c r="C598" s="10"/>
      <c r="D598" s="10"/>
      <c r="E598" s="10"/>
      <c r="F598" s="10"/>
      <c r="G598" s="10"/>
      <c r="H598" s="10"/>
      <c r="I598" s="9"/>
    </row>
    <row r="599" spans="1:9" ht="14.25" customHeight="1" x14ac:dyDescent="0.35">
      <c r="A599" s="10"/>
      <c r="B599" s="10"/>
      <c r="C599" s="10"/>
      <c r="D599" s="10"/>
      <c r="E599" s="10"/>
      <c r="F599" s="10"/>
      <c r="G599" s="10"/>
      <c r="H599" s="10"/>
      <c r="I599" s="9"/>
    </row>
    <row r="600" spans="1:9" ht="14.25" customHeight="1" x14ac:dyDescent="0.35">
      <c r="A600" s="10"/>
      <c r="B600" s="10"/>
      <c r="C600" s="10"/>
      <c r="D600" s="10"/>
      <c r="E600" s="10"/>
      <c r="F600" s="10"/>
      <c r="G600" s="10"/>
      <c r="H600" s="10"/>
      <c r="I600" s="9"/>
    </row>
    <row r="601" spans="1:9" ht="14.25" customHeight="1" x14ac:dyDescent="0.35">
      <c r="A601" s="10"/>
      <c r="B601" s="10"/>
      <c r="C601" s="10"/>
      <c r="D601" s="10"/>
      <c r="E601" s="10"/>
      <c r="F601" s="10"/>
      <c r="G601" s="10"/>
      <c r="H601" s="10"/>
      <c r="I601" s="9"/>
    </row>
    <row r="602" spans="1:9" ht="14.25" customHeight="1" x14ac:dyDescent="0.35">
      <c r="A602" s="10"/>
      <c r="B602" s="10"/>
      <c r="C602" s="10"/>
      <c r="D602" s="10"/>
      <c r="E602" s="10"/>
      <c r="F602" s="10"/>
      <c r="G602" s="10"/>
      <c r="H602" s="10"/>
      <c r="I602" s="9"/>
    </row>
    <row r="603" spans="1:9" ht="14.25" customHeight="1" x14ac:dyDescent="0.35">
      <c r="A603" s="10"/>
      <c r="B603" s="10"/>
      <c r="C603" s="10"/>
      <c r="D603" s="10"/>
      <c r="E603" s="10"/>
      <c r="F603" s="10"/>
      <c r="G603" s="10"/>
      <c r="H603" s="10"/>
      <c r="I603" s="9"/>
    </row>
    <row r="604" spans="1:9" ht="14.25" customHeight="1" x14ac:dyDescent="0.35">
      <c r="A604" s="10"/>
      <c r="B604" s="10"/>
      <c r="C604" s="10"/>
      <c r="D604" s="10"/>
      <c r="E604" s="10"/>
      <c r="F604" s="10"/>
      <c r="G604" s="10"/>
      <c r="H604" s="10"/>
      <c r="I604" s="9"/>
    </row>
    <row r="605" spans="1:9" ht="14.25" customHeight="1" x14ac:dyDescent="0.35">
      <c r="A605" s="10"/>
      <c r="B605" s="10"/>
      <c r="C605" s="10"/>
      <c r="D605" s="10"/>
      <c r="E605" s="10"/>
      <c r="F605" s="10"/>
      <c r="G605" s="10"/>
      <c r="H605" s="10"/>
      <c r="I605" s="9"/>
    </row>
    <row r="606" spans="1:9" ht="14.25" customHeight="1" x14ac:dyDescent="0.35">
      <c r="A606" s="10"/>
      <c r="B606" s="10"/>
      <c r="C606" s="10"/>
      <c r="D606" s="10"/>
      <c r="E606" s="10"/>
      <c r="F606" s="10"/>
      <c r="G606" s="10"/>
      <c r="H606" s="10"/>
      <c r="I606" s="9"/>
    </row>
    <row r="607" spans="1:9" ht="14.25" customHeight="1" x14ac:dyDescent="0.35">
      <c r="A607" s="10"/>
      <c r="B607" s="10"/>
      <c r="C607" s="10"/>
      <c r="D607" s="10"/>
      <c r="E607" s="10"/>
      <c r="F607" s="10"/>
      <c r="G607" s="10"/>
      <c r="H607" s="10"/>
      <c r="I607" s="9"/>
    </row>
    <row r="608" spans="1:9" ht="14.25" customHeight="1" x14ac:dyDescent="0.35">
      <c r="A608" s="10"/>
      <c r="B608" s="10"/>
      <c r="C608" s="10"/>
      <c r="D608" s="10"/>
      <c r="E608" s="10"/>
      <c r="F608" s="10"/>
      <c r="G608" s="10"/>
      <c r="H608" s="10"/>
      <c r="I608" s="9"/>
    </row>
    <row r="609" spans="1:9" ht="14.25" customHeight="1" x14ac:dyDescent="0.35">
      <c r="A609" s="10"/>
      <c r="B609" s="10"/>
      <c r="C609" s="10"/>
      <c r="D609" s="10"/>
      <c r="E609" s="10"/>
      <c r="F609" s="10"/>
      <c r="G609" s="10"/>
      <c r="H609" s="10"/>
      <c r="I609" s="9"/>
    </row>
    <row r="610" spans="1:9" ht="14.25" customHeight="1" x14ac:dyDescent="0.35">
      <c r="A610" s="10"/>
      <c r="B610" s="10"/>
      <c r="C610" s="10"/>
      <c r="D610" s="10"/>
      <c r="E610" s="10"/>
      <c r="F610" s="10"/>
      <c r="G610" s="10"/>
      <c r="H610" s="10"/>
      <c r="I610" s="9"/>
    </row>
    <row r="611" spans="1:9" ht="14.25" customHeight="1" x14ac:dyDescent="0.35">
      <c r="A611" s="10"/>
      <c r="B611" s="10"/>
      <c r="C611" s="10"/>
      <c r="D611" s="10"/>
      <c r="E611" s="10"/>
      <c r="F611" s="10"/>
      <c r="G611" s="10"/>
      <c r="H611" s="10"/>
      <c r="I611" s="9"/>
    </row>
    <row r="612" spans="1:9" ht="14.25" customHeight="1" x14ac:dyDescent="0.35">
      <c r="A612" s="10"/>
      <c r="B612" s="10"/>
      <c r="C612" s="10"/>
      <c r="D612" s="10"/>
      <c r="E612" s="10"/>
      <c r="F612" s="10"/>
      <c r="G612" s="10"/>
      <c r="H612" s="10"/>
      <c r="I612" s="9"/>
    </row>
    <row r="613" spans="1:9" ht="14.25" customHeight="1" x14ac:dyDescent="0.35">
      <c r="A613" s="10"/>
      <c r="B613" s="10"/>
      <c r="C613" s="10"/>
      <c r="D613" s="10"/>
      <c r="E613" s="10"/>
      <c r="F613" s="10"/>
      <c r="G613" s="10"/>
      <c r="H613" s="10"/>
      <c r="I613" s="9"/>
    </row>
    <row r="614" spans="1:9" ht="14.25" customHeight="1" x14ac:dyDescent="0.35">
      <c r="A614" s="10"/>
      <c r="B614" s="10"/>
      <c r="C614" s="10"/>
      <c r="D614" s="10"/>
      <c r="E614" s="10"/>
      <c r="F614" s="10"/>
      <c r="G614" s="10"/>
      <c r="H614" s="10"/>
      <c r="I614" s="9"/>
    </row>
    <row r="615" spans="1:9" ht="14.25" customHeight="1" x14ac:dyDescent="0.35">
      <c r="A615" s="10"/>
      <c r="B615" s="10"/>
      <c r="C615" s="10"/>
      <c r="D615" s="10"/>
      <c r="E615" s="10"/>
      <c r="F615" s="10"/>
      <c r="G615" s="10"/>
      <c r="H615" s="10"/>
      <c r="I615" s="9"/>
    </row>
    <row r="616" spans="1:9" ht="14.25" customHeight="1" x14ac:dyDescent="0.35">
      <c r="A616" s="10"/>
      <c r="B616" s="10"/>
      <c r="C616" s="10"/>
      <c r="D616" s="10"/>
      <c r="E616" s="10"/>
      <c r="F616" s="10"/>
      <c r="G616" s="10"/>
      <c r="H616" s="10"/>
      <c r="I616" s="9"/>
    </row>
    <row r="617" spans="1:9" ht="14.25" customHeight="1" x14ac:dyDescent="0.35">
      <c r="A617" s="10"/>
      <c r="B617" s="10"/>
      <c r="C617" s="10"/>
      <c r="D617" s="10"/>
      <c r="E617" s="10"/>
      <c r="F617" s="10"/>
      <c r="G617" s="10"/>
      <c r="H617" s="10"/>
      <c r="I617" s="9"/>
    </row>
    <row r="618" spans="1:9" ht="14.25" customHeight="1" x14ac:dyDescent="0.35">
      <c r="A618" s="10"/>
      <c r="B618" s="10"/>
      <c r="C618" s="10"/>
      <c r="D618" s="10"/>
      <c r="E618" s="10"/>
      <c r="F618" s="10"/>
      <c r="G618" s="10"/>
      <c r="H618" s="10"/>
      <c r="I618" s="9"/>
    </row>
    <row r="619" spans="1:9" ht="14.25" customHeight="1" x14ac:dyDescent="0.35">
      <c r="A619" s="10"/>
      <c r="B619" s="10"/>
      <c r="C619" s="10"/>
      <c r="D619" s="10"/>
      <c r="E619" s="10"/>
      <c r="F619" s="10"/>
      <c r="G619" s="10"/>
      <c r="H619" s="10"/>
      <c r="I619" s="9"/>
    </row>
    <row r="620" spans="1:9" ht="14.25" customHeight="1" x14ac:dyDescent="0.35">
      <c r="A620" s="10"/>
      <c r="B620" s="10"/>
      <c r="C620" s="10"/>
      <c r="D620" s="10"/>
      <c r="E620" s="10"/>
      <c r="F620" s="10"/>
      <c r="G620" s="10"/>
      <c r="H620" s="10"/>
      <c r="I620" s="9"/>
    </row>
    <row r="621" spans="1:9" ht="14.25" customHeight="1" x14ac:dyDescent="0.35">
      <c r="A621" s="10"/>
      <c r="B621" s="10"/>
      <c r="C621" s="10"/>
      <c r="D621" s="10"/>
      <c r="E621" s="10"/>
      <c r="F621" s="10"/>
      <c r="G621" s="10"/>
      <c r="H621" s="10"/>
      <c r="I621" s="9"/>
    </row>
    <row r="622" spans="1:9" ht="14.25" customHeight="1" x14ac:dyDescent="0.35">
      <c r="A622" s="10"/>
      <c r="B622" s="10"/>
      <c r="C622" s="10"/>
      <c r="D622" s="10"/>
      <c r="E622" s="10"/>
      <c r="F622" s="10"/>
      <c r="G622" s="10"/>
      <c r="H622" s="10"/>
      <c r="I622" s="9"/>
    </row>
    <row r="623" spans="1:9" ht="14.25" customHeight="1" x14ac:dyDescent="0.35">
      <c r="A623" s="10"/>
      <c r="B623" s="10"/>
      <c r="C623" s="10"/>
      <c r="D623" s="10"/>
      <c r="E623" s="10"/>
      <c r="F623" s="10"/>
      <c r="G623" s="10"/>
      <c r="H623" s="10"/>
      <c r="I623" s="9"/>
    </row>
    <row r="624" spans="1:9" ht="14.25" customHeight="1" x14ac:dyDescent="0.35">
      <c r="A624" s="10"/>
      <c r="B624" s="10"/>
      <c r="C624" s="10"/>
      <c r="D624" s="10"/>
      <c r="E624" s="10"/>
      <c r="F624" s="10"/>
      <c r="G624" s="10"/>
      <c r="H624" s="10"/>
      <c r="I624" s="9"/>
    </row>
    <row r="625" spans="1:9" ht="14.25" customHeight="1" x14ac:dyDescent="0.35">
      <c r="A625" s="10"/>
      <c r="B625" s="10"/>
      <c r="C625" s="10"/>
      <c r="D625" s="10"/>
      <c r="E625" s="10"/>
      <c r="F625" s="10"/>
      <c r="G625" s="10"/>
      <c r="H625" s="10"/>
      <c r="I625" s="9"/>
    </row>
    <row r="626" spans="1:9" ht="14.25" customHeight="1" x14ac:dyDescent="0.35">
      <c r="A626" s="10"/>
      <c r="B626" s="10"/>
      <c r="C626" s="10"/>
      <c r="D626" s="10"/>
      <c r="E626" s="10"/>
      <c r="F626" s="10"/>
      <c r="G626" s="10"/>
      <c r="H626" s="10"/>
      <c r="I626" s="9"/>
    </row>
    <row r="627" spans="1:9" ht="14.25" customHeight="1" x14ac:dyDescent="0.35">
      <c r="A627" s="10"/>
      <c r="B627" s="10"/>
      <c r="C627" s="10"/>
      <c r="D627" s="10"/>
      <c r="E627" s="10"/>
      <c r="F627" s="10"/>
      <c r="G627" s="10"/>
      <c r="H627" s="10"/>
      <c r="I627" s="9"/>
    </row>
    <row r="628" spans="1:9" ht="14.25" customHeight="1" x14ac:dyDescent="0.35">
      <c r="A628" s="10"/>
      <c r="B628" s="10"/>
      <c r="C628" s="10"/>
      <c r="D628" s="10"/>
      <c r="E628" s="10"/>
      <c r="F628" s="10"/>
      <c r="G628" s="10"/>
      <c r="H628" s="10"/>
      <c r="I628" s="9"/>
    </row>
    <row r="629" spans="1:9" ht="14.25" customHeight="1" x14ac:dyDescent="0.35">
      <c r="A629" s="10"/>
      <c r="B629" s="10"/>
      <c r="C629" s="10"/>
      <c r="D629" s="10"/>
      <c r="E629" s="10"/>
      <c r="F629" s="10"/>
      <c r="G629" s="10"/>
      <c r="H629" s="10"/>
      <c r="I629" s="9"/>
    </row>
    <row r="630" spans="1:9" ht="14.25" customHeight="1" x14ac:dyDescent="0.35">
      <c r="A630" s="10"/>
      <c r="B630" s="10"/>
      <c r="C630" s="10"/>
      <c r="D630" s="10"/>
      <c r="E630" s="10"/>
      <c r="F630" s="10"/>
      <c r="G630" s="10"/>
      <c r="H630" s="10"/>
      <c r="I630" s="9"/>
    </row>
    <row r="631" spans="1:9" ht="14.25" customHeight="1" x14ac:dyDescent="0.35">
      <c r="A631" s="10"/>
      <c r="B631" s="10"/>
      <c r="C631" s="10"/>
      <c r="D631" s="10"/>
      <c r="E631" s="10"/>
      <c r="F631" s="10"/>
      <c r="G631" s="10"/>
      <c r="H631" s="10"/>
      <c r="I631" s="9"/>
    </row>
    <row r="632" spans="1:9" ht="14.25" customHeight="1" x14ac:dyDescent="0.35">
      <c r="A632" s="10"/>
      <c r="B632" s="10"/>
      <c r="C632" s="10"/>
      <c r="D632" s="10"/>
      <c r="E632" s="10"/>
      <c r="F632" s="10"/>
      <c r="G632" s="10"/>
      <c r="H632" s="10"/>
      <c r="I632" s="9"/>
    </row>
    <row r="633" spans="1:9" ht="14.25" customHeight="1" x14ac:dyDescent="0.35">
      <c r="A633" s="10"/>
      <c r="B633" s="10"/>
      <c r="C633" s="10"/>
      <c r="D633" s="10"/>
      <c r="E633" s="10"/>
      <c r="F633" s="10"/>
      <c r="G633" s="10"/>
      <c r="H633" s="10"/>
      <c r="I633" s="9"/>
    </row>
    <row r="634" spans="1:9" ht="14.25" customHeight="1" x14ac:dyDescent="0.35">
      <c r="A634" s="10"/>
      <c r="B634" s="10"/>
      <c r="C634" s="10"/>
      <c r="D634" s="10"/>
      <c r="E634" s="10"/>
      <c r="F634" s="10"/>
      <c r="G634" s="10"/>
      <c r="H634" s="10"/>
      <c r="I634" s="9"/>
    </row>
    <row r="635" spans="1:9" ht="14.25" customHeight="1" x14ac:dyDescent="0.35">
      <c r="A635" s="10"/>
      <c r="B635" s="10"/>
      <c r="C635" s="10"/>
      <c r="D635" s="10"/>
      <c r="E635" s="10"/>
      <c r="F635" s="10"/>
      <c r="G635" s="10"/>
      <c r="H635" s="10"/>
      <c r="I635" s="9"/>
    </row>
    <row r="636" spans="1:9" ht="14.25" customHeight="1" x14ac:dyDescent="0.35">
      <c r="A636" s="10"/>
      <c r="B636" s="10"/>
      <c r="C636" s="10"/>
      <c r="D636" s="10"/>
      <c r="E636" s="10"/>
      <c r="F636" s="10"/>
      <c r="G636" s="10"/>
      <c r="H636" s="10"/>
      <c r="I636" s="9"/>
    </row>
    <row r="637" spans="1:9" ht="14.25" customHeight="1" x14ac:dyDescent="0.35">
      <c r="A637" s="10"/>
      <c r="B637" s="10"/>
      <c r="C637" s="10"/>
      <c r="D637" s="10"/>
      <c r="E637" s="10"/>
      <c r="F637" s="10"/>
      <c r="G637" s="10"/>
      <c r="H637" s="10"/>
      <c r="I637" s="9"/>
    </row>
    <row r="638" spans="1:9" ht="14.25" customHeight="1" x14ac:dyDescent="0.35">
      <c r="A638" s="10"/>
      <c r="B638" s="10"/>
      <c r="C638" s="10"/>
      <c r="D638" s="10"/>
      <c r="E638" s="10"/>
      <c r="F638" s="10"/>
      <c r="G638" s="10"/>
      <c r="H638" s="10"/>
      <c r="I638" s="9"/>
    </row>
    <row r="639" spans="1:9" ht="14.25" customHeight="1" x14ac:dyDescent="0.35">
      <c r="A639" s="10"/>
      <c r="B639" s="10"/>
      <c r="C639" s="10"/>
      <c r="D639" s="10"/>
      <c r="E639" s="10"/>
      <c r="F639" s="10"/>
      <c r="G639" s="10"/>
      <c r="H639" s="10"/>
      <c r="I639" s="9"/>
    </row>
    <row r="640" spans="1:9" ht="14.25" customHeight="1" x14ac:dyDescent="0.35">
      <c r="A640" s="10"/>
      <c r="B640" s="10"/>
      <c r="C640" s="10"/>
      <c r="D640" s="10"/>
      <c r="E640" s="10"/>
      <c r="F640" s="10"/>
      <c r="G640" s="10"/>
      <c r="H640" s="10"/>
      <c r="I640" s="9"/>
    </row>
    <row r="641" spans="1:9" ht="14.25" customHeight="1" x14ac:dyDescent="0.35">
      <c r="A641" s="10"/>
      <c r="B641" s="10"/>
      <c r="C641" s="10"/>
      <c r="D641" s="10"/>
      <c r="E641" s="10"/>
      <c r="F641" s="10"/>
      <c r="G641" s="10"/>
      <c r="H641" s="10"/>
      <c r="I641" s="9"/>
    </row>
    <row r="642" spans="1:9" ht="14.25" customHeight="1" x14ac:dyDescent="0.35">
      <c r="A642" s="10"/>
      <c r="B642" s="10"/>
      <c r="C642" s="10"/>
      <c r="D642" s="10"/>
      <c r="E642" s="10"/>
      <c r="F642" s="10"/>
      <c r="G642" s="10"/>
      <c r="H642" s="10"/>
      <c r="I642" s="9"/>
    </row>
    <row r="643" spans="1:9" ht="14.25" customHeight="1" x14ac:dyDescent="0.35">
      <c r="A643" s="10"/>
      <c r="B643" s="10"/>
      <c r="C643" s="10"/>
      <c r="D643" s="10"/>
      <c r="E643" s="10"/>
      <c r="F643" s="10"/>
      <c r="G643" s="10"/>
      <c r="H643" s="10"/>
      <c r="I643" s="9"/>
    </row>
    <row r="644" spans="1:9" ht="14.25" customHeight="1" x14ac:dyDescent="0.35">
      <c r="A644" s="10"/>
      <c r="B644" s="10"/>
      <c r="C644" s="10"/>
      <c r="D644" s="10"/>
      <c r="E644" s="10"/>
      <c r="F644" s="10"/>
      <c r="G644" s="10"/>
      <c r="H644" s="10"/>
      <c r="I644" s="9"/>
    </row>
    <row r="645" spans="1:9" ht="14.25" customHeight="1" x14ac:dyDescent="0.35">
      <c r="A645" s="10"/>
      <c r="B645" s="10"/>
      <c r="C645" s="10"/>
      <c r="D645" s="10"/>
      <c r="E645" s="10"/>
      <c r="F645" s="10"/>
      <c r="G645" s="10"/>
      <c r="H645" s="10"/>
      <c r="I645" s="9"/>
    </row>
    <row r="646" spans="1:9" ht="14.25" customHeight="1" x14ac:dyDescent="0.35">
      <c r="A646" s="10"/>
      <c r="B646" s="10"/>
      <c r="C646" s="10"/>
      <c r="D646" s="10"/>
      <c r="E646" s="10"/>
      <c r="F646" s="10"/>
      <c r="G646" s="10"/>
      <c r="H646" s="10"/>
      <c r="I646" s="9"/>
    </row>
    <row r="647" spans="1:9" ht="14.25" customHeight="1" x14ac:dyDescent="0.35">
      <c r="A647" s="10"/>
      <c r="B647" s="10"/>
      <c r="C647" s="10"/>
      <c r="D647" s="10"/>
      <c r="E647" s="10"/>
      <c r="F647" s="10"/>
      <c r="G647" s="10"/>
      <c r="H647" s="10"/>
      <c r="I647" s="9"/>
    </row>
    <row r="648" spans="1:9" ht="14.25" customHeight="1" x14ac:dyDescent="0.35">
      <c r="A648" s="10"/>
      <c r="B648" s="10"/>
      <c r="C648" s="10"/>
      <c r="D648" s="10"/>
      <c r="E648" s="10"/>
      <c r="F648" s="10"/>
      <c r="G648" s="10"/>
      <c r="H648" s="10"/>
      <c r="I648" s="9"/>
    </row>
    <row r="649" spans="1:9" ht="14.25" customHeight="1" x14ac:dyDescent="0.35">
      <c r="A649" s="10"/>
      <c r="B649" s="10"/>
      <c r="C649" s="10"/>
      <c r="D649" s="10"/>
      <c r="E649" s="10"/>
      <c r="F649" s="10"/>
      <c r="G649" s="10"/>
      <c r="H649" s="10"/>
      <c r="I649" s="9"/>
    </row>
    <row r="650" spans="1:9" ht="14.25" customHeight="1" x14ac:dyDescent="0.35">
      <c r="A650" s="10"/>
      <c r="B650" s="10"/>
      <c r="C650" s="10"/>
      <c r="D650" s="10"/>
      <c r="E650" s="10"/>
      <c r="F650" s="10"/>
      <c r="G650" s="10"/>
      <c r="H650" s="10"/>
      <c r="I650" s="9"/>
    </row>
    <row r="651" spans="1:9" ht="14.25" customHeight="1" x14ac:dyDescent="0.35">
      <c r="A651" s="10"/>
      <c r="B651" s="10"/>
      <c r="C651" s="10"/>
      <c r="D651" s="10"/>
      <c r="E651" s="10"/>
      <c r="F651" s="10"/>
      <c r="G651" s="10"/>
      <c r="H651" s="10"/>
      <c r="I651" s="9"/>
    </row>
    <row r="652" spans="1:9" ht="14.25" customHeight="1" x14ac:dyDescent="0.35">
      <c r="A652" s="10"/>
      <c r="B652" s="10"/>
      <c r="C652" s="10"/>
      <c r="D652" s="10"/>
      <c r="E652" s="10"/>
      <c r="F652" s="10"/>
      <c r="G652" s="10"/>
      <c r="H652" s="10"/>
      <c r="I652" s="9"/>
    </row>
    <row r="653" spans="1:9" ht="14.25" customHeight="1" x14ac:dyDescent="0.35">
      <c r="A653" s="10"/>
      <c r="B653" s="10"/>
      <c r="C653" s="10"/>
      <c r="D653" s="10"/>
      <c r="E653" s="10"/>
      <c r="F653" s="10"/>
      <c r="G653" s="10"/>
      <c r="H653" s="10"/>
      <c r="I653" s="9"/>
    </row>
    <row r="654" spans="1:9" ht="14.25" customHeight="1" x14ac:dyDescent="0.35">
      <c r="A654" s="10"/>
      <c r="B654" s="10"/>
      <c r="C654" s="10"/>
      <c r="D654" s="10"/>
      <c r="E654" s="10"/>
      <c r="F654" s="10"/>
      <c r="G654" s="10"/>
      <c r="H654" s="10"/>
      <c r="I654" s="9"/>
    </row>
    <row r="655" spans="1:9" ht="14.25" customHeight="1" x14ac:dyDescent="0.35">
      <c r="A655" s="10"/>
      <c r="B655" s="10"/>
      <c r="C655" s="10"/>
      <c r="D655" s="10"/>
      <c r="E655" s="10"/>
      <c r="F655" s="10"/>
      <c r="G655" s="10"/>
      <c r="H655" s="10"/>
      <c r="I655" s="9"/>
    </row>
    <row r="656" spans="1:9" ht="14.25" customHeight="1" x14ac:dyDescent="0.35">
      <c r="A656" s="10"/>
      <c r="B656" s="10"/>
      <c r="C656" s="10"/>
      <c r="D656" s="10"/>
      <c r="E656" s="10"/>
      <c r="F656" s="10"/>
      <c r="G656" s="10"/>
      <c r="H656" s="10"/>
      <c r="I656" s="9"/>
    </row>
    <row r="657" spans="1:9" ht="14.25" customHeight="1" x14ac:dyDescent="0.35">
      <c r="A657" s="10"/>
      <c r="B657" s="10"/>
      <c r="C657" s="10"/>
      <c r="D657" s="10"/>
      <c r="E657" s="10"/>
      <c r="F657" s="10"/>
      <c r="G657" s="10"/>
      <c r="H657" s="10"/>
      <c r="I657" s="9"/>
    </row>
    <row r="658" spans="1:9" ht="14.25" customHeight="1" x14ac:dyDescent="0.35">
      <c r="A658" s="10"/>
      <c r="B658" s="10"/>
      <c r="C658" s="10"/>
      <c r="D658" s="10"/>
      <c r="E658" s="10"/>
      <c r="F658" s="10"/>
      <c r="G658" s="10"/>
      <c r="H658" s="10"/>
      <c r="I658" s="9"/>
    </row>
    <row r="659" spans="1:9" ht="14.25" customHeight="1" x14ac:dyDescent="0.35">
      <c r="A659" s="10"/>
      <c r="B659" s="10"/>
      <c r="C659" s="10"/>
      <c r="D659" s="10"/>
      <c r="E659" s="10"/>
      <c r="F659" s="10"/>
      <c r="G659" s="10"/>
      <c r="H659" s="10"/>
      <c r="I659" s="9"/>
    </row>
    <row r="660" spans="1:9" ht="14.25" customHeight="1" x14ac:dyDescent="0.35">
      <c r="A660" s="10"/>
      <c r="B660" s="10"/>
      <c r="C660" s="10"/>
      <c r="D660" s="10"/>
      <c r="E660" s="10"/>
      <c r="F660" s="10"/>
      <c r="G660" s="10"/>
      <c r="H660" s="10"/>
      <c r="I660" s="9"/>
    </row>
    <row r="661" spans="1:9" ht="14.25" customHeight="1" x14ac:dyDescent="0.35">
      <c r="A661" s="10"/>
      <c r="B661" s="10"/>
      <c r="C661" s="10"/>
      <c r="D661" s="10"/>
      <c r="E661" s="10"/>
      <c r="F661" s="10"/>
      <c r="G661" s="10"/>
      <c r="H661" s="10"/>
      <c r="I661" s="9"/>
    </row>
    <row r="662" spans="1:9" ht="14.25" customHeight="1" x14ac:dyDescent="0.35">
      <c r="A662" s="10"/>
      <c r="B662" s="10"/>
      <c r="C662" s="10"/>
      <c r="D662" s="10"/>
      <c r="E662" s="10"/>
      <c r="F662" s="10"/>
      <c r="G662" s="10"/>
      <c r="H662" s="10"/>
      <c r="I662" s="9"/>
    </row>
    <row r="663" spans="1:9" ht="14.25" customHeight="1" x14ac:dyDescent="0.35">
      <c r="A663" s="10"/>
      <c r="B663" s="10"/>
      <c r="C663" s="10"/>
      <c r="D663" s="10"/>
      <c r="E663" s="10"/>
      <c r="F663" s="10"/>
      <c r="G663" s="10"/>
      <c r="H663" s="10"/>
      <c r="I663" s="9"/>
    </row>
    <row r="664" spans="1:9" ht="14.25" customHeight="1" x14ac:dyDescent="0.35">
      <c r="A664" s="10"/>
      <c r="B664" s="10"/>
      <c r="C664" s="10"/>
      <c r="D664" s="10"/>
      <c r="E664" s="10"/>
      <c r="F664" s="10"/>
      <c r="G664" s="10"/>
      <c r="H664" s="10"/>
      <c r="I664" s="9"/>
    </row>
    <row r="665" spans="1:9" ht="14.25" customHeight="1" x14ac:dyDescent="0.35">
      <c r="A665" s="10"/>
      <c r="B665" s="10"/>
      <c r="C665" s="10"/>
      <c r="D665" s="10"/>
      <c r="E665" s="10"/>
      <c r="F665" s="10"/>
      <c r="G665" s="10"/>
      <c r="H665" s="10"/>
      <c r="I665" s="9"/>
    </row>
    <row r="666" spans="1:9" ht="14.25" customHeight="1" x14ac:dyDescent="0.35">
      <c r="A666" s="10"/>
      <c r="B666" s="10"/>
      <c r="C666" s="10"/>
      <c r="D666" s="10"/>
      <c r="E666" s="10"/>
      <c r="F666" s="10"/>
      <c r="G666" s="10"/>
      <c r="H666" s="10"/>
      <c r="I666" s="9"/>
    </row>
    <row r="667" spans="1:9" ht="14.25" customHeight="1" x14ac:dyDescent="0.35">
      <c r="A667" s="10"/>
      <c r="B667" s="10"/>
      <c r="C667" s="10"/>
      <c r="D667" s="10"/>
      <c r="E667" s="10"/>
      <c r="F667" s="10"/>
      <c r="G667" s="10"/>
      <c r="H667" s="10"/>
      <c r="I667" s="9"/>
    </row>
    <row r="668" spans="1:9" ht="14.25" customHeight="1" x14ac:dyDescent="0.35">
      <c r="A668" s="10"/>
      <c r="B668" s="10"/>
      <c r="C668" s="10"/>
      <c r="D668" s="10"/>
      <c r="E668" s="10"/>
      <c r="F668" s="10"/>
      <c r="G668" s="10"/>
      <c r="H668" s="10"/>
      <c r="I668" s="9"/>
    </row>
    <row r="669" spans="1:9" ht="14.25" customHeight="1" x14ac:dyDescent="0.35">
      <c r="A669" s="10"/>
      <c r="B669" s="10"/>
      <c r="C669" s="10"/>
      <c r="D669" s="10"/>
      <c r="E669" s="10"/>
      <c r="F669" s="10"/>
      <c r="G669" s="10"/>
      <c r="H669" s="10"/>
      <c r="I669" s="9"/>
    </row>
    <row r="670" spans="1:9" ht="14.25" customHeight="1" x14ac:dyDescent="0.35">
      <c r="A670" s="10"/>
      <c r="B670" s="10"/>
      <c r="C670" s="10"/>
      <c r="D670" s="10"/>
      <c r="E670" s="10"/>
      <c r="F670" s="10"/>
      <c r="G670" s="10"/>
      <c r="H670" s="10"/>
      <c r="I670" s="9"/>
    </row>
    <row r="671" spans="1:9" ht="14.25" customHeight="1" x14ac:dyDescent="0.35">
      <c r="A671" s="10"/>
      <c r="B671" s="10"/>
      <c r="C671" s="10"/>
      <c r="D671" s="10"/>
      <c r="E671" s="10"/>
      <c r="F671" s="10"/>
      <c r="G671" s="10"/>
      <c r="H671" s="10"/>
      <c r="I671" s="9"/>
    </row>
    <row r="672" spans="1:9" ht="14.25" customHeight="1" x14ac:dyDescent="0.35">
      <c r="A672" s="10"/>
      <c r="B672" s="10"/>
      <c r="C672" s="10"/>
      <c r="D672" s="10"/>
      <c r="E672" s="10"/>
      <c r="F672" s="10"/>
      <c r="G672" s="10"/>
      <c r="H672" s="10"/>
      <c r="I672" s="9"/>
    </row>
    <row r="673" spans="1:9" ht="14.25" customHeight="1" x14ac:dyDescent="0.35">
      <c r="A673" s="10"/>
      <c r="B673" s="10"/>
      <c r="C673" s="10"/>
      <c r="D673" s="10"/>
      <c r="E673" s="10"/>
      <c r="F673" s="10"/>
      <c r="G673" s="10"/>
      <c r="H673" s="10"/>
      <c r="I673" s="9"/>
    </row>
    <row r="674" spans="1:9" ht="14.25" customHeight="1" x14ac:dyDescent="0.35">
      <c r="A674" s="10"/>
      <c r="B674" s="10"/>
      <c r="C674" s="10"/>
      <c r="D674" s="10"/>
      <c r="E674" s="10"/>
      <c r="F674" s="10"/>
      <c r="G674" s="10"/>
      <c r="H674" s="10"/>
      <c r="I674" s="9"/>
    </row>
    <row r="675" spans="1:9" ht="14.25" customHeight="1" x14ac:dyDescent="0.35">
      <c r="A675" s="10"/>
      <c r="B675" s="10"/>
      <c r="C675" s="10"/>
      <c r="D675" s="10"/>
      <c r="E675" s="10"/>
      <c r="F675" s="10"/>
      <c r="G675" s="10"/>
      <c r="H675" s="10"/>
      <c r="I675" s="9"/>
    </row>
    <row r="676" spans="1:9" ht="14.25" customHeight="1" x14ac:dyDescent="0.35">
      <c r="A676" s="10"/>
      <c r="B676" s="10"/>
      <c r="C676" s="10"/>
      <c r="D676" s="10"/>
      <c r="E676" s="10"/>
      <c r="F676" s="10"/>
      <c r="G676" s="10"/>
      <c r="H676" s="10"/>
      <c r="I676" s="9"/>
    </row>
    <row r="677" spans="1:9" ht="14.25" customHeight="1" x14ac:dyDescent="0.35">
      <c r="A677" s="10"/>
      <c r="B677" s="10"/>
      <c r="C677" s="10"/>
      <c r="D677" s="10"/>
      <c r="E677" s="10"/>
      <c r="F677" s="10"/>
      <c r="G677" s="10"/>
      <c r="H677" s="10"/>
      <c r="I677" s="9"/>
    </row>
    <row r="678" spans="1:9" ht="14.25" customHeight="1" x14ac:dyDescent="0.35">
      <c r="A678" s="10"/>
      <c r="B678" s="10"/>
      <c r="C678" s="10"/>
      <c r="D678" s="10"/>
      <c r="E678" s="10"/>
      <c r="F678" s="10"/>
      <c r="G678" s="10"/>
      <c r="H678" s="10"/>
      <c r="I678" s="9"/>
    </row>
    <row r="679" spans="1:9" ht="14.25" customHeight="1" x14ac:dyDescent="0.35">
      <c r="A679" s="10"/>
      <c r="B679" s="10"/>
      <c r="C679" s="10"/>
      <c r="D679" s="10"/>
      <c r="E679" s="10"/>
      <c r="F679" s="10"/>
      <c r="G679" s="10"/>
      <c r="H679" s="10"/>
      <c r="I679" s="9"/>
    </row>
    <row r="680" spans="1:9" ht="14.25" customHeight="1" x14ac:dyDescent="0.35">
      <c r="A680" s="10"/>
      <c r="B680" s="10"/>
      <c r="C680" s="10"/>
      <c r="D680" s="10"/>
      <c r="E680" s="10"/>
      <c r="F680" s="10"/>
      <c r="G680" s="10"/>
      <c r="H680" s="10"/>
      <c r="I680" s="9"/>
    </row>
    <row r="681" spans="1:9" ht="14.25" customHeight="1" x14ac:dyDescent="0.35">
      <c r="A681" s="10"/>
      <c r="B681" s="10"/>
      <c r="C681" s="10"/>
      <c r="D681" s="10"/>
      <c r="E681" s="10"/>
      <c r="F681" s="10"/>
      <c r="G681" s="10"/>
      <c r="H681" s="10"/>
      <c r="I681" s="9"/>
    </row>
    <row r="682" spans="1:9" ht="14.25" customHeight="1" x14ac:dyDescent="0.35">
      <c r="A682" s="10"/>
      <c r="B682" s="10"/>
      <c r="C682" s="10"/>
      <c r="D682" s="10"/>
      <c r="E682" s="10"/>
      <c r="F682" s="10"/>
      <c r="G682" s="10"/>
      <c r="H682" s="10"/>
      <c r="I682" s="9"/>
    </row>
    <row r="683" spans="1:9" ht="14.25" customHeight="1" x14ac:dyDescent="0.35">
      <c r="A683" s="10"/>
      <c r="B683" s="10"/>
      <c r="C683" s="10"/>
      <c r="D683" s="10"/>
      <c r="E683" s="10"/>
      <c r="F683" s="10"/>
      <c r="G683" s="10"/>
      <c r="H683" s="10"/>
      <c r="I683" s="9"/>
    </row>
    <row r="684" spans="1:9" ht="14.25" customHeight="1" x14ac:dyDescent="0.35">
      <c r="A684" s="10"/>
      <c r="B684" s="10"/>
      <c r="C684" s="10"/>
      <c r="D684" s="10"/>
      <c r="E684" s="10"/>
      <c r="F684" s="10"/>
      <c r="G684" s="10"/>
      <c r="H684" s="10"/>
      <c r="I684" s="9"/>
    </row>
    <row r="685" spans="1:9" ht="14.25" customHeight="1" x14ac:dyDescent="0.35">
      <c r="A685" s="10"/>
      <c r="B685" s="10"/>
      <c r="C685" s="10"/>
      <c r="D685" s="10"/>
      <c r="E685" s="10"/>
      <c r="F685" s="10"/>
      <c r="G685" s="10"/>
      <c r="H685" s="10"/>
      <c r="I685" s="9"/>
    </row>
    <row r="686" spans="1:9" ht="14.25" customHeight="1" x14ac:dyDescent="0.35">
      <c r="A686" s="10"/>
      <c r="B686" s="10"/>
      <c r="C686" s="10"/>
      <c r="D686" s="10"/>
      <c r="E686" s="10"/>
      <c r="F686" s="10"/>
      <c r="G686" s="10"/>
      <c r="H686" s="10"/>
      <c r="I686" s="9"/>
    </row>
    <row r="687" spans="1:9" ht="14.25" customHeight="1" x14ac:dyDescent="0.35">
      <c r="A687" s="10"/>
      <c r="B687" s="10"/>
      <c r="C687" s="10"/>
      <c r="D687" s="10"/>
      <c r="E687" s="10"/>
      <c r="F687" s="10"/>
      <c r="G687" s="10"/>
      <c r="H687" s="10"/>
      <c r="I687" s="9"/>
    </row>
    <row r="688" spans="1:9" ht="14.25" customHeight="1" x14ac:dyDescent="0.35">
      <c r="A688" s="10"/>
      <c r="B688" s="10"/>
      <c r="C688" s="10"/>
      <c r="D688" s="10"/>
      <c r="E688" s="10"/>
      <c r="F688" s="10"/>
      <c r="G688" s="10"/>
      <c r="H688" s="10"/>
      <c r="I688" s="9"/>
    </row>
    <row r="689" spans="1:9" ht="14.25" customHeight="1" x14ac:dyDescent="0.35">
      <c r="A689" s="10"/>
      <c r="B689" s="10"/>
      <c r="C689" s="10"/>
      <c r="D689" s="10"/>
      <c r="E689" s="10"/>
      <c r="F689" s="10"/>
      <c r="G689" s="10"/>
      <c r="H689" s="10"/>
      <c r="I689" s="9"/>
    </row>
    <row r="690" spans="1:9" ht="14.25" customHeight="1" x14ac:dyDescent="0.35">
      <c r="A690" s="10"/>
      <c r="B690" s="10"/>
      <c r="C690" s="10"/>
      <c r="D690" s="10"/>
      <c r="E690" s="10"/>
      <c r="F690" s="10"/>
      <c r="G690" s="10"/>
      <c r="H690" s="10"/>
      <c r="I690" s="9"/>
    </row>
    <row r="691" spans="1:9" ht="14.25" customHeight="1" x14ac:dyDescent="0.35">
      <c r="A691" s="10"/>
      <c r="B691" s="10"/>
      <c r="C691" s="10"/>
      <c r="D691" s="10"/>
      <c r="E691" s="10"/>
      <c r="F691" s="10"/>
      <c r="G691" s="10"/>
      <c r="H691" s="10"/>
      <c r="I691" s="9"/>
    </row>
    <row r="692" spans="1:9" ht="14.25" customHeight="1" x14ac:dyDescent="0.35">
      <c r="A692" s="10"/>
      <c r="B692" s="10"/>
      <c r="C692" s="10"/>
      <c r="D692" s="10"/>
      <c r="E692" s="10"/>
      <c r="F692" s="10"/>
      <c r="G692" s="10"/>
      <c r="H692" s="10"/>
      <c r="I692" s="9"/>
    </row>
    <row r="693" spans="1:9" ht="14.25" customHeight="1" x14ac:dyDescent="0.35">
      <c r="A693" s="10"/>
      <c r="B693" s="10"/>
      <c r="C693" s="10"/>
      <c r="D693" s="10"/>
      <c r="E693" s="10"/>
      <c r="F693" s="10"/>
      <c r="G693" s="10"/>
      <c r="H693" s="10"/>
      <c r="I693" s="9"/>
    </row>
    <row r="694" spans="1:9" ht="14.25" customHeight="1" x14ac:dyDescent="0.35">
      <c r="A694" s="10"/>
      <c r="B694" s="10"/>
      <c r="C694" s="10"/>
      <c r="D694" s="10"/>
      <c r="E694" s="10"/>
      <c r="F694" s="10"/>
      <c r="G694" s="10"/>
      <c r="H694" s="10"/>
      <c r="I694" s="9"/>
    </row>
    <row r="695" spans="1:9" ht="14.25" customHeight="1" x14ac:dyDescent="0.35">
      <c r="A695" s="10"/>
      <c r="B695" s="10"/>
      <c r="C695" s="10"/>
      <c r="D695" s="10"/>
      <c r="E695" s="10"/>
      <c r="F695" s="10"/>
      <c r="G695" s="10"/>
      <c r="H695" s="10"/>
      <c r="I695" s="9"/>
    </row>
    <row r="696" spans="1:9" ht="14.25" customHeight="1" x14ac:dyDescent="0.35">
      <c r="A696" s="10"/>
      <c r="B696" s="10"/>
      <c r="C696" s="10"/>
      <c r="D696" s="10"/>
      <c r="E696" s="10"/>
      <c r="F696" s="10"/>
      <c r="G696" s="10"/>
      <c r="H696" s="10"/>
      <c r="I696" s="9"/>
    </row>
    <row r="697" spans="1:9" ht="14.25" customHeight="1" x14ac:dyDescent="0.35">
      <c r="A697" s="10"/>
      <c r="B697" s="10"/>
      <c r="C697" s="10"/>
      <c r="D697" s="10"/>
      <c r="E697" s="10"/>
      <c r="F697" s="10"/>
      <c r="G697" s="10"/>
      <c r="H697" s="10"/>
      <c r="I697" s="9"/>
    </row>
    <row r="698" spans="1:9" ht="14.25" customHeight="1" x14ac:dyDescent="0.35">
      <c r="A698" s="10"/>
      <c r="B698" s="10"/>
      <c r="C698" s="10"/>
      <c r="D698" s="10"/>
      <c r="E698" s="10"/>
      <c r="F698" s="10"/>
      <c r="G698" s="10"/>
      <c r="H698" s="10"/>
      <c r="I698" s="9"/>
    </row>
    <row r="699" spans="1:9" ht="14.25" customHeight="1" x14ac:dyDescent="0.35">
      <c r="A699" s="10"/>
      <c r="B699" s="10"/>
      <c r="C699" s="10"/>
      <c r="D699" s="10"/>
      <c r="E699" s="10"/>
      <c r="F699" s="10"/>
      <c r="G699" s="10"/>
      <c r="H699" s="10"/>
      <c r="I699" s="9"/>
    </row>
    <row r="700" spans="1:9" ht="14.25" customHeight="1" x14ac:dyDescent="0.35">
      <c r="A700" s="10"/>
      <c r="B700" s="10"/>
      <c r="C700" s="10"/>
      <c r="D700" s="10"/>
      <c r="E700" s="10"/>
      <c r="F700" s="10"/>
      <c r="G700" s="10"/>
      <c r="H700" s="10"/>
      <c r="I700" s="9"/>
    </row>
    <row r="701" spans="1:9" ht="14.25" customHeight="1" x14ac:dyDescent="0.35">
      <c r="A701" s="10"/>
      <c r="B701" s="10"/>
      <c r="C701" s="10"/>
      <c r="D701" s="10"/>
      <c r="E701" s="10"/>
      <c r="F701" s="10"/>
      <c r="G701" s="10"/>
      <c r="H701" s="10"/>
      <c r="I701" s="9"/>
    </row>
    <row r="702" spans="1:9" ht="14.25" customHeight="1" x14ac:dyDescent="0.35">
      <c r="A702" s="10"/>
      <c r="B702" s="10"/>
      <c r="C702" s="10"/>
      <c r="D702" s="10"/>
      <c r="E702" s="10"/>
      <c r="F702" s="10"/>
      <c r="G702" s="10"/>
      <c r="H702" s="10"/>
      <c r="I702" s="9"/>
    </row>
    <row r="703" spans="1:9" ht="14.25" customHeight="1" x14ac:dyDescent="0.35">
      <c r="A703" s="10"/>
      <c r="B703" s="10"/>
      <c r="C703" s="10"/>
      <c r="D703" s="10"/>
      <c r="E703" s="10"/>
      <c r="F703" s="10"/>
      <c r="G703" s="10"/>
      <c r="H703" s="10"/>
      <c r="I703" s="9"/>
    </row>
    <row r="704" spans="1:9" ht="14.25" customHeight="1" x14ac:dyDescent="0.35">
      <c r="A704" s="10"/>
      <c r="B704" s="10"/>
      <c r="C704" s="10"/>
      <c r="D704" s="10"/>
      <c r="E704" s="10"/>
      <c r="F704" s="10"/>
      <c r="G704" s="10"/>
      <c r="H704" s="10"/>
      <c r="I704" s="9"/>
    </row>
    <row r="705" spans="1:9" ht="14.25" customHeight="1" x14ac:dyDescent="0.35">
      <c r="A705" s="10"/>
      <c r="B705" s="10"/>
      <c r="C705" s="10"/>
      <c r="D705" s="10"/>
      <c r="E705" s="10"/>
      <c r="F705" s="10"/>
      <c r="G705" s="10"/>
      <c r="H705" s="10"/>
      <c r="I705" s="9"/>
    </row>
    <row r="706" spans="1:9" ht="14.25" customHeight="1" x14ac:dyDescent="0.35">
      <c r="A706" s="10"/>
      <c r="B706" s="10"/>
      <c r="C706" s="10"/>
      <c r="D706" s="10"/>
      <c r="E706" s="10"/>
      <c r="F706" s="10"/>
      <c r="G706" s="10"/>
      <c r="H706" s="10"/>
      <c r="I706" s="9"/>
    </row>
    <row r="707" spans="1:9" ht="14.25" customHeight="1" x14ac:dyDescent="0.35">
      <c r="A707" s="10"/>
      <c r="B707" s="10"/>
      <c r="C707" s="10"/>
      <c r="D707" s="10"/>
      <c r="E707" s="10"/>
      <c r="F707" s="10"/>
      <c r="G707" s="10"/>
      <c r="H707" s="10"/>
      <c r="I707" s="9"/>
    </row>
    <row r="708" spans="1:9" ht="14.25" customHeight="1" x14ac:dyDescent="0.35">
      <c r="A708" s="10"/>
      <c r="B708" s="10"/>
      <c r="C708" s="10"/>
      <c r="D708" s="10"/>
      <c r="E708" s="10"/>
      <c r="F708" s="10"/>
      <c r="G708" s="10"/>
      <c r="H708" s="10"/>
      <c r="I708" s="9"/>
    </row>
    <row r="709" spans="1:9" ht="14.25" customHeight="1" x14ac:dyDescent="0.35">
      <c r="A709" s="10"/>
      <c r="B709" s="10"/>
      <c r="C709" s="10"/>
      <c r="D709" s="10"/>
      <c r="E709" s="10"/>
      <c r="F709" s="10"/>
      <c r="G709" s="10"/>
      <c r="H709" s="10"/>
      <c r="I709" s="9"/>
    </row>
    <row r="710" spans="1:9" ht="14.25" customHeight="1" x14ac:dyDescent="0.35">
      <c r="A710" s="10"/>
      <c r="B710" s="10"/>
      <c r="C710" s="10"/>
      <c r="D710" s="10"/>
      <c r="E710" s="10"/>
      <c r="F710" s="10"/>
      <c r="G710" s="10"/>
      <c r="H710" s="10"/>
      <c r="I710" s="9"/>
    </row>
    <row r="711" spans="1:9" ht="14.25" customHeight="1" x14ac:dyDescent="0.35">
      <c r="A711" s="10"/>
      <c r="B711" s="10"/>
      <c r="C711" s="10"/>
      <c r="D711" s="10"/>
      <c r="E711" s="10"/>
      <c r="F711" s="10"/>
      <c r="G711" s="10"/>
      <c r="H711" s="10"/>
      <c r="I711" s="9"/>
    </row>
    <row r="712" spans="1:9" ht="14.25" customHeight="1" x14ac:dyDescent="0.35">
      <c r="A712" s="10"/>
      <c r="B712" s="10"/>
      <c r="C712" s="10"/>
      <c r="D712" s="10"/>
      <c r="E712" s="10"/>
      <c r="F712" s="10"/>
      <c r="G712" s="10"/>
      <c r="H712" s="10"/>
      <c r="I712" s="9"/>
    </row>
    <row r="713" spans="1:9" ht="14.25" customHeight="1" x14ac:dyDescent="0.35">
      <c r="A713" s="10"/>
      <c r="B713" s="10"/>
      <c r="C713" s="10"/>
      <c r="D713" s="10"/>
      <c r="E713" s="10"/>
      <c r="F713" s="10"/>
      <c r="G713" s="10"/>
      <c r="H713" s="10"/>
      <c r="I713" s="9"/>
    </row>
    <row r="714" spans="1:9" ht="14.25" customHeight="1" x14ac:dyDescent="0.35">
      <c r="A714" s="10"/>
      <c r="B714" s="10"/>
      <c r="C714" s="10"/>
      <c r="D714" s="10"/>
      <c r="E714" s="10"/>
      <c r="F714" s="10"/>
      <c r="G714" s="10"/>
      <c r="H714" s="10"/>
      <c r="I714" s="9"/>
    </row>
    <row r="715" spans="1:9" ht="14.25" customHeight="1" x14ac:dyDescent="0.35">
      <c r="A715" s="10"/>
      <c r="B715" s="10"/>
      <c r="C715" s="10"/>
      <c r="D715" s="10"/>
      <c r="E715" s="10"/>
      <c r="F715" s="10"/>
      <c r="G715" s="10"/>
      <c r="H715" s="10"/>
      <c r="I715" s="9"/>
    </row>
    <row r="716" spans="1:9" ht="14.25" customHeight="1" x14ac:dyDescent="0.35">
      <c r="A716" s="10"/>
      <c r="B716" s="10"/>
      <c r="C716" s="10"/>
      <c r="D716" s="10"/>
      <c r="E716" s="10"/>
      <c r="F716" s="10"/>
      <c r="G716" s="10"/>
      <c r="H716" s="10"/>
      <c r="I716" s="9"/>
    </row>
    <row r="717" spans="1:9" ht="14.25" customHeight="1" x14ac:dyDescent="0.35">
      <c r="A717" s="10"/>
      <c r="B717" s="10"/>
      <c r="C717" s="10"/>
      <c r="D717" s="10"/>
      <c r="E717" s="10"/>
      <c r="F717" s="10"/>
      <c r="G717" s="10"/>
      <c r="H717" s="10"/>
      <c r="I717" s="9"/>
    </row>
    <row r="718" spans="1:9" ht="14.25" customHeight="1" x14ac:dyDescent="0.35">
      <c r="A718" s="10"/>
      <c r="B718" s="10"/>
      <c r="C718" s="10"/>
      <c r="D718" s="10"/>
      <c r="E718" s="10"/>
      <c r="F718" s="10"/>
      <c r="G718" s="10"/>
      <c r="H718" s="10"/>
      <c r="I718" s="9"/>
    </row>
    <row r="719" spans="1:9" ht="14.25" customHeight="1" x14ac:dyDescent="0.35">
      <c r="A719" s="10"/>
      <c r="B719" s="10"/>
      <c r="C719" s="10"/>
      <c r="D719" s="10"/>
      <c r="E719" s="10"/>
      <c r="F719" s="10"/>
      <c r="G719" s="10"/>
      <c r="H719" s="10"/>
      <c r="I719" s="9"/>
    </row>
    <row r="720" spans="1:9" ht="14.25" customHeight="1" x14ac:dyDescent="0.35">
      <c r="A720" s="10"/>
      <c r="B720" s="10"/>
      <c r="C720" s="10"/>
      <c r="D720" s="10"/>
      <c r="E720" s="10"/>
      <c r="F720" s="10"/>
      <c r="G720" s="10"/>
      <c r="H720" s="10"/>
      <c r="I720" s="9"/>
    </row>
    <row r="721" spans="1:9" ht="14.25" customHeight="1" x14ac:dyDescent="0.35">
      <c r="A721" s="10"/>
      <c r="B721" s="10"/>
      <c r="C721" s="10"/>
      <c r="D721" s="10"/>
      <c r="E721" s="10"/>
      <c r="F721" s="10"/>
      <c r="G721" s="10"/>
      <c r="H721" s="10"/>
      <c r="I721" s="9"/>
    </row>
    <row r="722" spans="1:9" ht="14.25" customHeight="1" x14ac:dyDescent="0.35">
      <c r="A722" s="10"/>
      <c r="B722" s="10"/>
      <c r="C722" s="10"/>
      <c r="D722" s="10"/>
      <c r="E722" s="10"/>
      <c r="F722" s="10"/>
      <c r="G722" s="10"/>
      <c r="H722" s="10"/>
      <c r="I722" s="9"/>
    </row>
    <row r="723" spans="1:9" ht="14.25" customHeight="1" x14ac:dyDescent="0.35">
      <c r="A723" s="10"/>
      <c r="B723" s="10"/>
      <c r="C723" s="10"/>
      <c r="D723" s="10"/>
      <c r="E723" s="10"/>
      <c r="F723" s="10"/>
      <c r="G723" s="10"/>
      <c r="H723" s="10"/>
      <c r="I723" s="9"/>
    </row>
    <row r="724" spans="1:9" ht="14.25" customHeight="1" x14ac:dyDescent="0.35">
      <c r="A724" s="10"/>
      <c r="B724" s="10"/>
      <c r="C724" s="10"/>
      <c r="D724" s="10"/>
      <c r="E724" s="10"/>
      <c r="F724" s="10"/>
      <c r="G724" s="10"/>
      <c r="H724" s="10"/>
      <c r="I724" s="9"/>
    </row>
    <row r="725" spans="1:9" ht="14.25" customHeight="1" x14ac:dyDescent="0.35">
      <c r="A725" s="10"/>
      <c r="B725" s="10"/>
      <c r="C725" s="10"/>
      <c r="D725" s="10"/>
      <c r="E725" s="10"/>
      <c r="F725" s="10"/>
      <c r="G725" s="10"/>
      <c r="H725" s="10"/>
      <c r="I725" s="9"/>
    </row>
    <row r="726" spans="1:9" ht="14.25" customHeight="1" x14ac:dyDescent="0.35">
      <c r="A726" s="10"/>
      <c r="B726" s="10"/>
      <c r="C726" s="10"/>
      <c r="D726" s="10"/>
      <c r="E726" s="10"/>
      <c r="F726" s="10"/>
      <c r="G726" s="10"/>
      <c r="H726" s="10"/>
      <c r="I726" s="9"/>
    </row>
    <row r="727" spans="1:9" ht="14.25" customHeight="1" x14ac:dyDescent="0.35">
      <c r="A727" s="10"/>
      <c r="B727" s="10"/>
      <c r="C727" s="10"/>
      <c r="D727" s="10"/>
      <c r="E727" s="10"/>
      <c r="F727" s="10"/>
      <c r="G727" s="10"/>
      <c r="H727" s="10"/>
      <c r="I727" s="9"/>
    </row>
    <row r="728" spans="1:9" ht="14.25" customHeight="1" x14ac:dyDescent="0.35">
      <c r="A728" s="10"/>
      <c r="B728" s="10"/>
      <c r="C728" s="10"/>
      <c r="D728" s="10"/>
      <c r="E728" s="10"/>
      <c r="F728" s="10"/>
      <c r="G728" s="10"/>
      <c r="H728" s="10"/>
      <c r="I728" s="9"/>
    </row>
    <row r="729" spans="1:9" ht="14.25" customHeight="1" x14ac:dyDescent="0.35">
      <c r="A729" s="10"/>
      <c r="B729" s="10"/>
      <c r="C729" s="10"/>
      <c r="D729" s="10"/>
      <c r="E729" s="10"/>
      <c r="F729" s="10"/>
      <c r="G729" s="10"/>
      <c r="H729" s="10"/>
      <c r="I729" s="9"/>
    </row>
    <row r="730" spans="1:9" ht="14.25" customHeight="1" x14ac:dyDescent="0.35">
      <c r="A730" s="10"/>
      <c r="B730" s="10"/>
      <c r="C730" s="10"/>
      <c r="D730" s="10"/>
      <c r="E730" s="10"/>
      <c r="F730" s="10"/>
      <c r="G730" s="10"/>
      <c r="H730" s="10"/>
      <c r="I730" s="9"/>
    </row>
    <row r="731" spans="1:9" ht="14.25" customHeight="1" x14ac:dyDescent="0.35">
      <c r="A731" s="10"/>
      <c r="B731" s="10"/>
      <c r="C731" s="10"/>
      <c r="D731" s="10"/>
      <c r="E731" s="10"/>
      <c r="F731" s="10"/>
      <c r="G731" s="10"/>
      <c r="H731" s="10"/>
      <c r="I731" s="9"/>
    </row>
    <row r="732" spans="1:9" ht="14.25" customHeight="1" x14ac:dyDescent="0.35">
      <c r="A732" s="10"/>
      <c r="B732" s="10"/>
      <c r="C732" s="10"/>
      <c r="D732" s="10"/>
      <c r="E732" s="10"/>
      <c r="F732" s="10"/>
      <c r="G732" s="10"/>
      <c r="H732" s="10"/>
      <c r="I732" s="9"/>
    </row>
    <row r="733" spans="1:9" ht="14.25" customHeight="1" x14ac:dyDescent="0.35">
      <c r="A733" s="10"/>
      <c r="B733" s="10"/>
      <c r="C733" s="10"/>
      <c r="D733" s="10"/>
      <c r="E733" s="10"/>
      <c r="F733" s="10"/>
      <c r="G733" s="10"/>
      <c r="H733" s="10"/>
      <c r="I733" s="9"/>
    </row>
    <row r="734" spans="1:9" ht="14.25" customHeight="1" x14ac:dyDescent="0.35">
      <c r="A734" s="10"/>
      <c r="B734" s="10"/>
      <c r="C734" s="10"/>
      <c r="D734" s="10"/>
      <c r="E734" s="10"/>
      <c r="F734" s="10"/>
      <c r="G734" s="10"/>
      <c r="H734" s="10"/>
      <c r="I734" s="9"/>
    </row>
    <row r="735" spans="1:9" ht="14.25" customHeight="1" x14ac:dyDescent="0.35">
      <c r="A735" s="10"/>
      <c r="B735" s="10"/>
      <c r="C735" s="10"/>
      <c r="D735" s="10"/>
      <c r="E735" s="10"/>
      <c r="F735" s="10"/>
      <c r="G735" s="10"/>
      <c r="H735" s="10"/>
      <c r="I735" s="9"/>
    </row>
    <row r="736" spans="1:9" ht="14.25" customHeight="1" x14ac:dyDescent="0.35">
      <c r="A736" s="10"/>
      <c r="B736" s="10"/>
      <c r="C736" s="10"/>
      <c r="D736" s="10"/>
      <c r="E736" s="10"/>
      <c r="F736" s="10"/>
      <c r="G736" s="10"/>
      <c r="H736" s="10"/>
      <c r="I736" s="9"/>
    </row>
    <row r="737" spans="1:9" ht="14.25" customHeight="1" x14ac:dyDescent="0.35">
      <c r="A737" s="10"/>
      <c r="B737" s="10"/>
      <c r="C737" s="10"/>
      <c r="D737" s="10"/>
      <c r="E737" s="10"/>
      <c r="F737" s="10"/>
      <c r="G737" s="10"/>
      <c r="H737" s="10"/>
      <c r="I737" s="9"/>
    </row>
    <row r="738" spans="1:9" ht="14.25" customHeight="1" x14ac:dyDescent="0.35">
      <c r="A738" s="10"/>
      <c r="B738" s="10"/>
      <c r="C738" s="10"/>
      <c r="D738" s="10"/>
      <c r="E738" s="10"/>
      <c r="F738" s="10"/>
      <c r="G738" s="10"/>
      <c r="H738" s="10"/>
      <c r="I738" s="9"/>
    </row>
    <row r="739" spans="1:9" ht="14.25" customHeight="1" x14ac:dyDescent="0.35">
      <c r="A739" s="10"/>
      <c r="B739" s="10"/>
      <c r="C739" s="10"/>
      <c r="D739" s="10"/>
      <c r="E739" s="10"/>
      <c r="F739" s="10"/>
      <c r="G739" s="10"/>
      <c r="H739" s="10"/>
      <c r="I739" s="9"/>
    </row>
    <row r="740" spans="1:9" ht="14.25" customHeight="1" x14ac:dyDescent="0.35">
      <c r="A740" s="10"/>
      <c r="B740" s="10"/>
      <c r="C740" s="10"/>
      <c r="D740" s="10"/>
      <c r="E740" s="10"/>
      <c r="F740" s="10"/>
      <c r="G740" s="10"/>
      <c r="H740" s="10"/>
      <c r="I740" s="9"/>
    </row>
    <row r="741" spans="1:9" ht="14.25" customHeight="1" x14ac:dyDescent="0.35">
      <c r="A741" s="10"/>
      <c r="B741" s="10"/>
      <c r="C741" s="10"/>
      <c r="D741" s="10"/>
      <c r="E741" s="10"/>
      <c r="F741" s="10"/>
      <c r="G741" s="10"/>
      <c r="H741" s="10"/>
      <c r="I741" s="9"/>
    </row>
    <row r="742" spans="1:9" ht="14.25" customHeight="1" x14ac:dyDescent="0.35">
      <c r="A742" s="10"/>
      <c r="B742" s="10"/>
      <c r="C742" s="10"/>
      <c r="D742" s="10"/>
      <c r="E742" s="10"/>
      <c r="F742" s="10"/>
      <c r="G742" s="10"/>
      <c r="H742" s="10"/>
      <c r="I742" s="9"/>
    </row>
    <row r="743" spans="1:9" ht="14.25" customHeight="1" x14ac:dyDescent="0.35">
      <c r="A743" s="10"/>
      <c r="B743" s="10"/>
      <c r="C743" s="10"/>
      <c r="D743" s="10"/>
      <c r="E743" s="10"/>
      <c r="F743" s="10"/>
      <c r="G743" s="10"/>
      <c r="H743" s="10"/>
      <c r="I743" s="9"/>
    </row>
    <row r="744" spans="1:9" ht="14.25" customHeight="1" x14ac:dyDescent="0.35">
      <c r="A744" s="10"/>
      <c r="B744" s="10"/>
      <c r="C744" s="10"/>
      <c r="D744" s="10"/>
      <c r="E744" s="10"/>
      <c r="F744" s="10"/>
      <c r="G744" s="10"/>
      <c r="H744" s="10"/>
      <c r="I744" s="9"/>
    </row>
    <row r="745" spans="1:9" ht="14.25" customHeight="1" x14ac:dyDescent="0.35">
      <c r="A745" s="10"/>
      <c r="B745" s="10"/>
      <c r="C745" s="10"/>
      <c r="D745" s="10"/>
      <c r="E745" s="10"/>
      <c r="F745" s="10"/>
      <c r="G745" s="10"/>
      <c r="H745" s="10"/>
      <c r="I745" s="9"/>
    </row>
    <row r="746" spans="1:9" ht="14.25" customHeight="1" x14ac:dyDescent="0.35">
      <c r="A746" s="10"/>
      <c r="B746" s="10"/>
      <c r="C746" s="10"/>
      <c r="D746" s="10"/>
      <c r="E746" s="10"/>
      <c r="F746" s="10"/>
      <c r="G746" s="10"/>
      <c r="H746" s="10"/>
      <c r="I746" s="9"/>
    </row>
    <row r="747" spans="1:9" ht="14.25" customHeight="1" x14ac:dyDescent="0.35">
      <c r="A747" s="10"/>
      <c r="B747" s="10"/>
      <c r="C747" s="10"/>
      <c r="D747" s="10"/>
      <c r="E747" s="10"/>
      <c r="F747" s="10"/>
      <c r="G747" s="10"/>
      <c r="H747" s="10"/>
      <c r="I747" s="9"/>
    </row>
    <row r="748" spans="1:9" ht="14.25" customHeight="1" x14ac:dyDescent="0.35">
      <c r="A748" s="10"/>
      <c r="B748" s="10"/>
      <c r="C748" s="10"/>
      <c r="D748" s="10"/>
      <c r="E748" s="10"/>
      <c r="F748" s="10"/>
      <c r="G748" s="10"/>
      <c r="H748" s="10"/>
      <c r="I748" s="9"/>
    </row>
    <row r="749" spans="1:9" ht="14.25" customHeight="1" x14ac:dyDescent="0.35">
      <c r="A749" s="10"/>
      <c r="B749" s="10"/>
      <c r="C749" s="10"/>
      <c r="D749" s="10"/>
      <c r="E749" s="10"/>
      <c r="F749" s="10"/>
      <c r="G749" s="10"/>
      <c r="H749" s="10"/>
      <c r="I749" s="9"/>
    </row>
    <row r="750" spans="1:9" ht="14.25" customHeight="1" x14ac:dyDescent="0.35">
      <c r="A750" s="10"/>
      <c r="B750" s="10"/>
      <c r="C750" s="10"/>
      <c r="D750" s="10"/>
      <c r="E750" s="10"/>
      <c r="F750" s="10"/>
      <c r="G750" s="10"/>
      <c r="H750" s="10"/>
      <c r="I750" s="9"/>
    </row>
    <row r="751" spans="1:9" ht="14.25" customHeight="1" x14ac:dyDescent="0.35">
      <c r="A751" s="10"/>
      <c r="B751" s="10"/>
      <c r="C751" s="10"/>
      <c r="D751" s="10"/>
      <c r="E751" s="10"/>
      <c r="F751" s="10"/>
      <c r="G751" s="10"/>
      <c r="H751" s="10"/>
      <c r="I751" s="9"/>
    </row>
    <row r="752" spans="1:9" ht="14.25" customHeight="1" x14ac:dyDescent="0.35">
      <c r="A752" s="10"/>
      <c r="B752" s="10"/>
      <c r="C752" s="10"/>
      <c r="D752" s="10"/>
      <c r="E752" s="10"/>
      <c r="F752" s="10"/>
      <c r="G752" s="10"/>
      <c r="H752" s="10"/>
      <c r="I752" s="9"/>
    </row>
    <row r="753" spans="1:9" ht="14.25" customHeight="1" x14ac:dyDescent="0.35">
      <c r="A753" s="10"/>
      <c r="B753" s="10"/>
      <c r="C753" s="10"/>
      <c r="D753" s="10"/>
      <c r="E753" s="10"/>
      <c r="F753" s="10"/>
      <c r="G753" s="10"/>
      <c r="H753" s="10"/>
      <c r="I753" s="9"/>
    </row>
    <row r="754" spans="1:9" ht="14.25" customHeight="1" x14ac:dyDescent="0.35">
      <c r="A754" s="10"/>
      <c r="B754" s="10"/>
      <c r="C754" s="10"/>
      <c r="D754" s="10"/>
      <c r="E754" s="10"/>
      <c r="F754" s="10"/>
      <c r="G754" s="10"/>
      <c r="H754" s="10"/>
      <c r="I754" s="9"/>
    </row>
    <row r="755" spans="1:9" ht="14.25" customHeight="1" x14ac:dyDescent="0.35">
      <c r="A755" s="10"/>
      <c r="B755" s="10"/>
      <c r="C755" s="10"/>
      <c r="D755" s="10"/>
      <c r="E755" s="10"/>
      <c r="F755" s="10"/>
      <c r="G755" s="10"/>
      <c r="H755" s="10"/>
      <c r="I755" s="9"/>
    </row>
    <row r="756" spans="1:9" ht="14.25" customHeight="1" x14ac:dyDescent="0.35">
      <c r="A756" s="10"/>
      <c r="B756" s="10"/>
      <c r="C756" s="10"/>
      <c r="D756" s="10"/>
      <c r="E756" s="10"/>
      <c r="F756" s="10"/>
      <c r="G756" s="10"/>
      <c r="H756" s="10"/>
      <c r="I756" s="9"/>
    </row>
    <row r="757" spans="1:9" ht="14.25" customHeight="1" x14ac:dyDescent="0.35">
      <c r="A757" s="10"/>
      <c r="B757" s="10"/>
      <c r="C757" s="10"/>
      <c r="D757" s="10"/>
      <c r="E757" s="10"/>
      <c r="F757" s="10"/>
      <c r="G757" s="10"/>
      <c r="H757" s="10"/>
      <c r="I757" s="9"/>
    </row>
    <row r="758" spans="1:9" ht="14.25" customHeight="1" x14ac:dyDescent="0.35">
      <c r="A758" s="10"/>
      <c r="B758" s="10"/>
      <c r="C758" s="10"/>
      <c r="D758" s="10"/>
      <c r="E758" s="10"/>
      <c r="F758" s="10"/>
      <c r="G758" s="10"/>
      <c r="H758" s="10"/>
      <c r="I758" s="9"/>
    </row>
    <row r="759" spans="1:9" ht="14.25" customHeight="1" x14ac:dyDescent="0.35">
      <c r="A759" s="10"/>
      <c r="B759" s="10"/>
      <c r="C759" s="10"/>
      <c r="D759" s="10"/>
      <c r="E759" s="10"/>
      <c r="F759" s="10"/>
      <c r="G759" s="10"/>
      <c r="H759" s="10"/>
      <c r="I759" s="9"/>
    </row>
    <row r="760" spans="1:9" ht="14.25" customHeight="1" x14ac:dyDescent="0.35">
      <c r="A760" s="10"/>
      <c r="B760" s="10"/>
      <c r="C760" s="10"/>
      <c r="D760" s="10"/>
      <c r="E760" s="10"/>
      <c r="F760" s="10"/>
      <c r="G760" s="10"/>
      <c r="H760" s="10"/>
      <c r="I760" s="9"/>
    </row>
    <row r="761" spans="1:9" ht="14.25" customHeight="1" x14ac:dyDescent="0.35">
      <c r="A761" s="10"/>
      <c r="B761" s="10"/>
      <c r="C761" s="10"/>
      <c r="D761" s="10"/>
      <c r="E761" s="10"/>
      <c r="F761" s="10"/>
      <c r="G761" s="10"/>
      <c r="H761" s="10"/>
      <c r="I761" s="9"/>
    </row>
    <row r="762" spans="1:9" ht="14.25" customHeight="1" x14ac:dyDescent="0.35">
      <c r="A762" s="10"/>
      <c r="B762" s="10"/>
      <c r="C762" s="10"/>
      <c r="D762" s="10"/>
      <c r="E762" s="10"/>
      <c r="F762" s="10"/>
      <c r="G762" s="10"/>
      <c r="H762" s="10"/>
      <c r="I762" s="9"/>
    </row>
    <row r="763" spans="1:9" ht="14.25" customHeight="1" x14ac:dyDescent="0.35">
      <c r="A763" s="10"/>
      <c r="B763" s="10"/>
      <c r="C763" s="10"/>
      <c r="D763" s="10"/>
      <c r="E763" s="10"/>
      <c r="F763" s="10"/>
      <c r="G763" s="10"/>
      <c r="H763" s="10"/>
      <c r="I763" s="9"/>
    </row>
    <row r="764" spans="1:9" ht="14.25" customHeight="1" x14ac:dyDescent="0.35">
      <c r="A764" s="10"/>
      <c r="B764" s="10"/>
      <c r="C764" s="10"/>
      <c r="D764" s="10"/>
      <c r="E764" s="10"/>
      <c r="F764" s="10"/>
      <c r="G764" s="10"/>
      <c r="H764" s="10"/>
      <c r="I764" s="9"/>
    </row>
    <row r="765" spans="1:9" ht="14.25" customHeight="1" x14ac:dyDescent="0.35">
      <c r="A765" s="10"/>
      <c r="B765" s="10"/>
      <c r="C765" s="10"/>
      <c r="D765" s="10"/>
      <c r="E765" s="10"/>
      <c r="F765" s="10"/>
      <c r="G765" s="10"/>
      <c r="H765" s="10"/>
      <c r="I765" s="9"/>
    </row>
    <row r="766" spans="1:9" ht="14.25" customHeight="1" x14ac:dyDescent="0.35">
      <c r="A766" s="10"/>
      <c r="B766" s="10"/>
      <c r="C766" s="10"/>
      <c r="D766" s="10"/>
      <c r="E766" s="10"/>
      <c r="F766" s="10"/>
      <c r="G766" s="10"/>
      <c r="H766" s="10"/>
      <c r="I766" s="9"/>
    </row>
    <row r="767" spans="1:9" ht="14.25" customHeight="1" x14ac:dyDescent="0.35">
      <c r="A767" s="10"/>
      <c r="B767" s="10"/>
      <c r="C767" s="10"/>
      <c r="D767" s="10"/>
      <c r="E767" s="10"/>
      <c r="F767" s="10"/>
      <c r="G767" s="10"/>
      <c r="H767" s="10"/>
      <c r="I767" s="9"/>
    </row>
    <row r="768" spans="1:9" ht="14.25" customHeight="1" x14ac:dyDescent="0.35">
      <c r="A768" s="10"/>
      <c r="B768" s="10"/>
      <c r="C768" s="10"/>
      <c r="D768" s="10"/>
      <c r="E768" s="10"/>
      <c r="F768" s="10"/>
      <c r="G768" s="10"/>
      <c r="H768" s="10"/>
      <c r="I768" s="9"/>
    </row>
    <row r="769" spans="1:9" ht="14.25" customHeight="1" x14ac:dyDescent="0.35">
      <c r="A769" s="10"/>
      <c r="B769" s="10"/>
      <c r="C769" s="10"/>
      <c r="D769" s="10"/>
      <c r="E769" s="10"/>
      <c r="F769" s="10"/>
      <c r="G769" s="10"/>
      <c r="H769" s="10"/>
      <c r="I769" s="9"/>
    </row>
    <row r="770" spans="1:9" ht="14.25" customHeight="1" x14ac:dyDescent="0.35">
      <c r="A770" s="10"/>
      <c r="B770" s="10"/>
      <c r="C770" s="10"/>
      <c r="D770" s="10"/>
      <c r="E770" s="10"/>
      <c r="F770" s="10"/>
      <c r="G770" s="10"/>
      <c r="H770" s="10"/>
      <c r="I770" s="9"/>
    </row>
    <row r="771" spans="1:9" ht="14.25" customHeight="1" x14ac:dyDescent="0.35">
      <c r="A771" s="10"/>
      <c r="B771" s="10"/>
      <c r="C771" s="10"/>
      <c r="D771" s="10"/>
      <c r="E771" s="10"/>
      <c r="F771" s="10"/>
      <c r="G771" s="10"/>
      <c r="H771" s="10"/>
      <c r="I771" s="9"/>
    </row>
    <row r="772" spans="1:9" ht="14.25" customHeight="1" x14ac:dyDescent="0.35">
      <c r="A772" s="10"/>
      <c r="B772" s="10"/>
      <c r="C772" s="10"/>
      <c r="D772" s="10"/>
      <c r="E772" s="10"/>
      <c r="F772" s="10"/>
      <c r="G772" s="10"/>
      <c r="H772" s="10"/>
      <c r="I772" s="9"/>
    </row>
    <row r="773" spans="1:9" ht="14.25" customHeight="1" x14ac:dyDescent="0.35">
      <c r="A773" s="10"/>
      <c r="B773" s="10"/>
      <c r="C773" s="10"/>
      <c r="D773" s="10"/>
      <c r="E773" s="10"/>
      <c r="F773" s="10"/>
      <c r="G773" s="10"/>
      <c r="H773" s="10"/>
      <c r="I773" s="9"/>
    </row>
    <row r="774" spans="1:9" ht="14.25" customHeight="1" x14ac:dyDescent="0.35">
      <c r="A774" s="10"/>
      <c r="B774" s="10"/>
      <c r="C774" s="10"/>
      <c r="D774" s="10"/>
      <c r="E774" s="10"/>
      <c r="F774" s="10"/>
      <c r="G774" s="10"/>
      <c r="H774" s="10"/>
      <c r="I774" s="9"/>
    </row>
    <row r="775" spans="1:9" ht="14.25" customHeight="1" x14ac:dyDescent="0.35">
      <c r="A775" s="10"/>
      <c r="B775" s="10"/>
      <c r="C775" s="10"/>
      <c r="D775" s="10"/>
      <c r="E775" s="10"/>
      <c r="F775" s="10"/>
      <c r="G775" s="10"/>
      <c r="H775" s="10"/>
      <c r="I775" s="9"/>
    </row>
    <row r="776" spans="1:9" ht="14.25" customHeight="1" x14ac:dyDescent="0.35">
      <c r="A776" s="10"/>
      <c r="B776" s="10"/>
      <c r="C776" s="10"/>
      <c r="D776" s="10"/>
      <c r="E776" s="10"/>
      <c r="F776" s="10"/>
      <c r="G776" s="10"/>
      <c r="H776" s="10"/>
      <c r="I776" s="9"/>
    </row>
    <row r="777" spans="1:9" ht="14.25" customHeight="1" x14ac:dyDescent="0.35">
      <c r="A777" s="10"/>
      <c r="B777" s="10"/>
      <c r="C777" s="10"/>
      <c r="D777" s="10"/>
      <c r="E777" s="10"/>
      <c r="F777" s="10"/>
      <c r="G777" s="10"/>
      <c r="H777" s="10"/>
      <c r="I777" s="9"/>
    </row>
    <row r="778" spans="1:9" ht="14.25" customHeight="1" x14ac:dyDescent="0.35">
      <c r="A778" s="10"/>
      <c r="B778" s="10"/>
      <c r="C778" s="10"/>
      <c r="D778" s="10"/>
      <c r="E778" s="10"/>
      <c r="F778" s="10"/>
      <c r="G778" s="10"/>
      <c r="H778" s="10"/>
      <c r="I778" s="9"/>
    </row>
    <row r="779" spans="1:9" ht="14.25" customHeight="1" x14ac:dyDescent="0.35">
      <c r="A779" s="10"/>
      <c r="B779" s="10"/>
      <c r="C779" s="10"/>
      <c r="D779" s="10"/>
      <c r="E779" s="10"/>
      <c r="F779" s="10"/>
      <c r="G779" s="10"/>
      <c r="H779" s="10"/>
      <c r="I779" s="9"/>
    </row>
    <row r="780" spans="1:9" ht="14.25" customHeight="1" x14ac:dyDescent="0.35">
      <c r="A780" s="10"/>
      <c r="B780" s="10"/>
      <c r="C780" s="10"/>
      <c r="D780" s="10"/>
      <c r="E780" s="10"/>
      <c r="F780" s="10"/>
      <c r="G780" s="10"/>
      <c r="H780" s="10"/>
      <c r="I780" s="9"/>
    </row>
    <row r="781" spans="1:9" ht="14.25" customHeight="1" x14ac:dyDescent="0.35">
      <c r="A781" s="10"/>
      <c r="B781" s="10"/>
      <c r="C781" s="10"/>
      <c r="D781" s="10"/>
      <c r="E781" s="10"/>
      <c r="F781" s="10"/>
      <c r="G781" s="10"/>
      <c r="H781" s="10"/>
      <c r="I781" s="9"/>
    </row>
    <row r="782" spans="1:9" ht="14.25" customHeight="1" x14ac:dyDescent="0.35">
      <c r="A782" s="10"/>
      <c r="B782" s="10"/>
      <c r="C782" s="10"/>
      <c r="D782" s="10"/>
      <c r="E782" s="10"/>
      <c r="F782" s="10"/>
      <c r="G782" s="10"/>
      <c r="H782" s="10"/>
      <c r="I782" s="9"/>
    </row>
    <row r="783" spans="1:9" ht="14.25" customHeight="1" x14ac:dyDescent="0.35">
      <c r="A783" s="10"/>
      <c r="B783" s="10"/>
      <c r="C783" s="10"/>
      <c r="D783" s="10"/>
      <c r="E783" s="10"/>
      <c r="F783" s="10"/>
      <c r="G783" s="10"/>
      <c r="H783" s="10"/>
      <c r="I783" s="9"/>
    </row>
    <row r="784" spans="1:9" ht="14.25" customHeight="1" x14ac:dyDescent="0.35">
      <c r="A784" s="10"/>
      <c r="B784" s="10"/>
      <c r="C784" s="10"/>
      <c r="D784" s="10"/>
      <c r="E784" s="10"/>
      <c r="F784" s="10"/>
      <c r="G784" s="10"/>
      <c r="H784" s="10"/>
      <c r="I784" s="9"/>
    </row>
    <row r="785" spans="1:9" ht="14.25" customHeight="1" x14ac:dyDescent="0.35">
      <c r="A785" s="10"/>
      <c r="B785" s="10"/>
      <c r="C785" s="10"/>
      <c r="D785" s="10"/>
      <c r="E785" s="10"/>
      <c r="F785" s="10"/>
      <c r="G785" s="10"/>
      <c r="H785" s="10"/>
      <c r="I785" s="9"/>
    </row>
    <row r="786" spans="1:9" ht="14.25" customHeight="1" x14ac:dyDescent="0.35">
      <c r="A786" s="10"/>
      <c r="B786" s="10"/>
      <c r="C786" s="10"/>
      <c r="D786" s="10"/>
      <c r="E786" s="10"/>
      <c r="F786" s="10"/>
      <c r="G786" s="10"/>
      <c r="H786" s="10"/>
      <c r="I786" s="9"/>
    </row>
    <row r="787" spans="1:9" ht="14.25" customHeight="1" x14ac:dyDescent="0.35">
      <c r="A787" s="10"/>
      <c r="B787" s="10"/>
      <c r="C787" s="10"/>
      <c r="D787" s="10"/>
      <c r="E787" s="10"/>
      <c r="F787" s="10"/>
      <c r="G787" s="10"/>
      <c r="H787" s="10"/>
      <c r="I787" s="9"/>
    </row>
    <row r="788" spans="1:9" ht="14.25" customHeight="1" x14ac:dyDescent="0.35">
      <c r="A788" s="10"/>
      <c r="B788" s="10"/>
      <c r="C788" s="10"/>
      <c r="D788" s="10"/>
      <c r="E788" s="10"/>
      <c r="F788" s="10"/>
      <c r="G788" s="10"/>
      <c r="H788" s="10"/>
      <c r="I788" s="9"/>
    </row>
    <row r="789" spans="1:9" ht="14.25" customHeight="1" x14ac:dyDescent="0.35">
      <c r="A789" s="10"/>
      <c r="B789" s="10"/>
      <c r="C789" s="10"/>
      <c r="D789" s="10"/>
      <c r="E789" s="10"/>
      <c r="F789" s="10"/>
      <c r="G789" s="10"/>
      <c r="H789" s="10"/>
      <c r="I789" s="9"/>
    </row>
    <row r="790" spans="1:9" ht="14.25" customHeight="1" x14ac:dyDescent="0.35">
      <c r="A790" s="10"/>
      <c r="B790" s="10"/>
      <c r="C790" s="10"/>
      <c r="D790" s="10"/>
      <c r="E790" s="10"/>
      <c r="F790" s="10"/>
      <c r="G790" s="10"/>
      <c r="H790" s="10"/>
      <c r="I790" s="9"/>
    </row>
    <row r="791" spans="1:9" ht="14.25" customHeight="1" x14ac:dyDescent="0.35">
      <c r="A791" s="10"/>
      <c r="B791" s="10"/>
      <c r="C791" s="10"/>
      <c r="D791" s="10"/>
      <c r="E791" s="10"/>
      <c r="F791" s="10"/>
      <c r="G791" s="10"/>
      <c r="H791" s="10"/>
      <c r="I791" s="9"/>
    </row>
    <row r="792" spans="1:9" ht="14.25" customHeight="1" x14ac:dyDescent="0.35">
      <c r="A792" s="10"/>
      <c r="B792" s="10"/>
      <c r="C792" s="10"/>
      <c r="D792" s="10"/>
      <c r="E792" s="10"/>
      <c r="F792" s="10"/>
      <c r="G792" s="10"/>
      <c r="H792" s="10"/>
      <c r="I792" s="9"/>
    </row>
    <row r="793" spans="1:9" ht="14.25" customHeight="1" x14ac:dyDescent="0.35">
      <c r="A793" s="10"/>
      <c r="B793" s="10"/>
      <c r="C793" s="10"/>
      <c r="D793" s="10"/>
      <c r="E793" s="10"/>
      <c r="F793" s="10"/>
      <c r="G793" s="10"/>
      <c r="H793" s="10"/>
      <c r="I793" s="9"/>
    </row>
    <row r="794" spans="1:9" ht="14.25" customHeight="1" x14ac:dyDescent="0.35">
      <c r="A794" s="10"/>
      <c r="B794" s="10"/>
      <c r="C794" s="10"/>
      <c r="D794" s="10"/>
      <c r="E794" s="10"/>
      <c r="F794" s="10"/>
      <c r="G794" s="10"/>
      <c r="H794" s="10"/>
      <c r="I794" s="9"/>
    </row>
    <row r="795" spans="1:9" ht="14.25" customHeight="1" x14ac:dyDescent="0.35">
      <c r="A795" s="10"/>
      <c r="B795" s="10"/>
      <c r="C795" s="10"/>
      <c r="D795" s="10"/>
      <c r="E795" s="10"/>
      <c r="F795" s="10"/>
      <c r="G795" s="10"/>
      <c r="H795" s="10"/>
      <c r="I795" s="9"/>
    </row>
    <row r="796" spans="1:9" ht="14.25" customHeight="1" x14ac:dyDescent="0.35">
      <c r="A796" s="10"/>
      <c r="B796" s="10"/>
      <c r="C796" s="10"/>
      <c r="D796" s="10"/>
      <c r="E796" s="10"/>
      <c r="F796" s="10"/>
      <c r="G796" s="10"/>
      <c r="H796" s="10"/>
      <c r="I796" s="9"/>
    </row>
    <row r="797" spans="1:9" ht="14.25" customHeight="1" x14ac:dyDescent="0.35">
      <c r="A797" s="10"/>
      <c r="B797" s="10"/>
      <c r="C797" s="10"/>
      <c r="D797" s="10"/>
      <c r="E797" s="10"/>
      <c r="F797" s="10"/>
      <c r="G797" s="10"/>
      <c r="H797" s="10"/>
      <c r="I797" s="9"/>
    </row>
    <row r="798" spans="1:9" ht="14.25" customHeight="1" x14ac:dyDescent="0.35">
      <c r="A798" s="10"/>
      <c r="B798" s="10"/>
      <c r="C798" s="10"/>
      <c r="D798" s="10"/>
      <c r="E798" s="10"/>
      <c r="F798" s="10"/>
      <c r="G798" s="10"/>
      <c r="H798" s="10"/>
      <c r="I798" s="9"/>
    </row>
    <row r="799" spans="1:9" ht="14.25" customHeight="1" x14ac:dyDescent="0.35">
      <c r="A799" s="10"/>
      <c r="B799" s="10"/>
      <c r="C799" s="10"/>
      <c r="D799" s="10"/>
      <c r="E799" s="10"/>
      <c r="F799" s="10"/>
      <c r="G799" s="10"/>
      <c r="H799" s="10"/>
      <c r="I799" s="9"/>
    </row>
    <row r="800" spans="1:9" ht="14.25" customHeight="1" x14ac:dyDescent="0.35">
      <c r="A800" s="10"/>
      <c r="B800" s="10"/>
      <c r="C800" s="10"/>
      <c r="D800" s="10"/>
      <c r="E800" s="10"/>
      <c r="F800" s="10"/>
      <c r="G800" s="10"/>
      <c r="H800" s="10"/>
      <c r="I800" s="9"/>
    </row>
    <row r="801" spans="1:9" ht="14.25" customHeight="1" x14ac:dyDescent="0.35">
      <c r="A801" s="10"/>
      <c r="B801" s="10"/>
      <c r="C801" s="10"/>
      <c r="D801" s="10"/>
      <c r="E801" s="10"/>
      <c r="F801" s="10"/>
      <c r="G801" s="10"/>
      <c r="H801" s="10"/>
      <c r="I801" s="9"/>
    </row>
    <row r="802" spans="1:9" ht="14.25" customHeight="1" x14ac:dyDescent="0.35">
      <c r="A802" s="10"/>
      <c r="B802" s="10"/>
      <c r="C802" s="10"/>
      <c r="D802" s="10"/>
      <c r="E802" s="10"/>
      <c r="F802" s="10"/>
      <c r="G802" s="10"/>
      <c r="H802" s="10"/>
      <c r="I802" s="9"/>
    </row>
    <row r="803" spans="1:9" ht="14.25" customHeight="1" x14ac:dyDescent="0.35">
      <c r="A803" s="10"/>
      <c r="B803" s="10"/>
      <c r="C803" s="10"/>
      <c r="D803" s="10"/>
      <c r="E803" s="10"/>
      <c r="F803" s="10"/>
      <c r="G803" s="10"/>
      <c r="H803" s="10"/>
      <c r="I803" s="9"/>
    </row>
    <row r="804" spans="1:9" ht="14.25" customHeight="1" x14ac:dyDescent="0.35">
      <c r="A804" s="10"/>
      <c r="B804" s="10"/>
      <c r="C804" s="10"/>
      <c r="D804" s="10"/>
      <c r="E804" s="10"/>
      <c r="F804" s="10"/>
      <c r="G804" s="10"/>
      <c r="H804" s="10"/>
      <c r="I804" s="9"/>
    </row>
    <row r="805" spans="1:9" ht="14.25" customHeight="1" x14ac:dyDescent="0.35">
      <c r="A805" s="10"/>
      <c r="B805" s="10"/>
      <c r="C805" s="10"/>
      <c r="D805" s="10"/>
      <c r="E805" s="10"/>
      <c r="F805" s="10"/>
      <c r="G805" s="10"/>
      <c r="H805" s="10"/>
      <c r="I805" s="9"/>
    </row>
    <row r="806" spans="1:9" ht="14.25" customHeight="1" x14ac:dyDescent="0.35">
      <c r="A806" s="10"/>
      <c r="B806" s="10"/>
      <c r="C806" s="10"/>
      <c r="D806" s="10"/>
      <c r="E806" s="10"/>
      <c r="F806" s="10"/>
      <c r="G806" s="10"/>
      <c r="H806" s="10"/>
      <c r="I806" s="9"/>
    </row>
    <row r="807" spans="1:9" ht="14.25" customHeight="1" x14ac:dyDescent="0.35">
      <c r="A807" s="10"/>
      <c r="B807" s="10"/>
      <c r="C807" s="10"/>
      <c r="D807" s="10"/>
      <c r="E807" s="10"/>
      <c r="F807" s="10"/>
      <c r="G807" s="10"/>
      <c r="H807" s="10"/>
      <c r="I807" s="9"/>
    </row>
    <row r="808" spans="1:9" ht="14.25" customHeight="1" x14ac:dyDescent="0.35">
      <c r="A808" s="10"/>
      <c r="B808" s="10"/>
      <c r="C808" s="10"/>
      <c r="D808" s="10"/>
      <c r="E808" s="10"/>
      <c r="F808" s="10"/>
      <c r="G808" s="10"/>
      <c r="H808" s="10"/>
      <c r="I808" s="9"/>
    </row>
    <row r="809" spans="1:9" ht="14.25" customHeight="1" x14ac:dyDescent="0.35">
      <c r="A809" s="10"/>
      <c r="B809" s="10"/>
      <c r="C809" s="10"/>
      <c r="D809" s="10"/>
      <c r="E809" s="10"/>
      <c r="F809" s="10"/>
      <c r="G809" s="10"/>
      <c r="H809" s="10"/>
      <c r="I809" s="9"/>
    </row>
    <row r="810" spans="1:9" ht="14.25" customHeight="1" x14ac:dyDescent="0.35">
      <c r="A810" s="10"/>
      <c r="B810" s="10"/>
      <c r="C810" s="10"/>
      <c r="D810" s="10"/>
      <c r="E810" s="10"/>
      <c r="F810" s="10"/>
      <c r="G810" s="10"/>
      <c r="H810" s="10"/>
      <c r="I810" s="9"/>
    </row>
    <row r="811" spans="1:9" ht="14.25" customHeight="1" x14ac:dyDescent="0.35">
      <c r="A811" s="10"/>
      <c r="B811" s="10"/>
      <c r="C811" s="10"/>
      <c r="D811" s="10"/>
      <c r="E811" s="10"/>
      <c r="F811" s="10"/>
      <c r="G811" s="10"/>
      <c r="H811" s="10"/>
      <c r="I811" s="9"/>
    </row>
    <row r="812" spans="1:9" ht="14.25" customHeight="1" x14ac:dyDescent="0.35">
      <c r="A812" s="10"/>
      <c r="B812" s="10"/>
      <c r="C812" s="10"/>
      <c r="D812" s="10"/>
      <c r="E812" s="10"/>
      <c r="F812" s="10"/>
      <c r="G812" s="10"/>
      <c r="H812" s="10"/>
      <c r="I812" s="9"/>
    </row>
    <row r="813" spans="1:9" ht="14.25" customHeight="1" x14ac:dyDescent="0.35">
      <c r="A813" s="10"/>
      <c r="B813" s="10"/>
      <c r="C813" s="10"/>
      <c r="D813" s="10"/>
      <c r="E813" s="10"/>
      <c r="F813" s="10"/>
      <c r="G813" s="10"/>
      <c r="H813" s="10"/>
      <c r="I813" s="9"/>
    </row>
    <row r="814" spans="1:9" ht="14.25" customHeight="1" x14ac:dyDescent="0.35">
      <c r="A814" s="10"/>
      <c r="B814" s="10"/>
      <c r="C814" s="10"/>
      <c r="D814" s="10"/>
      <c r="E814" s="10"/>
      <c r="F814" s="10"/>
      <c r="G814" s="10"/>
      <c r="H814" s="10"/>
      <c r="I814" s="9"/>
    </row>
    <row r="815" spans="1:9" ht="14.25" customHeight="1" x14ac:dyDescent="0.35">
      <c r="A815" s="10"/>
      <c r="B815" s="10"/>
      <c r="C815" s="10"/>
      <c r="D815" s="10"/>
      <c r="E815" s="10"/>
      <c r="F815" s="10"/>
      <c r="G815" s="10"/>
      <c r="H815" s="10"/>
      <c r="I815" s="9"/>
    </row>
    <row r="816" spans="1:9" ht="14.25" customHeight="1" x14ac:dyDescent="0.35">
      <c r="A816" s="10"/>
      <c r="B816" s="10"/>
      <c r="C816" s="10"/>
      <c r="D816" s="10"/>
      <c r="E816" s="10"/>
      <c r="F816" s="10"/>
      <c r="G816" s="10"/>
      <c r="H816" s="10"/>
      <c r="I816" s="9"/>
    </row>
    <row r="817" spans="1:9" ht="14.25" customHeight="1" x14ac:dyDescent="0.35">
      <c r="A817" s="10"/>
      <c r="B817" s="10"/>
      <c r="C817" s="10"/>
      <c r="D817" s="10"/>
      <c r="E817" s="10"/>
      <c r="F817" s="10"/>
      <c r="G817" s="10"/>
      <c r="H817" s="10"/>
      <c r="I817" s="9"/>
    </row>
    <row r="818" spans="1:9" ht="14.25" customHeight="1" x14ac:dyDescent="0.35">
      <c r="A818" s="10"/>
      <c r="B818" s="10"/>
      <c r="C818" s="10"/>
      <c r="D818" s="10"/>
      <c r="E818" s="10"/>
      <c r="F818" s="10"/>
      <c r="G818" s="10"/>
      <c r="H818" s="10"/>
      <c r="I818" s="9"/>
    </row>
    <row r="819" spans="1:9" ht="14.25" customHeight="1" x14ac:dyDescent="0.35">
      <c r="A819" s="10"/>
      <c r="B819" s="10"/>
      <c r="C819" s="10"/>
      <c r="D819" s="10"/>
      <c r="E819" s="10"/>
      <c r="F819" s="10"/>
      <c r="G819" s="10"/>
      <c r="H819" s="10"/>
      <c r="I819" s="9"/>
    </row>
    <row r="820" spans="1:9" ht="14.25" customHeight="1" x14ac:dyDescent="0.35">
      <c r="A820" s="10"/>
      <c r="B820" s="10"/>
      <c r="C820" s="10"/>
      <c r="D820" s="10"/>
      <c r="E820" s="10"/>
      <c r="F820" s="10"/>
      <c r="G820" s="10"/>
      <c r="H820" s="10"/>
      <c r="I820" s="9"/>
    </row>
    <row r="821" spans="1:9" ht="14.25" customHeight="1" x14ac:dyDescent="0.35">
      <c r="A821" s="10"/>
      <c r="B821" s="10"/>
      <c r="C821" s="10"/>
      <c r="D821" s="10"/>
      <c r="E821" s="10"/>
      <c r="F821" s="10"/>
      <c r="G821" s="10"/>
      <c r="H821" s="10"/>
      <c r="I821" s="9"/>
    </row>
    <row r="822" spans="1:9" ht="14.25" customHeight="1" x14ac:dyDescent="0.35">
      <c r="A822" s="10"/>
      <c r="B822" s="10"/>
      <c r="C822" s="10"/>
      <c r="D822" s="10"/>
      <c r="E822" s="10"/>
      <c r="F822" s="10"/>
      <c r="G822" s="10"/>
      <c r="H822" s="10"/>
      <c r="I822" s="9"/>
    </row>
    <row r="823" spans="1:9" ht="14.25" customHeight="1" x14ac:dyDescent="0.35">
      <c r="A823" s="10"/>
      <c r="B823" s="10"/>
      <c r="C823" s="10"/>
      <c r="D823" s="10"/>
      <c r="E823" s="10"/>
      <c r="F823" s="10"/>
      <c r="G823" s="10"/>
      <c r="H823" s="10"/>
      <c r="I823" s="9"/>
    </row>
    <row r="824" spans="1:9" ht="14.25" customHeight="1" x14ac:dyDescent="0.35">
      <c r="A824" s="10"/>
      <c r="B824" s="10"/>
      <c r="C824" s="10"/>
      <c r="D824" s="10"/>
      <c r="E824" s="10"/>
      <c r="F824" s="10"/>
      <c r="G824" s="10"/>
      <c r="H824" s="10"/>
      <c r="I824" s="9"/>
    </row>
    <row r="825" spans="1:9" ht="14.25" customHeight="1" x14ac:dyDescent="0.35">
      <c r="A825" s="10"/>
      <c r="B825" s="10"/>
      <c r="C825" s="10"/>
      <c r="D825" s="10"/>
      <c r="E825" s="10"/>
      <c r="F825" s="10"/>
      <c r="G825" s="10"/>
      <c r="H825" s="10"/>
      <c r="I825" s="9"/>
    </row>
    <row r="826" spans="1:9" ht="14.25" customHeight="1" x14ac:dyDescent="0.35">
      <c r="A826" s="10"/>
      <c r="B826" s="10"/>
      <c r="C826" s="10"/>
      <c r="D826" s="10"/>
      <c r="E826" s="10"/>
      <c r="F826" s="10"/>
      <c r="G826" s="10"/>
      <c r="H826" s="10"/>
      <c r="I826" s="9"/>
    </row>
    <row r="827" spans="1:9" ht="14.25" customHeight="1" x14ac:dyDescent="0.35">
      <c r="A827" s="10"/>
      <c r="B827" s="10"/>
      <c r="C827" s="10"/>
      <c r="D827" s="10"/>
      <c r="E827" s="10"/>
      <c r="F827" s="10"/>
      <c r="G827" s="10"/>
      <c r="H827" s="10"/>
      <c r="I827" s="9"/>
    </row>
    <row r="828" spans="1:9" ht="14.25" customHeight="1" x14ac:dyDescent="0.35">
      <c r="A828" s="10"/>
      <c r="B828" s="10"/>
      <c r="C828" s="10"/>
      <c r="D828" s="10"/>
      <c r="E828" s="10"/>
      <c r="F828" s="10"/>
      <c r="G828" s="10"/>
      <c r="H828" s="10"/>
      <c r="I828" s="9"/>
    </row>
    <row r="829" spans="1:9" ht="14.25" customHeight="1" x14ac:dyDescent="0.35">
      <c r="A829" s="10"/>
      <c r="B829" s="10"/>
      <c r="C829" s="10"/>
      <c r="D829" s="10"/>
      <c r="E829" s="10"/>
      <c r="F829" s="10"/>
      <c r="G829" s="10"/>
      <c r="H829" s="10"/>
      <c r="I829" s="9"/>
    </row>
    <row r="830" spans="1:9" ht="14.25" customHeight="1" x14ac:dyDescent="0.35">
      <c r="A830" s="10"/>
      <c r="B830" s="10"/>
      <c r="C830" s="10"/>
      <c r="D830" s="10"/>
      <c r="E830" s="10"/>
      <c r="F830" s="10"/>
      <c r="G830" s="10"/>
      <c r="H830" s="10"/>
      <c r="I830" s="9"/>
    </row>
    <row r="831" spans="1:9" ht="14.25" customHeight="1" x14ac:dyDescent="0.35">
      <c r="A831" s="10"/>
      <c r="B831" s="10"/>
      <c r="C831" s="10"/>
      <c r="D831" s="10"/>
      <c r="E831" s="10"/>
      <c r="F831" s="10"/>
      <c r="G831" s="10"/>
      <c r="H831" s="10"/>
      <c r="I831" s="9"/>
    </row>
    <row r="832" spans="1:9" ht="14.25" customHeight="1" x14ac:dyDescent="0.35">
      <c r="A832" s="10"/>
      <c r="B832" s="10"/>
      <c r="C832" s="10"/>
      <c r="D832" s="10"/>
      <c r="E832" s="10"/>
      <c r="F832" s="10"/>
      <c r="G832" s="10"/>
      <c r="H832" s="10"/>
      <c r="I832" s="9"/>
    </row>
    <row r="833" spans="1:9" ht="14.25" customHeight="1" x14ac:dyDescent="0.35">
      <c r="A833" s="10"/>
      <c r="B833" s="10"/>
      <c r="C833" s="10"/>
      <c r="D833" s="10"/>
      <c r="E833" s="10"/>
      <c r="F833" s="10"/>
      <c r="G833" s="10"/>
      <c r="H833" s="10"/>
      <c r="I833" s="9"/>
    </row>
    <row r="834" spans="1:9" ht="14.25" customHeight="1" x14ac:dyDescent="0.35">
      <c r="A834" s="10"/>
      <c r="B834" s="10"/>
      <c r="C834" s="10"/>
      <c r="D834" s="10"/>
      <c r="E834" s="10"/>
      <c r="F834" s="10"/>
      <c r="G834" s="10"/>
      <c r="H834" s="10"/>
      <c r="I834" s="9"/>
    </row>
    <row r="835" spans="1:9" ht="14.25" customHeight="1" x14ac:dyDescent="0.35">
      <c r="A835" s="10"/>
      <c r="B835" s="10"/>
      <c r="C835" s="10"/>
      <c r="D835" s="10"/>
      <c r="E835" s="10"/>
      <c r="F835" s="10"/>
      <c r="G835" s="10"/>
      <c r="H835" s="10"/>
      <c r="I835" s="9"/>
    </row>
    <row r="836" spans="1:9" ht="14.25" customHeight="1" x14ac:dyDescent="0.35">
      <c r="A836" s="10"/>
      <c r="B836" s="10"/>
      <c r="C836" s="10"/>
      <c r="D836" s="10"/>
      <c r="E836" s="10"/>
      <c r="F836" s="10"/>
      <c r="G836" s="10"/>
      <c r="H836" s="10"/>
      <c r="I836" s="9"/>
    </row>
    <row r="837" spans="1:9" ht="14.25" customHeight="1" x14ac:dyDescent="0.35">
      <c r="A837" s="10"/>
      <c r="B837" s="10"/>
      <c r="C837" s="10"/>
      <c r="D837" s="10"/>
      <c r="E837" s="10"/>
      <c r="F837" s="10"/>
      <c r="G837" s="10"/>
      <c r="H837" s="10"/>
      <c r="I837" s="9"/>
    </row>
    <row r="838" spans="1:9" ht="14.25" customHeight="1" x14ac:dyDescent="0.35">
      <c r="A838" s="10"/>
      <c r="B838" s="10"/>
      <c r="C838" s="10"/>
      <c r="D838" s="10"/>
      <c r="E838" s="10"/>
      <c r="F838" s="10"/>
      <c r="G838" s="10"/>
      <c r="H838" s="10"/>
      <c r="I838" s="9"/>
    </row>
    <row r="839" spans="1:9" ht="14.25" customHeight="1" x14ac:dyDescent="0.35">
      <c r="A839" s="10"/>
      <c r="B839" s="10"/>
      <c r="C839" s="10"/>
      <c r="D839" s="10"/>
      <c r="E839" s="10"/>
      <c r="F839" s="10"/>
      <c r="G839" s="10"/>
      <c r="H839" s="10"/>
      <c r="I839" s="9"/>
    </row>
    <row r="840" spans="1:9" ht="14.25" customHeight="1" x14ac:dyDescent="0.35">
      <c r="A840" s="10"/>
      <c r="B840" s="10"/>
      <c r="C840" s="10"/>
      <c r="D840" s="10"/>
      <c r="E840" s="10"/>
      <c r="F840" s="10"/>
      <c r="G840" s="10"/>
      <c r="H840" s="10"/>
      <c r="I840" s="9"/>
    </row>
    <row r="841" spans="1:9" ht="14.25" customHeight="1" x14ac:dyDescent="0.35">
      <c r="A841" s="10"/>
      <c r="B841" s="10"/>
      <c r="C841" s="10"/>
      <c r="D841" s="10"/>
      <c r="E841" s="10"/>
      <c r="F841" s="10"/>
      <c r="G841" s="10"/>
      <c r="H841" s="10"/>
      <c r="I841" s="9"/>
    </row>
    <row r="842" spans="1:9" ht="14.25" customHeight="1" x14ac:dyDescent="0.35">
      <c r="A842" s="10"/>
      <c r="B842" s="10"/>
      <c r="C842" s="10"/>
      <c r="D842" s="10"/>
      <c r="E842" s="10"/>
      <c r="F842" s="10"/>
      <c r="G842" s="10"/>
      <c r="H842" s="10"/>
      <c r="I842" s="9"/>
    </row>
    <row r="843" spans="1:9" ht="14.25" customHeight="1" x14ac:dyDescent="0.35">
      <c r="A843" s="10"/>
      <c r="B843" s="10"/>
      <c r="C843" s="10"/>
      <c r="D843" s="10"/>
      <c r="E843" s="10"/>
      <c r="F843" s="10"/>
      <c r="G843" s="10"/>
      <c r="H843" s="10"/>
      <c r="I843" s="9"/>
    </row>
    <row r="844" spans="1:9" ht="14.25" customHeight="1" x14ac:dyDescent="0.35">
      <c r="A844" s="10"/>
      <c r="B844" s="10"/>
      <c r="C844" s="10"/>
      <c r="D844" s="10"/>
      <c r="E844" s="10"/>
      <c r="F844" s="10"/>
      <c r="G844" s="10"/>
      <c r="H844" s="10"/>
      <c r="I844" s="9"/>
    </row>
    <row r="845" spans="1:9" ht="14.25" customHeight="1" x14ac:dyDescent="0.35">
      <c r="A845" s="10"/>
      <c r="B845" s="10"/>
      <c r="C845" s="10"/>
      <c r="D845" s="10"/>
      <c r="E845" s="10"/>
      <c r="F845" s="10"/>
      <c r="G845" s="10"/>
      <c r="H845" s="10"/>
      <c r="I845" s="9"/>
    </row>
    <row r="846" spans="1:9" ht="14.25" customHeight="1" x14ac:dyDescent="0.35">
      <c r="A846" s="10"/>
      <c r="B846" s="10"/>
      <c r="C846" s="10"/>
      <c r="D846" s="10"/>
      <c r="E846" s="10"/>
      <c r="F846" s="10"/>
      <c r="G846" s="10"/>
      <c r="H846" s="10"/>
      <c r="I846" s="9"/>
    </row>
    <row r="847" spans="1:9" ht="14.25" customHeight="1" x14ac:dyDescent="0.35">
      <c r="A847" s="10"/>
      <c r="B847" s="10"/>
      <c r="C847" s="10"/>
      <c r="D847" s="10"/>
      <c r="E847" s="10"/>
      <c r="F847" s="10"/>
      <c r="G847" s="10"/>
      <c r="H847" s="10"/>
      <c r="I847" s="9"/>
    </row>
    <row r="848" spans="1:9" ht="14.25" customHeight="1" x14ac:dyDescent="0.35">
      <c r="A848" s="10"/>
      <c r="B848" s="10"/>
      <c r="C848" s="10"/>
      <c r="D848" s="10"/>
      <c r="E848" s="10"/>
      <c r="F848" s="10"/>
      <c r="G848" s="10"/>
      <c r="H848" s="10"/>
      <c r="I848" s="9"/>
    </row>
    <row r="849" spans="1:9" ht="14.25" customHeight="1" x14ac:dyDescent="0.35">
      <c r="A849" s="10"/>
      <c r="B849" s="10"/>
      <c r="C849" s="10"/>
      <c r="D849" s="10"/>
      <c r="E849" s="10"/>
      <c r="F849" s="10"/>
      <c r="G849" s="10"/>
      <c r="H849" s="10"/>
      <c r="I849" s="9"/>
    </row>
    <row r="850" spans="1:9" ht="14.25" customHeight="1" x14ac:dyDescent="0.35">
      <c r="A850" s="10"/>
      <c r="B850" s="10"/>
      <c r="C850" s="10"/>
      <c r="D850" s="10"/>
      <c r="E850" s="10"/>
      <c r="F850" s="10"/>
      <c r="G850" s="10"/>
      <c r="H850" s="10"/>
      <c r="I850" s="9"/>
    </row>
    <row r="851" spans="1:9" ht="14.25" customHeight="1" x14ac:dyDescent="0.35">
      <c r="A851" s="10"/>
      <c r="B851" s="10"/>
      <c r="C851" s="10"/>
      <c r="D851" s="10"/>
      <c r="E851" s="10"/>
      <c r="F851" s="10"/>
      <c r="G851" s="10"/>
      <c r="H851" s="10"/>
      <c r="I851" s="9"/>
    </row>
    <row r="852" spans="1:9" ht="14.25" customHeight="1" x14ac:dyDescent="0.35">
      <c r="A852" s="10"/>
      <c r="B852" s="10"/>
      <c r="C852" s="10"/>
      <c r="D852" s="10"/>
      <c r="E852" s="10"/>
      <c r="F852" s="10"/>
      <c r="G852" s="10"/>
      <c r="H852" s="10"/>
      <c r="I852" s="9"/>
    </row>
    <row r="853" spans="1:9" ht="14.25" customHeight="1" x14ac:dyDescent="0.35">
      <c r="A853" s="10"/>
      <c r="B853" s="10"/>
      <c r="C853" s="10"/>
      <c r="D853" s="10"/>
      <c r="E853" s="10"/>
      <c r="F853" s="10"/>
      <c r="G853" s="10"/>
      <c r="H853" s="10"/>
      <c r="I853" s="9"/>
    </row>
    <row r="854" spans="1:9" ht="14.25" customHeight="1" x14ac:dyDescent="0.35">
      <c r="A854" s="10"/>
      <c r="B854" s="10"/>
      <c r="C854" s="10"/>
      <c r="D854" s="10"/>
      <c r="E854" s="10"/>
      <c r="F854" s="10"/>
      <c r="G854" s="10"/>
      <c r="H854" s="10"/>
      <c r="I854" s="9"/>
    </row>
    <row r="855" spans="1:9" ht="14.25" customHeight="1" x14ac:dyDescent="0.35">
      <c r="A855" s="10"/>
      <c r="B855" s="10"/>
      <c r="C855" s="10"/>
      <c r="D855" s="10"/>
      <c r="E855" s="10"/>
      <c r="F855" s="10"/>
      <c r="G855" s="10"/>
      <c r="H855" s="10"/>
      <c r="I855" s="9"/>
    </row>
    <row r="856" spans="1:9" ht="14.25" customHeight="1" x14ac:dyDescent="0.35">
      <c r="A856" s="10"/>
      <c r="B856" s="10"/>
      <c r="C856" s="10"/>
      <c r="D856" s="10"/>
      <c r="E856" s="10"/>
      <c r="F856" s="10"/>
      <c r="G856" s="10"/>
      <c r="H856" s="10"/>
      <c r="I856" s="9"/>
    </row>
    <row r="857" spans="1:9" ht="14.25" customHeight="1" x14ac:dyDescent="0.35">
      <c r="A857" s="10"/>
      <c r="B857" s="10"/>
      <c r="C857" s="10"/>
      <c r="D857" s="10"/>
      <c r="E857" s="10"/>
      <c r="F857" s="10"/>
      <c r="G857" s="10"/>
      <c r="H857" s="10"/>
      <c r="I857" s="9"/>
    </row>
    <row r="858" spans="1:9" ht="14.25" customHeight="1" x14ac:dyDescent="0.35">
      <c r="A858" s="10"/>
      <c r="B858" s="10"/>
      <c r="C858" s="10"/>
      <c r="D858" s="10"/>
      <c r="E858" s="10"/>
      <c r="F858" s="10"/>
      <c r="G858" s="10"/>
      <c r="H858" s="10"/>
      <c r="I858" s="9"/>
    </row>
    <row r="859" spans="1:9" ht="14.25" customHeight="1" x14ac:dyDescent="0.35">
      <c r="A859" s="10"/>
      <c r="B859" s="10"/>
      <c r="C859" s="10"/>
      <c r="D859" s="10"/>
      <c r="E859" s="10"/>
      <c r="F859" s="10"/>
      <c r="G859" s="10"/>
      <c r="H859" s="10"/>
      <c r="I859" s="9"/>
    </row>
    <row r="860" spans="1:9" ht="14.25" customHeight="1" x14ac:dyDescent="0.35">
      <c r="A860" s="10"/>
      <c r="B860" s="10"/>
      <c r="C860" s="10"/>
      <c r="D860" s="10"/>
      <c r="E860" s="10"/>
      <c r="F860" s="10"/>
      <c r="G860" s="10"/>
      <c r="H860" s="10"/>
      <c r="I860" s="9"/>
    </row>
    <row r="861" spans="1:9" ht="14.25" customHeight="1" x14ac:dyDescent="0.35">
      <c r="A861" s="10"/>
      <c r="B861" s="10"/>
      <c r="C861" s="10"/>
      <c r="D861" s="10"/>
      <c r="E861" s="10"/>
      <c r="F861" s="10"/>
      <c r="G861" s="10"/>
      <c r="H861" s="10"/>
      <c r="I861" s="9"/>
    </row>
    <row r="862" spans="1:9" ht="14.25" customHeight="1" x14ac:dyDescent="0.35">
      <c r="A862" s="10"/>
      <c r="B862" s="10"/>
      <c r="C862" s="10"/>
      <c r="D862" s="10"/>
      <c r="E862" s="10"/>
      <c r="F862" s="10"/>
      <c r="G862" s="10"/>
      <c r="H862" s="10"/>
      <c r="I862" s="9"/>
    </row>
    <row r="863" spans="1:9" ht="14.25" customHeight="1" x14ac:dyDescent="0.35">
      <c r="A863" s="10"/>
      <c r="B863" s="10"/>
      <c r="C863" s="10"/>
      <c r="D863" s="10"/>
      <c r="E863" s="10"/>
      <c r="F863" s="10"/>
      <c r="G863" s="10"/>
      <c r="H863" s="10"/>
      <c r="I863" s="9"/>
    </row>
    <row r="864" spans="1:9" ht="14.25" customHeight="1" x14ac:dyDescent="0.35">
      <c r="A864" s="10"/>
      <c r="B864" s="10"/>
      <c r="C864" s="10"/>
      <c r="D864" s="10"/>
      <c r="E864" s="10"/>
      <c r="F864" s="10"/>
      <c r="G864" s="10"/>
      <c r="H864" s="10"/>
      <c r="I864" s="9"/>
    </row>
    <row r="865" spans="1:9" ht="14.25" customHeight="1" x14ac:dyDescent="0.35">
      <c r="A865" s="10"/>
      <c r="B865" s="10"/>
      <c r="C865" s="10"/>
      <c r="D865" s="10"/>
      <c r="E865" s="10"/>
      <c r="F865" s="10"/>
      <c r="G865" s="10"/>
      <c r="H865" s="10"/>
      <c r="I865" s="9"/>
    </row>
    <row r="866" spans="1:9" ht="14.25" customHeight="1" x14ac:dyDescent="0.35">
      <c r="A866" s="10"/>
      <c r="B866" s="10"/>
      <c r="C866" s="10"/>
      <c r="D866" s="10"/>
      <c r="E866" s="10"/>
      <c r="F866" s="10"/>
      <c r="G866" s="10"/>
      <c r="H866" s="10"/>
      <c r="I866" s="9"/>
    </row>
    <row r="867" spans="1:9" ht="14.25" customHeight="1" x14ac:dyDescent="0.35">
      <c r="A867" s="10"/>
      <c r="B867" s="10"/>
      <c r="C867" s="10"/>
      <c r="D867" s="10"/>
      <c r="E867" s="10"/>
      <c r="F867" s="10"/>
      <c r="G867" s="10"/>
      <c r="H867" s="10"/>
      <c r="I867" s="9"/>
    </row>
    <row r="868" spans="1:9" ht="14.25" customHeight="1" x14ac:dyDescent="0.35">
      <c r="A868" s="10"/>
      <c r="B868" s="10"/>
      <c r="C868" s="10"/>
      <c r="D868" s="10"/>
      <c r="E868" s="10"/>
      <c r="F868" s="10"/>
      <c r="G868" s="10"/>
      <c r="H868" s="10"/>
      <c r="I868" s="9"/>
    </row>
    <row r="869" spans="1:9" ht="14.25" customHeight="1" x14ac:dyDescent="0.35">
      <c r="A869" s="10"/>
      <c r="B869" s="10"/>
      <c r="C869" s="10"/>
      <c r="D869" s="10"/>
      <c r="E869" s="10"/>
      <c r="F869" s="10"/>
      <c r="G869" s="10"/>
      <c r="H869" s="10"/>
      <c r="I869" s="9"/>
    </row>
    <row r="870" spans="1:9" ht="14.25" customHeight="1" x14ac:dyDescent="0.35">
      <c r="A870" s="10"/>
      <c r="B870" s="10"/>
      <c r="C870" s="10"/>
      <c r="D870" s="10"/>
      <c r="E870" s="10"/>
      <c r="F870" s="10"/>
      <c r="G870" s="10"/>
      <c r="H870" s="10"/>
      <c r="I870" s="9"/>
    </row>
    <row r="871" spans="1:9" ht="14.25" customHeight="1" x14ac:dyDescent="0.35">
      <c r="A871" s="10"/>
      <c r="B871" s="10"/>
      <c r="C871" s="10"/>
      <c r="D871" s="10"/>
      <c r="E871" s="10"/>
      <c r="F871" s="10"/>
      <c r="G871" s="10"/>
      <c r="H871" s="10"/>
      <c r="I871" s="9"/>
    </row>
    <row r="872" spans="1:9" ht="14.25" customHeight="1" x14ac:dyDescent="0.35">
      <c r="A872" s="10"/>
      <c r="B872" s="10"/>
      <c r="C872" s="10"/>
      <c r="D872" s="10"/>
      <c r="E872" s="10"/>
      <c r="F872" s="10"/>
      <c r="G872" s="10"/>
      <c r="H872" s="10"/>
      <c r="I872" s="9"/>
    </row>
    <row r="873" spans="1:9" ht="14.25" customHeight="1" x14ac:dyDescent="0.35">
      <c r="A873" s="10"/>
      <c r="B873" s="10"/>
      <c r="C873" s="10"/>
      <c r="D873" s="10"/>
      <c r="E873" s="10"/>
      <c r="F873" s="10"/>
      <c r="G873" s="10"/>
      <c r="H873" s="10"/>
      <c r="I873" s="9"/>
    </row>
    <row r="874" spans="1:9" ht="14.25" customHeight="1" x14ac:dyDescent="0.35">
      <c r="A874" s="10"/>
      <c r="B874" s="10"/>
      <c r="C874" s="10"/>
      <c r="D874" s="10"/>
      <c r="E874" s="10"/>
      <c r="F874" s="10"/>
      <c r="G874" s="10"/>
      <c r="H874" s="10"/>
      <c r="I874" s="9"/>
    </row>
    <row r="875" spans="1:9" ht="14.25" customHeight="1" x14ac:dyDescent="0.35">
      <c r="A875" s="10"/>
      <c r="B875" s="10"/>
      <c r="C875" s="10"/>
      <c r="D875" s="10"/>
      <c r="E875" s="10"/>
      <c r="F875" s="10"/>
      <c r="G875" s="10"/>
      <c r="H875" s="10"/>
      <c r="I875" s="9"/>
    </row>
    <row r="876" spans="1:9" ht="14.25" customHeight="1" x14ac:dyDescent="0.35">
      <c r="A876" s="10"/>
      <c r="B876" s="10"/>
      <c r="C876" s="10"/>
      <c r="D876" s="10"/>
      <c r="E876" s="10"/>
      <c r="F876" s="10"/>
      <c r="G876" s="10"/>
      <c r="H876" s="10"/>
      <c r="I876" s="9"/>
    </row>
    <row r="877" spans="1:9" ht="14.25" customHeight="1" x14ac:dyDescent="0.35">
      <c r="A877" s="10"/>
      <c r="B877" s="10"/>
      <c r="C877" s="10"/>
      <c r="D877" s="10"/>
      <c r="E877" s="10"/>
      <c r="F877" s="10"/>
      <c r="G877" s="10"/>
      <c r="H877" s="10"/>
      <c r="I877" s="9"/>
    </row>
    <row r="878" spans="1:9" ht="14.25" customHeight="1" x14ac:dyDescent="0.35">
      <c r="A878" s="10"/>
      <c r="B878" s="10"/>
      <c r="C878" s="10"/>
      <c r="D878" s="10"/>
      <c r="E878" s="10"/>
      <c r="F878" s="10"/>
      <c r="G878" s="10"/>
      <c r="H878" s="10"/>
      <c r="I878" s="9"/>
    </row>
    <row r="879" spans="1:9" ht="14.25" customHeight="1" x14ac:dyDescent="0.35">
      <c r="A879" s="10"/>
      <c r="B879" s="10"/>
      <c r="C879" s="10"/>
      <c r="D879" s="10"/>
      <c r="E879" s="10"/>
      <c r="F879" s="10"/>
      <c r="G879" s="10"/>
      <c r="H879" s="10"/>
      <c r="I879" s="9"/>
    </row>
    <row r="880" spans="1:9" ht="14.25" customHeight="1" x14ac:dyDescent="0.35">
      <c r="A880" s="10"/>
      <c r="B880" s="10"/>
      <c r="C880" s="10"/>
      <c r="D880" s="10"/>
      <c r="E880" s="10"/>
      <c r="F880" s="10"/>
      <c r="G880" s="10"/>
      <c r="H880" s="10"/>
      <c r="I880" s="9"/>
    </row>
    <row r="881" spans="1:9" ht="14.25" customHeight="1" x14ac:dyDescent="0.35">
      <c r="A881" s="10"/>
      <c r="B881" s="10"/>
      <c r="C881" s="10"/>
      <c r="D881" s="10"/>
      <c r="E881" s="10"/>
      <c r="F881" s="10"/>
      <c r="G881" s="10"/>
      <c r="H881" s="10"/>
      <c r="I881" s="9"/>
    </row>
    <row r="882" spans="1:9" ht="14.25" customHeight="1" x14ac:dyDescent="0.35">
      <c r="A882" s="10"/>
      <c r="B882" s="10"/>
      <c r="C882" s="10"/>
      <c r="D882" s="10"/>
      <c r="E882" s="10"/>
      <c r="F882" s="10"/>
      <c r="G882" s="10"/>
      <c r="H882" s="10"/>
      <c r="I882" s="9"/>
    </row>
    <row r="883" spans="1:9" ht="14.25" customHeight="1" x14ac:dyDescent="0.35">
      <c r="A883" s="10"/>
      <c r="B883" s="10"/>
      <c r="C883" s="10"/>
      <c r="D883" s="10"/>
      <c r="E883" s="10"/>
      <c r="F883" s="10"/>
      <c r="G883" s="10"/>
      <c r="H883" s="10"/>
      <c r="I883" s="9"/>
    </row>
    <row r="884" spans="1:9" ht="14.25" customHeight="1" x14ac:dyDescent="0.35">
      <c r="A884" s="10"/>
      <c r="B884" s="10"/>
      <c r="C884" s="10"/>
      <c r="D884" s="10"/>
      <c r="E884" s="10"/>
      <c r="F884" s="10"/>
      <c r="G884" s="10"/>
      <c r="H884" s="10"/>
      <c r="I884" s="9"/>
    </row>
    <row r="885" spans="1:9" ht="14.25" customHeight="1" x14ac:dyDescent="0.35">
      <c r="A885" s="10"/>
      <c r="B885" s="10"/>
      <c r="C885" s="10"/>
      <c r="D885" s="10"/>
      <c r="E885" s="10"/>
      <c r="F885" s="10"/>
      <c r="G885" s="10"/>
      <c r="H885" s="10"/>
      <c r="I885" s="9"/>
    </row>
    <row r="886" spans="1:9" ht="14.25" customHeight="1" x14ac:dyDescent="0.35">
      <c r="A886" s="10"/>
      <c r="B886" s="10"/>
      <c r="C886" s="10"/>
      <c r="D886" s="10"/>
      <c r="E886" s="10"/>
      <c r="F886" s="10"/>
      <c r="G886" s="10"/>
      <c r="H886" s="10"/>
      <c r="I886" s="9"/>
    </row>
    <row r="887" spans="1:9" ht="14.25" customHeight="1" x14ac:dyDescent="0.35">
      <c r="A887" s="10"/>
      <c r="B887" s="10"/>
      <c r="C887" s="10"/>
      <c r="D887" s="10"/>
      <c r="E887" s="10"/>
      <c r="F887" s="10"/>
      <c r="G887" s="10"/>
      <c r="H887" s="10"/>
      <c r="I887" s="9"/>
    </row>
    <row r="888" spans="1:9" ht="14.25" customHeight="1" x14ac:dyDescent="0.35">
      <c r="A888" s="10"/>
      <c r="B888" s="10"/>
      <c r="C888" s="10"/>
      <c r="D888" s="10"/>
      <c r="E888" s="10"/>
      <c r="F888" s="10"/>
      <c r="G888" s="10"/>
      <c r="H888" s="10"/>
      <c r="I888" s="9"/>
    </row>
    <row r="889" spans="1:9" ht="14.25" customHeight="1" x14ac:dyDescent="0.35">
      <c r="A889" s="10"/>
      <c r="B889" s="10"/>
      <c r="C889" s="10"/>
      <c r="D889" s="10"/>
      <c r="E889" s="10"/>
      <c r="F889" s="10"/>
      <c r="G889" s="10"/>
      <c r="H889" s="10"/>
      <c r="I889" s="9"/>
    </row>
    <row r="890" spans="1:9" ht="14.25" customHeight="1" x14ac:dyDescent="0.35">
      <c r="A890" s="10"/>
      <c r="B890" s="10"/>
      <c r="C890" s="10"/>
      <c r="D890" s="10"/>
      <c r="E890" s="10"/>
      <c r="F890" s="10"/>
      <c r="G890" s="10"/>
      <c r="H890" s="10"/>
      <c r="I890" s="9"/>
    </row>
    <row r="891" spans="1:9" ht="14.25" customHeight="1" x14ac:dyDescent="0.35">
      <c r="A891" s="10"/>
      <c r="B891" s="10"/>
      <c r="C891" s="10"/>
      <c r="D891" s="10"/>
      <c r="E891" s="10"/>
      <c r="F891" s="10"/>
      <c r="G891" s="10"/>
      <c r="H891" s="10"/>
      <c r="I891" s="9"/>
    </row>
    <row r="892" spans="1:9" ht="14.25" customHeight="1" x14ac:dyDescent="0.35">
      <c r="A892" s="10"/>
      <c r="B892" s="10"/>
      <c r="C892" s="10"/>
      <c r="D892" s="10"/>
      <c r="E892" s="10"/>
      <c r="F892" s="10"/>
      <c r="G892" s="10"/>
      <c r="H892" s="10"/>
      <c r="I892" s="9"/>
    </row>
    <row r="893" spans="1:9" ht="14.25" customHeight="1" x14ac:dyDescent="0.35">
      <c r="A893" s="10"/>
      <c r="B893" s="10"/>
      <c r="C893" s="10"/>
      <c r="D893" s="10"/>
      <c r="E893" s="10"/>
      <c r="F893" s="10"/>
      <c r="G893" s="10"/>
      <c r="H893" s="10"/>
      <c r="I893" s="9"/>
    </row>
    <row r="894" spans="1:9" ht="14.25" customHeight="1" x14ac:dyDescent="0.35">
      <c r="A894" s="10"/>
      <c r="B894" s="10"/>
      <c r="C894" s="10"/>
      <c r="D894" s="10"/>
      <c r="E894" s="10"/>
      <c r="F894" s="10"/>
      <c r="G894" s="10"/>
      <c r="H894" s="10"/>
      <c r="I894" s="9"/>
    </row>
    <row r="895" spans="1:9" ht="14.25" customHeight="1" x14ac:dyDescent="0.35">
      <c r="A895" s="10"/>
      <c r="B895" s="10"/>
      <c r="C895" s="10"/>
      <c r="D895" s="10"/>
      <c r="E895" s="10"/>
      <c r="F895" s="10"/>
      <c r="G895" s="10"/>
      <c r="H895" s="10"/>
      <c r="I895" s="9"/>
    </row>
    <row r="896" spans="1:9" ht="14.25" customHeight="1" x14ac:dyDescent="0.35">
      <c r="A896" s="10"/>
      <c r="B896" s="10"/>
      <c r="C896" s="10"/>
      <c r="D896" s="10"/>
      <c r="E896" s="10"/>
      <c r="F896" s="10"/>
      <c r="G896" s="10"/>
      <c r="H896" s="10"/>
      <c r="I896" s="9"/>
    </row>
    <row r="897" spans="1:9" ht="14.25" customHeight="1" x14ac:dyDescent="0.35">
      <c r="A897" s="10"/>
      <c r="B897" s="10"/>
      <c r="C897" s="10"/>
      <c r="D897" s="10"/>
      <c r="E897" s="10"/>
      <c r="F897" s="10"/>
      <c r="G897" s="10"/>
      <c r="H897" s="10"/>
      <c r="I897" s="9"/>
    </row>
    <row r="898" spans="1:9" ht="14.25" customHeight="1" x14ac:dyDescent="0.35">
      <c r="A898" s="10"/>
      <c r="B898" s="10"/>
      <c r="C898" s="10"/>
      <c r="D898" s="10"/>
      <c r="E898" s="10"/>
      <c r="F898" s="10"/>
      <c r="G898" s="10"/>
      <c r="H898" s="10"/>
      <c r="I898" s="9"/>
    </row>
    <row r="899" spans="1:9" ht="14.25" customHeight="1" x14ac:dyDescent="0.35">
      <c r="A899" s="10"/>
      <c r="B899" s="10"/>
      <c r="C899" s="10"/>
      <c r="D899" s="10"/>
      <c r="E899" s="10"/>
      <c r="F899" s="10"/>
      <c r="G899" s="10"/>
      <c r="H899" s="10"/>
      <c r="I899" s="9"/>
    </row>
    <row r="900" spans="1:9" ht="14.25" customHeight="1" x14ac:dyDescent="0.35">
      <c r="A900" s="10"/>
      <c r="B900" s="10"/>
      <c r="C900" s="10"/>
      <c r="D900" s="10"/>
      <c r="E900" s="10"/>
      <c r="F900" s="10"/>
      <c r="G900" s="10"/>
      <c r="H900" s="10"/>
      <c r="I900" s="9"/>
    </row>
    <row r="901" spans="1:9" ht="14.25" customHeight="1" x14ac:dyDescent="0.35">
      <c r="A901" s="10"/>
      <c r="B901" s="10"/>
      <c r="C901" s="10"/>
      <c r="D901" s="10"/>
      <c r="E901" s="10"/>
      <c r="F901" s="10"/>
      <c r="G901" s="10"/>
      <c r="H901" s="10"/>
      <c r="I901" s="9"/>
    </row>
    <row r="902" spans="1:9" ht="14.25" customHeight="1" x14ac:dyDescent="0.35">
      <c r="A902" s="10"/>
      <c r="B902" s="10"/>
      <c r="C902" s="10"/>
      <c r="D902" s="10"/>
      <c r="E902" s="10"/>
      <c r="F902" s="10"/>
      <c r="G902" s="10"/>
      <c r="H902" s="10"/>
      <c r="I902" s="9"/>
    </row>
    <row r="903" spans="1:9" ht="14.25" customHeight="1" x14ac:dyDescent="0.35">
      <c r="A903" s="10"/>
      <c r="B903" s="10"/>
      <c r="C903" s="10"/>
      <c r="D903" s="10"/>
      <c r="E903" s="10"/>
      <c r="F903" s="10"/>
      <c r="G903" s="10"/>
      <c r="H903" s="10"/>
      <c r="I903" s="9"/>
    </row>
    <row r="904" spans="1:9" ht="14.25" customHeight="1" x14ac:dyDescent="0.35">
      <c r="A904" s="10"/>
      <c r="B904" s="10"/>
      <c r="C904" s="10"/>
      <c r="D904" s="10"/>
      <c r="E904" s="10"/>
      <c r="F904" s="10"/>
      <c r="G904" s="10"/>
      <c r="H904" s="10"/>
      <c r="I904" s="9"/>
    </row>
    <row r="905" spans="1:9" ht="14.25" customHeight="1" x14ac:dyDescent="0.35">
      <c r="A905" s="10"/>
      <c r="B905" s="10"/>
      <c r="C905" s="10"/>
      <c r="D905" s="10"/>
      <c r="E905" s="10"/>
      <c r="F905" s="10"/>
      <c r="G905" s="10"/>
      <c r="H905" s="10"/>
      <c r="I905" s="9"/>
    </row>
    <row r="906" spans="1:9" ht="14.25" customHeight="1" x14ac:dyDescent="0.35">
      <c r="A906" s="10"/>
      <c r="B906" s="10"/>
      <c r="C906" s="10"/>
      <c r="D906" s="10"/>
      <c r="E906" s="10"/>
      <c r="F906" s="10"/>
      <c r="G906" s="10"/>
      <c r="H906" s="10"/>
      <c r="I906" s="9"/>
    </row>
    <row r="907" spans="1:9" ht="14.25" customHeight="1" x14ac:dyDescent="0.35">
      <c r="A907" s="10"/>
      <c r="B907" s="10"/>
      <c r="C907" s="10"/>
      <c r="D907" s="10"/>
      <c r="E907" s="10"/>
      <c r="F907" s="10"/>
      <c r="G907" s="10"/>
      <c r="H907" s="10"/>
      <c r="I907" s="9"/>
    </row>
    <row r="908" spans="1:9" ht="14.25" customHeight="1" x14ac:dyDescent="0.35">
      <c r="A908" s="10"/>
      <c r="B908" s="10"/>
      <c r="C908" s="10"/>
      <c r="D908" s="10"/>
      <c r="E908" s="10"/>
      <c r="F908" s="10"/>
      <c r="G908" s="10"/>
      <c r="H908" s="10"/>
      <c r="I908" s="9"/>
    </row>
    <row r="909" spans="1:9" ht="14.25" customHeight="1" x14ac:dyDescent="0.35">
      <c r="A909" s="10"/>
      <c r="B909" s="10"/>
      <c r="C909" s="10"/>
      <c r="D909" s="10"/>
      <c r="E909" s="10"/>
      <c r="F909" s="10"/>
      <c r="G909" s="10"/>
      <c r="H909" s="10"/>
      <c r="I909" s="9"/>
    </row>
    <row r="910" spans="1:9" ht="14.25" customHeight="1" x14ac:dyDescent="0.35">
      <c r="A910" s="10"/>
      <c r="B910" s="10"/>
      <c r="C910" s="10"/>
      <c r="D910" s="10"/>
      <c r="E910" s="10"/>
      <c r="F910" s="10"/>
      <c r="G910" s="10"/>
      <c r="H910" s="10"/>
      <c r="I910" s="9"/>
    </row>
    <row r="911" spans="1:9" ht="14.25" customHeight="1" x14ac:dyDescent="0.35">
      <c r="A911" s="10"/>
      <c r="B911" s="10"/>
      <c r="C911" s="10"/>
      <c r="D911" s="10"/>
      <c r="E911" s="10"/>
      <c r="F911" s="10"/>
      <c r="G911" s="10"/>
      <c r="H911" s="10"/>
      <c r="I911" s="9"/>
    </row>
    <row r="912" spans="1:9" ht="14.25" customHeight="1" x14ac:dyDescent="0.35">
      <c r="A912" s="10"/>
      <c r="B912" s="10"/>
      <c r="C912" s="10"/>
      <c r="D912" s="10"/>
      <c r="E912" s="10"/>
      <c r="F912" s="10"/>
      <c r="G912" s="10"/>
      <c r="H912" s="10"/>
      <c r="I912" s="9"/>
    </row>
    <row r="913" spans="1:9" ht="14.25" customHeight="1" x14ac:dyDescent="0.35">
      <c r="A913" s="10"/>
      <c r="B913" s="10"/>
      <c r="C913" s="10"/>
      <c r="D913" s="10"/>
      <c r="E913" s="10"/>
      <c r="F913" s="10"/>
      <c r="G913" s="10"/>
      <c r="H913" s="10"/>
      <c r="I913" s="9"/>
    </row>
    <row r="914" spans="1:9" ht="14.25" customHeight="1" x14ac:dyDescent="0.35">
      <c r="A914" s="10"/>
      <c r="B914" s="10"/>
      <c r="C914" s="10"/>
      <c r="D914" s="10"/>
      <c r="E914" s="10"/>
      <c r="F914" s="10"/>
      <c r="G914" s="10"/>
      <c r="H914" s="10"/>
      <c r="I914" s="9"/>
    </row>
    <row r="915" spans="1:9" ht="14.25" customHeight="1" x14ac:dyDescent="0.35">
      <c r="A915" s="10"/>
      <c r="B915" s="10"/>
      <c r="C915" s="10"/>
      <c r="D915" s="10"/>
      <c r="E915" s="10"/>
      <c r="F915" s="10"/>
      <c r="G915" s="10"/>
      <c r="H915" s="10"/>
      <c r="I915" s="9"/>
    </row>
    <row r="916" spans="1:9" ht="14.25" customHeight="1" x14ac:dyDescent="0.35">
      <c r="A916" s="10"/>
      <c r="B916" s="10"/>
      <c r="C916" s="10"/>
      <c r="D916" s="10"/>
      <c r="E916" s="10"/>
      <c r="F916" s="10"/>
      <c r="G916" s="10"/>
      <c r="H916" s="10"/>
      <c r="I916" s="9"/>
    </row>
    <row r="917" spans="1:9" ht="14.25" customHeight="1" x14ac:dyDescent="0.35">
      <c r="A917" s="10"/>
      <c r="B917" s="10"/>
      <c r="C917" s="10"/>
      <c r="D917" s="10"/>
      <c r="E917" s="10"/>
      <c r="F917" s="10"/>
      <c r="G917" s="10"/>
      <c r="H917" s="10"/>
      <c r="I917" s="9"/>
    </row>
    <row r="918" spans="1:9" ht="14.25" customHeight="1" x14ac:dyDescent="0.35">
      <c r="A918" s="10"/>
      <c r="B918" s="10"/>
      <c r="C918" s="10"/>
      <c r="D918" s="10"/>
      <c r="E918" s="10"/>
      <c r="F918" s="10"/>
      <c r="G918" s="10"/>
      <c r="H918" s="10"/>
      <c r="I918" s="9"/>
    </row>
    <row r="919" spans="1:9" ht="14.25" customHeight="1" x14ac:dyDescent="0.35">
      <c r="A919" s="10"/>
      <c r="B919" s="10"/>
      <c r="C919" s="10"/>
      <c r="D919" s="10"/>
      <c r="E919" s="10"/>
      <c r="F919" s="10"/>
      <c r="G919" s="10"/>
      <c r="H919" s="10"/>
      <c r="I919" s="9"/>
    </row>
    <row r="920" spans="1:9" ht="14.25" customHeight="1" x14ac:dyDescent="0.35">
      <c r="A920" s="10"/>
      <c r="B920" s="10"/>
      <c r="C920" s="10"/>
      <c r="D920" s="10"/>
      <c r="E920" s="10"/>
      <c r="F920" s="10"/>
      <c r="G920" s="10"/>
      <c r="H920" s="10"/>
      <c r="I920" s="9"/>
    </row>
    <row r="921" spans="1:9" ht="14.25" customHeight="1" x14ac:dyDescent="0.35">
      <c r="A921" s="10"/>
      <c r="B921" s="10"/>
      <c r="C921" s="10"/>
      <c r="D921" s="10"/>
      <c r="E921" s="10"/>
      <c r="F921" s="10"/>
      <c r="G921" s="10"/>
      <c r="H921" s="10"/>
      <c r="I921" s="9"/>
    </row>
    <row r="922" spans="1:9" ht="14.25" customHeight="1" x14ac:dyDescent="0.35">
      <c r="A922" s="10"/>
      <c r="B922" s="10"/>
      <c r="C922" s="10"/>
      <c r="D922" s="10"/>
      <c r="E922" s="10"/>
      <c r="F922" s="10"/>
      <c r="G922" s="10"/>
      <c r="H922" s="10"/>
      <c r="I922" s="9"/>
    </row>
    <row r="923" spans="1:9" ht="14.25" customHeight="1" x14ac:dyDescent="0.35">
      <c r="A923" s="10"/>
      <c r="B923" s="10"/>
      <c r="C923" s="10"/>
      <c r="D923" s="10"/>
      <c r="E923" s="10"/>
      <c r="F923" s="10"/>
      <c r="G923" s="10"/>
      <c r="H923" s="10"/>
      <c r="I923" s="9"/>
    </row>
    <row r="924" spans="1:9" ht="14.25" customHeight="1" x14ac:dyDescent="0.35">
      <c r="A924" s="10"/>
      <c r="B924" s="10"/>
      <c r="C924" s="10"/>
      <c r="D924" s="10"/>
      <c r="E924" s="10"/>
      <c r="F924" s="10"/>
      <c r="G924" s="10"/>
      <c r="H924" s="10"/>
      <c r="I924" s="9"/>
    </row>
    <row r="925" spans="1:9" ht="14.25" customHeight="1" x14ac:dyDescent="0.35">
      <c r="A925" s="10"/>
      <c r="B925" s="10"/>
      <c r="C925" s="10"/>
      <c r="D925" s="10"/>
      <c r="E925" s="10"/>
      <c r="F925" s="10"/>
      <c r="G925" s="10"/>
      <c r="H925" s="10"/>
      <c r="I925" s="9"/>
    </row>
    <row r="926" spans="1:9" ht="14.25" customHeight="1" x14ac:dyDescent="0.35">
      <c r="A926" s="10"/>
      <c r="B926" s="10"/>
      <c r="C926" s="10"/>
      <c r="D926" s="10"/>
      <c r="E926" s="10"/>
      <c r="F926" s="10"/>
      <c r="G926" s="10"/>
      <c r="H926" s="10"/>
      <c r="I926" s="9"/>
    </row>
    <row r="927" spans="1:9" ht="14.25" customHeight="1" x14ac:dyDescent="0.35">
      <c r="A927" s="10"/>
      <c r="B927" s="10"/>
      <c r="C927" s="10"/>
      <c r="D927" s="10"/>
      <c r="E927" s="10"/>
      <c r="F927" s="10"/>
      <c r="G927" s="10"/>
      <c r="H927" s="10"/>
      <c r="I927" s="9"/>
    </row>
    <row r="928" spans="1:9" ht="14.25" customHeight="1" x14ac:dyDescent="0.35">
      <c r="A928" s="10"/>
      <c r="B928" s="10"/>
      <c r="C928" s="10"/>
      <c r="D928" s="10"/>
      <c r="E928" s="10"/>
      <c r="F928" s="10"/>
      <c r="G928" s="10"/>
      <c r="H928" s="10"/>
      <c r="I928" s="9"/>
    </row>
    <row r="929" spans="1:9" ht="14.25" customHeight="1" x14ac:dyDescent="0.35">
      <c r="A929" s="10"/>
      <c r="B929" s="10"/>
      <c r="C929" s="10"/>
      <c r="D929" s="10"/>
      <c r="E929" s="10"/>
      <c r="F929" s="10"/>
      <c r="G929" s="10"/>
      <c r="H929" s="10"/>
      <c r="I929" s="9"/>
    </row>
    <row r="930" spans="1:9" ht="14.25" customHeight="1" x14ac:dyDescent="0.35">
      <c r="A930" s="10"/>
      <c r="B930" s="10"/>
      <c r="C930" s="10"/>
      <c r="D930" s="10"/>
      <c r="E930" s="10"/>
      <c r="F930" s="10"/>
      <c r="G930" s="10"/>
      <c r="H930" s="10"/>
      <c r="I930" s="9"/>
    </row>
    <row r="931" spans="1:9" ht="14.25" customHeight="1" x14ac:dyDescent="0.35">
      <c r="A931" s="10"/>
      <c r="B931" s="10"/>
      <c r="C931" s="10"/>
      <c r="D931" s="10"/>
      <c r="E931" s="10"/>
      <c r="F931" s="10"/>
      <c r="G931" s="10"/>
      <c r="H931" s="10"/>
      <c r="I931" s="9"/>
    </row>
    <row r="932" spans="1:9" ht="14.25" customHeight="1" x14ac:dyDescent="0.35">
      <c r="A932" s="10"/>
      <c r="B932" s="10"/>
      <c r="C932" s="10"/>
      <c r="D932" s="10"/>
      <c r="E932" s="10"/>
      <c r="F932" s="10"/>
      <c r="G932" s="10"/>
      <c r="H932" s="10"/>
      <c r="I932" s="9"/>
    </row>
    <row r="933" spans="1:9" ht="14.25" customHeight="1" x14ac:dyDescent="0.35">
      <c r="A933" s="10"/>
      <c r="B933" s="10"/>
      <c r="C933" s="10"/>
      <c r="D933" s="10"/>
      <c r="E933" s="10"/>
      <c r="F933" s="10"/>
      <c r="G933" s="10"/>
      <c r="H933" s="10"/>
      <c r="I933" s="9"/>
    </row>
    <row r="934" spans="1:9" ht="14.25" customHeight="1" x14ac:dyDescent="0.35">
      <c r="A934" s="10"/>
      <c r="B934" s="10"/>
      <c r="C934" s="10"/>
      <c r="D934" s="10"/>
      <c r="E934" s="10"/>
      <c r="F934" s="10"/>
      <c r="G934" s="10"/>
      <c r="H934" s="10"/>
      <c r="I934" s="9"/>
    </row>
    <row r="935" spans="1:9" ht="14.25" customHeight="1" x14ac:dyDescent="0.35">
      <c r="A935" s="10"/>
      <c r="B935" s="10"/>
      <c r="C935" s="10"/>
      <c r="D935" s="10"/>
      <c r="E935" s="10"/>
      <c r="F935" s="10"/>
      <c r="G935" s="10"/>
      <c r="H935" s="10"/>
      <c r="I935" s="9"/>
    </row>
    <row r="936" spans="1:9" ht="14.25" customHeight="1" x14ac:dyDescent="0.35">
      <c r="A936" s="10"/>
      <c r="B936" s="10"/>
      <c r="C936" s="10"/>
      <c r="D936" s="10"/>
      <c r="E936" s="10"/>
      <c r="F936" s="10"/>
      <c r="G936" s="10"/>
      <c r="H936" s="10"/>
      <c r="I936" s="9"/>
    </row>
    <row r="937" spans="1:9" ht="14.25" customHeight="1" x14ac:dyDescent="0.35">
      <c r="A937" s="10"/>
      <c r="B937" s="10"/>
      <c r="C937" s="10"/>
      <c r="D937" s="10"/>
      <c r="E937" s="10"/>
      <c r="F937" s="10"/>
      <c r="G937" s="10"/>
      <c r="H937" s="10"/>
      <c r="I937" s="9"/>
    </row>
    <row r="938" spans="1:9" ht="14.25" customHeight="1" x14ac:dyDescent="0.35">
      <c r="A938" s="10"/>
      <c r="B938" s="10"/>
      <c r="C938" s="10"/>
      <c r="D938" s="10"/>
      <c r="E938" s="10"/>
      <c r="F938" s="10"/>
      <c r="G938" s="10"/>
      <c r="H938" s="10"/>
      <c r="I938" s="9"/>
    </row>
    <row r="939" spans="1:9" ht="14.25" customHeight="1" x14ac:dyDescent="0.35">
      <c r="A939" s="10"/>
      <c r="B939" s="10"/>
      <c r="C939" s="10"/>
      <c r="D939" s="10"/>
      <c r="E939" s="10"/>
      <c r="F939" s="10"/>
      <c r="G939" s="10"/>
      <c r="H939" s="10"/>
      <c r="I939" s="9"/>
    </row>
    <row r="940" spans="1:9" ht="14.25" customHeight="1" x14ac:dyDescent="0.35">
      <c r="A940" s="10"/>
      <c r="B940" s="10"/>
      <c r="C940" s="10"/>
      <c r="D940" s="10"/>
      <c r="E940" s="10"/>
      <c r="F940" s="10"/>
      <c r="G940" s="10"/>
      <c r="H940" s="10"/>
      <c r="I940" s="9"/>
    </row>
    <row r="941" spans="1:9" ht="14.25" customHeight="1" x14ac:dyDescent="0.35">
      <c r="A941" s="10"/>
      <c r="B941" s="10"/>
      <c r="C941" s="10"/>
      <c r="D941" s="10"/>
      <c r="E941" s="10"/>
      <c r="F941" s="10"/>
      <c r="G941" s="10"/>
      <c r="H941" s="10"/>
      <c r="I941" s="9"/>
    </row>
    <row r="942" spans="1:9" ht="14.25" customHeight="1" x14ac:dyDescent="0.35">
      <c r="A942" s="10"/>
      <c r="B942" s="10"/>
      <c r="C942" s="10"/>
      <c r="D942" s="10"/>
      <c r="E942" s="10"/>
      <c r="F942" s="10"/>
      <c r="G942" s="10"/>
      <c r="H942" s="10"/>
      <c r="I942" s="9"/>
    </row>
    <row r="943" spans="1:9" ht="14.25" customHeight="1" x14ac:dyDescent="0.35">
      <c r="A943" s="10"/>
      <c r="B943" s="10"/>
      <c r="C943" s="10"/>
      <c r="D943" s="10"/>
      <c r="E943" s="10"/>
      <c r="F943" s="10"/>
      <c r="G943" s="10"/>
      <c r="H943" s="10"/>
      <c r="I943" s="9"/>
    </row>
    <row r="944" spans="1:9" ht="14.25" customHeight="1" x14ac:dyDescent="0.35">
      <c r="A944" s="10"/>
      <c r="B944" s="10"/>
      <c r="C944" s="10"/>
      <c r="D944" s="10"/>
      <c r="E944" s="10"/>
      <c r="F944" s="10"/>
      <c r="G944" s="10"/>
      <c r="H944" s="10"/>
      <c r="I944" s="9"/>
    </row>
    <row r="945" spans="1:9" ht="14.25" customHeight="1" x14ac:dyDescent="0.35">
      <c r="A945" s="10"/>
      <c r="B945" s="10"/>
      <c r="C945" s="10"/>
      <c r="D945" s="10"/>
      <c r="E945" s="10"/>
      <c r="F945" s="10"/>
      <c r="G945" s="10"/>
      <c r="H945" s="10"/>
      <c r="I945" s="9"/>
    </row>
    <row r="946" spans="1:9" ht="14.25" customHeight="1" x14ac:dyDescent="0.35">
      <c r="A946" s="10"/>
      <c r="B946" s="10"/>
      <c r="C946" s="10"/>
      <c r="D946" s="10"/>
      <c r="E946" s="10"/>
      <c r="F946" s="10"/>
      <c r="G946" s="10"/>
      <c r="H946" s="10"/>
      <c r="I946" s="9"/>
    </row>
    <row r="947" spans="1:9" ht="14.25" customHeight="1" x14ac:dyDescent="0.35">
      <c r="A947" s="10"/>
      <c r="B947" s="10"/>
      <c r="C947" s="10"/>
      <c r="D947" s="10"/>
      <c r="E947" s="10"/>
      <c r="F947" s="10"/>
      <c r="G947" s="10"/>
      <c r="H947" s="10"/>
      <c r="I947" s="9"/>
    </row>
    <row r="948" spans="1:9" ht="14.25" customHeight="1" x14ac:dyDescent="0.35">
      <c r="A948" s="10"/>
      <c r="B948" s="10"/>
      <c r="C948" s="10"/>
      <c r="D948" s="10"/>
      <c r="E948" s="10"/>
      <c r="F948" s="10"/>
      <c r="G948" s="10"/>
      <c r="H948" s="10"/>
      <c r="I948" s="9"/>
    </row>
    <row r="949" spans="1:9" ht="14.25" customHeight="1" x14ac:dyDescent="0.35">
      <c r="A949" s="10"/>
      <c r="B949" s="10"/>
      <c r="C949" s="10"/>
      <c r="D949" s="10"/>
      <c r="E949" s="10"/>
      <c r="F949" s="10"/>
      <c r="G949" s="10"/>
      <c r="H949" s="10"/>
      <c r="I949" s="9"/>
    </row>
    <row r="950" spans="1:9" ht="14.25" customHeight="1" x14ac:dyDescent="0.35">
      <c r="A950" s="10"/>
      <c r="B950" s="10"/>
      <c r="C950" s="10"/>
      <c r="D950" s="10"/>
      <c r="E950" s="10"/>
      <c r="F950" s="10"/>
      <c r="G950" s="10"/>
      <c r="H950" s="10"/>
      <c r="I950" s="9"/>
    </row>
    <row r="951" spans="1:9" ht="14.25" customHeight="1" x14ac:dyDescent="0.35">
      <c r="A951" s="10"/>
      <c r="B951" s="10"/>
      <c r="C951" s="10"/>
      <c r="D951" s="10"/>
      <c r="E951" s="10"/>
      <c r="F951" s="10"/>
      <c r="G951" s="10"/>
      <c r="H951" s="10"/>
      <c r="I951" s="9"/>
    </row>
    <row r="952" spans="1:9" ht="14.25" customHeight="1" x14ac:dyDescent="0.35">
      <c r="A952" s="10"/>
      <c r="B952" s="10"/>
      <c r="C952" s="10"/>
      <c r="D952" s="10"/>
      <c r="E952" s="10"/>
      <c r="F952" s="10"/>
      <c r="G952" s="10"/>
      <c r="H952" s="10"/>
      <c r="I952" s="9"/>
    </row>
    <row r="953" spans="1:9" ht="14.25" customHeight="1" x14ac:dyDescent="0.35">
      <c r="A953" s="10"/>
      <c r="B953" s="10"/>
      <c r="C953" s="10"/>
      <c r="D953" s="10"/>
      <c r="E953" s="10"/>
      <c r="F953" s="10"/>
      <c r="G953" s="10"/>
      <c r="H953" s="10"/>
      <c r="I953" s="9"/>
    </row>
    <row r="954" spans="1:9" ht="14.25" customHeight="1" x14ac:dyDescent="0.35">
      <c r="A954" s="10"/>
      <c r="B954" s="10"/>
      <c r="C954" s="10"/>
      <c r="D954" s="10"/>
      <c r="E954" s="10"/>
      <c r="F954" s="10"/>
      <c r="G954" s="10"/>
      <c r="H954" s="10"/>
      <c r="I954" s="9"/>
    </row>
    <row r="955" spans="1:9" ht="14.25" customHeight="1" x14ac:dyDescent="0.35">
      <c r="A955" s="10"/>
      <c r="B955" s="10"/>
      <c r="C955" s="10"/>
      <c r="D955" s="10"/>
      <c r="E955" s="10"/>
      <c r="F955" s="10"/>
      <c r="G955" s="10"/>
      <c r="H955" s="10"/>
      <c r="I955" s="9"/>
    </row>
    <row r="956" spans="1:9" ht="14.25" customHeight="1" x14ac:dyDescent="0.35">
      <c r="A956" s="10"/>
      <c r="B956" s="10"/>
      <c r="C956" s="10"/>
      <c r="D956" s="10"/>
      <c r="E956" s="10"/>
      <c r="F956" s="10"/>
      <c r="G956" s="10"/>
      <c r="H956" s="10"/>
      <c r="I956" s="9"/>
    </row>
    <row r="957" spans="1:9" ht="14.25" customHeight="1" x14ac:dyDescent="0.35">
      <c r="A957" s="10"/>
      <c r="B957" s="10"/>
      <c r="C957" s="10"/>
      <c r="D957" s="10"/>
      <c r="E957" s="10"/>
      <c r="F957" s="10"/>
      <c r="G957" s="10"/>
      <c r="H957" s="10"/>
      <c r="I957" s="9"/>
    </row>
    <row r="958" spans="1:9" ht="14.25" customHeight="1" x14ac:dyDescent="0.35">
      <c r="A958" s="10"/>
      <c r="B958" s="10"/>
      <c r="C958" s="10"/>
      <c r="D958" s="10"/>
      <c r="E958" s="10"/>
      <c r="F958" s="10"/>
      <c r="G958" s="10"/>
      <c r="H958" s="10"/>
      <c r="I958" s="9"/>
    </row>
    <row r="959" spans="1:9" ht="14.25" customHeight="1" x14ac:dyDescent="0.35">
      <c r="A959" s="10"/>
      <c r="B959" s="10"/>
      <c r="C959" s="10"/>
      <c r="D959" s="10"/>
      <c r="E959" s="10"/>
      <c r="F959" s="10"/>
      <c r="G959" s="10"/>
      <c r="H959" s="10"/>
      <c r="I959" s="9"/>
    </row>
    <row r="960" spans="1:9" ht="14.25" customHeight="1" x14ac:dyDescent="0.35">
      <c r="A960" s="10"/>
      <c r="B960" s="10"/>
      <c r="C960" s="10"/>
      <c r="D960" s="10"/>
      <c r="E960" s="10"/>
      <c r="F960" s="10"/>
      <c r="G960" s="10"/>
      <c r="H960" s="10"/>
      <c r="I960" s="9"/>
    </row>
    <row r="961" spans="1:9" ht="14.25" customHeight="1" x14ac:dyDescent="0.35">
      <c r="A961" s="10"/>
      <c r="B961" s="10"/>
      <c r="C961" s="10"/>
      <c r="D961" s="10"/>
      <c r="E961" s="10"/>
      <c r="F961" s="10"/>
      <c r="G961" s="10"/>
      <c r="H961" s="10"/>
      <c r="I961" s="9"/>
    </row>
    <row r="962" spans="1:9" ht="14.25" customHeight="1" x14ac:dyDescent="0.35">
      <c r="A962" s="10"/>
      <c r="B962" s="10"/>
      <c r="C962" s="10"/>
      <c r="D962" s="10"/>
      <c r="E962" s="10"/>
      <c r="F962" s="10"/>
      <c r="G962" s="10"/>
      <c r="H962" s="10"/>
      <c r="I962" s="9"/>
    </row>
    <row r="963" spans="1:9" ht="14.25" customHeight="1" x14ac:dyDescent="0.35">
      <c r="A963" s="10"/>
      <c r="B963" s="10"/>
      <c r="C963" s="10"/>
      <c r="D963" s="10"/>
      <c r="E963" s="10"/>
      <c r="F963" s="10"/>
      <c r="G963" s="10"/>
      <c r="H963" s="10"/>
      <c r="I963" s="9"/>
    </row>
    <row r="964" spans="1:9" ht="14.25" customHeight="1" x14ac:dyDescent="0.35">
      <c r="A964" s="10"/>
      <c r="B964" s="10"/>
      <c r="C964" s="10"/>
      <c r="D964" s="10"/>
      <c r="E964" s="10"/>
      <c r="F964" s="10"/>
      <c r="G964" s="10"/>
      <c r="H964" s="10"/>
      <c r="I964" s="9"/>
    </row>
    <row r="965" spans="1:9" ht="14.25" customHeight="1" x14ac:dyDescent="0.35">
      <c r="A965" s="10"/>
      <c r="B965" s="10"/>
      <c r="C965" s="10"/>
      <c r="D965" s="10"/>
      <c r="E965" s="10"/>
      <c r="F965" s="10"/>
      <c r="G965" s="10"/>
      <c r="H965" s="10"/>
      <c r="I965" s="9"/>
    </row>
    <row r="966" spans="1:9" ht="14.25" customHeight="1" x14ac:dyDescent="0.35">
      <c r="A966" s="10"/>
      <c r="B966" s="10"/>
      <c r="C966" s="10"/>
      <c r="D966" s="10"/>
      <c r="E966" s="10"/>
      <c r="F966" s="10"/>
      <c r="G966" s="10"/>
      <c r="H966" s="10"/>
      <c r="I966" s="9"/>
    </row>
    <row r="967" spans="1:9" ht="14.25" customHeight="1" x14ac:dyDescent="0.35">
      <c r="A967" s="10"/>
      <c r="B967" s="10"/>
      <c r="C967" s="10"/>
      <c r="D967" s="10"/>
      <c r="E967" s="10"/>
      <c r="F967" s="10"/>
      <c r="G967" s="10"/>
      <c r="H967" s="10"/>
      <c r="I967" s="9"/>
    </row>
    <row r="968" spans="1:9" ht="14.25" customHeight="1" x14ac:dyDescent="0.35">
      <c r="A968" s="10"/>
      <c r="B968" s="10"/>
      <c r="C968" s="10"/>
      <c r="D968" s="10"/>
      <c r="E968" s="10"/>
      <c r="F968" s="10"/>
      <c r="G968" s="10"/>
      <c r="H968" s="10"/>
      <c r="I968" s="9"/>
    </row>
    <row r="969" spans="1:9" ht="14.25" customHeight="1" x14ac:dyDescent="0.35">
      <c r="A969" s="10"/>
      <c r="B969" s="10"/>
      <c r="C969" s="10"/>
      <c r="D969" s="10"/>
      <c r="E969" s="10"/>
      <c r="F969" s="10"/>
      <c r="G969" s="10"/>
      <c r="H969" s="10"/>
      <c r="I969" s="9"/>
    </row>
    <row r="970" spans="1:9" ht="14.25" customHeight="1" x14ac:dyDescent="0.35">
      <c r="A970" s="10"/>
      <c r="B970" s="10"/>
      <c r="C970" s="10"/>
      <c r="D970" s="10"/>
      <c r="E970" s="10"/>
      <c r="F970" s="10"/>
      <c r="G970" s="10"/>
      <c r="H970" s="10"/>
      <c r="I970" s="9"/>
    </row>
    <row r="971" spans="1:9" ht="14.25" customHeight="1" x14ac:dyDescent="0.35">
      <c r="A971" s="10"/>
      <c r="B971" s="10"/>
      <c r="C971" s="10"/>
      <c r="D971" s="10"/>
      <c r="E971" s="10"/>
      <c r="F971" s="10"/>
      <c r="G971" s="10"/>
      <c r="H971" s="10"/>
      <c r="I971" s="9"/>
    </row>
    <row r="972" spans="1:9" ht="14.25" customHeight="1" x14ac:dyDescent="0.35">
      <c r="A972" s="10"/>
      <c r="B972" s="10"/>
      <c r="C972" s="10"/>
      <c r="D972" s="10"/>
      <c r="E972" s="10"/>
      <c r="F972" s="10"/>
      <c r="G972" s="10"/>
      <c r="H972" s="10"/>
      <c r="I972" s="9"/>
    </row>
    <row r="973" spans="1:9" ht="14.25" customHeight="1" x14ac:dyDescent="0.35">
      <c r="A973" s="10"/>
      <c r="B973" s="10"/>
      <c r="C973" s="10"/>
      <c r="D973" s="10"/>
      <c r="E973" s="10"/>
      <c r="F973" s="10"/>
      <c r="G973" s="10"/>
      <c r="H973" s="10"/>
      <c r="I973" s="9"/>
    </row>
    <row r="974" spans="1:9" ht="14.25" customHeight="1" x14ac:dyDescent="0.35">
      <c r="A974" s="10"/>
      <c r="B974" s="10"/>
      <c r="C974" s="10"/>
      <c r="D974" s="10"/>
      <c r="E974" s="10"/>
      <c r="F974" s="10"/>
      <c r="G974" s="10"/>
      <c r="H974" s="10"/>
      <c r="I974" s="9"/>
    </row>
    <row r="975" spans="1:9" ht="14.25" customHeight="1" x14ac:dyDescent="0.35">
      <c r="A975" s="10"/>
      <c r="B975" s="10"/>
      <c r="C975" s="10"/>
      <c r="D975" s="10"/>
      <c r="E975" s="10"/>
      <c r="F975" s="10"/>
      <c r="G975" s="10"/>
      <c r="H975" s="10"/>
      <c r="I975" s="9"/>
    </row>
    <row r="976" spans="1:9" ht="14.25" customHeight="1" x14ac:dyDescent="0.35">
      <c r="A976" s="10"/>
      <c r="B976" s="10"/>
      <c r="C976" s="10"/>
      <c r="D976" s="10"/>
      <c r="E976" s="10"/>
      <c r="F976" s="10"/>
      <c r="G976" s="10"/>
      <c r="H976" s="10"/>
      <c r="I976" s="9"/>
    </row>
    <row r="977" spans="1:9" ht="14.25" customHeight="1" x14ac:dyDescent="0.35">
      <c r="A977" s="10"/>
      <c r="B977" s="10"/>
      <c r="C977" s="10"/>
      <c r="D977" s="10"/>
      <c r="E977" s="10"/>
      <c r="F977" s="10"/>
      <c r="G977" s="10"/>
      <c r="H977" s="10"/>
      <c r="I977" s="9"/>
    </row>
    <row r="978" spans="1:9" ht="14.25" customHeight="1" x14ac:dyDescent="0.35">
      <c r="A978" s="10"/>
      <c r="B978" s="10"/>
      <c r="C978" s="10"/>
      <c r="D978" s="10"/>
      <c r="E978" s="10"/>
      <c r="F978" s="10"/>
      <c r="G978" s="10"/>
      <c r="H978" s="10"/>
      <c r="I978" s="9"/>
    </row>
    <row r="979" spans="1:9" ht="14.25" customHeight="1" x14ac:dyDescent="0.35">
      <c r="A979" s="10"/>
      <c r="B979" s="10"/>
      <c r="C979" s="10"/>
      <c r="D979" s="10"/>
      <c r="E979" s="10"/>
      <c r="F979" s="10"/>
      <c r="G979" s="10"/>
      <c r="H979" s="10"/>
      <c r="I979" s="9"/>
    </row>
    <row r="980" spans="1:9" ht="14.25" customHeight="1" x14ac:dyDescent="0.35">
      <c r="A980" s="10"/>
      <c r="B980" s="10"/>
      <c r="C980" s="10"/>
      <c r="D980" s="10"/>
      <c r="E980" s="10"/>
      <c r="F980" s="10"/>
      <c r="G980" s="10"/>
      <c r="H980" s="10"/>
      <c r="I980" s="9"/>
    </row>
    <row r="981" spans="1:9" ht="14.25" customHeight="1" x14ac:dyDescent="0.35">
      <c r="A981" s="10"/>
      <c r="B981" s="10"/>
      <c r="C981" s="10"/>
      <c r="D981" s="10"/>
      <c r="E981" s="10"/>
      <c r="F981" s="10"/>
      <c r="G981" s="10"/>
      <c r="H981" s="10"/>
      <c r="I981" s="9"/>
    </row>
    <row r="982" spans="1:9" ht="14.25" customHeight="1" x14ac:dyDescent="0.35">
      <c r="A982" s="10"/>
      <c r="B982" s="10"/>
      <c r="C982" s="10"/>
      <c r="D982" s="10"/>
      <c r="E982" s="10"/>
      <c r="F982" s="10"/>
      <c r="G982" s="10"/>
      <c r="H982" s="10"/>
      <c r="I982" s="9"/>
    </row>
    <row r="983" spans="1:9" ht="14.25" customHeight="1" x14ac:dyDescent="0.35">
      <c r="A983" s="10"/>
      <c r="B983" s="10"/>
      <c r="C983" s="10"/>
      <c r="D983" s="10"/>
      <c r="E983" s="10"/>
      <c r="F983" s="10"/>
      <c r="G983" s="10"/>
      <c r="H983" s="10"/>
      <c r="I983" s="9"/>
    </row>
    <row r="984" spans="1:9" ht="14.25" customHeight="1" x14ac:dyDescent="0.35">
      <c r="A984" s="10"/>
      <c r="B984" s="10"/>
      <c r="C984" s="10"/>
      <c r="D984" s="10"/>
      <c r="E984" s="10"/>
      <c r="F984" s="10"/>
      <c r="G984" s="10"/>
      <c r="H984" s="10"/>
      <c r="I984" s="9"/>
    </row>
    <row r="985" spans="1:9" ht="14.25" customHeight="1" x14ac:dyDescent="0.35">
      <c r="A985" s="10"/>
      <c r="B985" s="10"/>
      <c r="C985" s="10"/>
      <c r="D985" s="10"/>
      <c r="E985" s="10"/>
      <c r="F985" s="10"/>
      <c r="G985" s="10"/>
      <c r="H985" s="10"/>
      <c r="I985" s="9"/>
    </row>
    <row r="986" spans="1:9" ht="14.25" customHeight="1" x14ac:dyDescent="0.35">
      <c r="A986" s="10"/>
      <c r="B986" s="10"/>
      <c r="C986" s="10"/>
      <c r="D986" s="10"/>
      <c r="E986" s="10"/>
      <c r="F986" s="10"/>
      <c r="G986" s="10"/>
      <c r="H986" s="10"/>
      <c r="I986" s="9"/>
    </row>
    <row r="987" spans="1:9" ht="14.25" customHeight="1" x14ac:dyDescent="0.35">
      <c r="A987" s="10"/>
      <c r="B987" s="10"/>
      <c r="C987" s="10"/>
      <c r="D987" s="10"/>
      <c r="E987" s="10"/>
      <c r="F987" s="10"/>
      <c r="G987" s="10"/>
      <c r="H987" s="10"/>
      <c r="I987" s="9"/>
    </row>
    <row r="988" spans="1:9" ht="14.25" customHeight="1" x14ac:dyDescent="0.35">
      <c r="A988" s="10"/>
      <c r="B988" s="10"/>
      <c r="C988" s="10"/>
      <c r="D988" s="10"/>
      <c r="E988" s="10"/>
      <c r="F988" s="10"/>
      <c r="G988" s="10"/>
      <c r="H988" s="10"/>
      <c r="I988" s="9"/>
    </row>
    <row r="989" spans="1:9" ht="14.25" customHeight="1" x14ac:dyDescent="0.35">
      <c r="A989" s="10"/>
      <c r="B989" s="10"/>
      <c r="C989" s="10"/>
      <c r="D989" s="10"/>
      <c r="E989" s="10"/>
      <c r="F989" s="10"/>
      <c r="G989" s="10"/>
      <c r="H989" s="10"/>
      <c r="I989" s="9"/>
    </row>
    <row r="990" spans="1:9" ht="14.25" customHeight="1" x14ac:dyDescent="0.35">
      <c r="A990" s="10"/>
      <c r="B990" s="10"/>
      <c r="C990" s="10"/>
      <c r="D990" s="10"/>
      <c r="E990" s="10"/>
      <c r="F990" s="10"/>
      <c r="G990" s="10"/>
      <c r="H990" s="10"/>
      <c r="I990" s="9"/>
    </row>
    <row r="991" spans="1:9" ht="14.25" customHeight="1" x14ac:dyDescent="0.35">
      <c r="A991" s="10"/>
      <c r="B991" s="10"/>
      <c r="C991" s="10"/>
      <c r="D991" s="10"/>
      <c r="E991" s="10"/>
      <c r="F991" s="10"/>
      <c r="G991" s="10"/>
      <c r="H991" s="10"/>
      <c r="I991" s="9"/>
    </row>
    <row r="992" spans="1:9" ht="14.25" customHeight="1" x14ac:dyDescent="0.35">
      <c r="A992" s="10"/>
      <c r="B992" s="10"/>
      <c r="C992" s="10"/>
      <c r="D992" s="10"/>
      <c r="E992" s="10"/>
      <c r="F992" s="10"/>
      <c r="G992" s="10"/>
      <c r="H992" s="10"/>
      <c r="I992" s="9"/>
    </row>
    <row r="993" spans="1:9" ht="14.25" customHeight="1" x14ac:dyDescent="0.35">
      <c r="A993" s="10"/>
      <c r="B993" s="10"/>
      <c r="C993" s="10"/>
      <c r="D993" s="10"/>
      <c r="E993" s="10"/>
      <c r="F993" s="10"/>
      <c r="G993" s="10"/>
      <c r="H993" s="10"/>
      <c r="I993" s="9"/>
    </row>
    <row r="994" spans="1:9" ht="14.25" customHeight="1" x14ac:dyDescent="0.35">
      <c r="A994" s="10"/>
      <c r="B994" s="10"/>
      <c r="C994" s="10"/>
      <c r="D994" s="10"/>
      <c r="E994" s="10"/>
      <c r="F994" s="10"/>
      <c r="G994" s="10"/>
      <c r="H994" s="10"/>
      <c r="I994" s="9"/>
    </row>
    <row r="995" spans="1:9" ht="14.25" customHeight="1" x14ac:dyDescent="0.35">
      <c r="A995" s="10"/>
      <c r="B995" s="10"/>
      <c r="C995" s="10"/>
      <c r="D995" s="10"/>
      <c r="E995" s="10"/>
      <c r="F995" s="10"/>
      <c r="G995" s="10"/>
      <c r="H995" s="10"/>
      <c r="I995" s="9"/>
    </row>
    <row r="996" spans="1:9" ht="14.25" customHeight="1" x14ac:dyDescent="0.35">
      <c r="A996" s="10"/>
      <c r="B996" s="10"/>
      <c r="C996" s="10"/>
      <c r="D996" s="10"/>
      <c r="E996" s="10"/>
      <c r="F996" s="10"/>
      <c r="G996" s="10"/>
      <c r="H996" s="10"/>
      <c r="I996" s="9"/>
    </row>
    <row r="997" spans="1:9" ht="14.25" customHeight="1" x14ac:dyDescent="0.35">
      <c r="A997" s="10"/>
      <c r="B997" s="10"/>
      <c r="C997" s="10"/>
      <c r="D997" s="10"/>
      <c r="E997" s="10"/>
      <c r="F997" s="10"/>
      <c r="G997" s="10"/>
      <c r="H997" s="10"/>
      <c r="I997" s="9"/>
    </row>
    <row r="998" spans="1:9" ht="14.25" customHeight="1" x14ac:dyDescent="0.35">
      <c r="A998" s="10"/>
      <c r="B998" s="10"/>
      <c r="C998" s="10"/>
      <c r="D998" s="10"/>
      <c r="E998" s="10"/>
      <c r="F998" s="10"/>
      <c r="G998" s="10"/>
      <c r="H998" s="10"/>
      <c r="I998" s="9"/>
    </row>
    <row r="999" spans="1:9" ht="14.25" customHeight="1" x14ac:dyDescent="0.35">
      <c r="A999" s="10"/>
      <c r="B999" s="10"/>
      <c r="C999" s="10"/>
      <c r="D999" s="10"/>
      <c r="E999" s="10"/>
      <c r="F999" s="10"/>
      <c r="G999" s="10"/>
      <c r="H999" s="10"/>
      <c r="I999" s="9"/>
    </row>
    <row r="1000" spans="1:9" ht="14.25" customHeight="1" x14ac:dyDescent="0.35">
      <c r="A1000" s="10"/>
      <c r="B1000" s="10"/>
      <c r="C1000" s="10"/>
      <c r="D1000" s="10"/>
      <c r="E1000" s="10"/>
      <c r="F1000" s="10"/>
      <c r="G1000" s="10"/>
      <c r="H1000" s="10"/>
      <c r="I1000" s="9"/>
    </row>
  </sheetData>
  <pageMargins left="0.75" right="0.75" top="1" bottom="1" header="0" footer="0"/>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1000"/>
  <sheetViews>
    <sheetView workbookViewId="0"/>
  </sheetViews>
  <sheetFormatPr defaultColWidth="14.453125" defaultRowHeight="15" customHeight="1" x14ac:dyDescent="0.35"/>
  <cols>
    <col min="1" max="1" width="24" customWidth="1"/>
    <col min="2" max="7" width="11" customWidth="1"/>
    <col min="8" max="26" width="8.54296875" customWidth="1"/>
  </cols>
  <sheetData>
    <row r="1" spans="1:7" ht="15.75" customHeight="1" x14ac:dyDescent="0.35">
      <c r="A1" s="11" t="s">
        <v>935</v>
      </c>
      <c r="B1" s="10"/>
      <c r="C1" s="10"/>
      <c r="D1" s="10"/>
      <c r="E1" s="10"/>
      <c r="F1" s="10"/>
      <c r="G1" s="10"/>
    </row>
    <row r="2" spans="1:7" ht="15" customHeight="1" x14ac:dyDescent="0.35">
      <c r="A2" s="12" t="s">
        <v>936</v>
      </c>
      <c r="B2" s="10"/>
      <c r="C2" s="10"/>
      <c r="D2" s="10"/>
      <c r="E2" s="10"/>
      <c r="F2" s="10"/>
      <c r="G2" s="10"/>
    </row>
    <row r="3" spans="1:7" ht="14.25" customHeight="1" x14ac:dyDescent="0.35">
      <c r="A3" s="10"/>
      <c r="B3" s="10"/>
      <c r="C3" s="10"/>
      <c r="D3" s="10"/>
      <c r="E3" s="10"/>
      <c r="F3" s="10"/>
      <c r="G3" s="10"/>
    </row>
    <row r="4" spans="1:7" ht="15" customHeight="1" x14ac:dyDescent="0.35">
      <c r="A4" s="13" t="s">
        <v>937</v>
      </c>
      <c r="B4" s="10"/>
      <c r="C4" s="10"/>
      <c r="D4" s="10"/>
      <c r="E4" s="10"/>
      <c r="F4" s="10"/>
      <c r="G4" s="10"/>
    </row>
    <row r="5" spans="1:7" ht="15" customHeight="1" x14ac:dyDescent="0.35">
      <c r="A5" s="14" t="s">
        <v>938</v>
      </c>
      <c r="B5" s="14" t="s">
        <v>939</v>
      </c>
      <c r="C5" s="10"/>
      <c r="D5" s="10"/>
      <c r="E5" s="10"/>
      <c r="F5" s="10"/>
      <c r="G5" s="10"/>
    </row>
    <row r="6" spans="1:7" ht="15" customHeight="1" x14ac:dyDescent="0.35">
      <c r="A6" s="15" t="s">
        <v>940</v>
      </c>
      <c r="B6" s="16">
        <f>SUMIFS('Data (parsed)'!$I$2:$I$235,'Data (parsed)'!$B$2:$B$235,A6)</f>
        <v>104</v>
      </c>
      <c r="C6" s="10"/>
      <c r="D6" s="10"/>
      <c r="E6" s="10"/>
      <c r="F6" s="10"/>
      <c r="G6" s="10"/>
    </row>
    <row r="7" spans="1:7" ht="15" customHeight="1" x14ac:dyDescent="0.35">
      <c r="A7" s="15" t="s">
        <v>941</v>
      </c>
      <c r="B7" s="16">
        <f>SUMIFS('Data (parsed)'!$I$2:$I$235,'Data (parsed)'!$B$2:$B$235,A7)</f>
        <v>31</v>
      </c>
      <c r="C7" s="10"/>
      <c r="D7" s="10"/>
      <c r="E7" s="10"/>
      <c r="F7" s="10"/>
      <c r="G7" s="10"/>
    </row>
    <row r="8" spans="1:7" ht="15" customHeight="1" x14ac:dyDescent="0.35">
      <c r="A8" s="15" t="s">
        <v>942</v>
      </c>
      <c r="B8" s="16">
        <f>SUMIFS('Data (parsed)'!$I$2:$I$235,'Data (parsed)'!$B$2:$B$235,A8)</f>
        <v>39</v>
      </c>
      <c r="C8" s="10"/>
      <c r="D8" s="10"/>
      <c r="E8" s="10"/>
      <c r="F8" s="10"/>
      <c r="G8" s="10"/>
    </row>
    <row r="9" spans="1:7" ht="15" customHeight="1" x14ac:dyDescent="0.35">
      <c r="A9" s="15" t="s">
        <v>943</v>
      </c>
      <c r="B9" s="16">
        <f>SUMIFS('Data (parsed)'!$I$2:$I$235,'Data (parsed)'!$B$2:$B$235,A9)</f>
        <v>57</v>
      </c>
      <c r="C9" s="10"/>
      <c r="D9" s="10"/>
      <c r="E9" s="10"/>
      <c r="F9" s="10"/>
      <c r="G9" s="10"/>
    </row>
    <row r="10" spans="1:7" ht="15" customHeight="1" x14ac:dyDescent="0.35">
      <c r="A10" s="17" t="s">
        <v>944</v>
      </c>
      <c r="B10" s="18">
        <f>SUM(B6:B9)</f>
        <v>231</v>
      </c>
      <c r="C10" s="10"/>
      <c r="D10" s="10"/>
      <c r="E10" s="10"/>
      <c r="F10" s="10"/>
      <c r="G10" s="10"/>
    </row>
    <row r="11" spans="1:7" ht="14.25" customHeight="1" x14ac:dyDescent="0.35">
      <c r="A11" s="10"/>
      <c r="B11" s="10"/>
      <c r="C11" s="10"/>
      <c r="D11" s="10"/>
      <c r="E11" s="10"/>
      <c r="F11" s="10"/>
      <c r="G11" s="10"/>
    </row>
    <row r="12" spans="1:7" ht="15" customHeight="1" x14ac:dyDescent="0.35">
      <c r="A12" s="13" t="s">
        <v>945</v>
      </c>
      <c r="B12" s="10"/>
      <c r="C12" s="10"/>
      <c r="D12" s="10"/>
      <c r="E12" s="10"/>
      <c r="F12" s="10"/>
      <c r="G12" s="10"/>
    </row>
    <row r="13" spans="1:7" ht="15" customHeight="1" x14ac:dyDescent="0.35">
      <c r="A13" s="14"/>
      <c r="B13" s="14" t="s">
        <v>11</v>
      </c>
      <c r="C13" s="14" t="s">
        <v>95</v>
      </c>
      <c r="D13" s="14" t="s">
        <v>22</v>
      </c>
      <c r="E13" s="14" t="s">
        <v>38</v>
      </c>
      <c r="F13" s="14" t="s">
        <v>64</v>
      </c>
      <c r="G13" s="14" t="s">
        <v>944</v>
      </c>
    </row>
    <row r="14" spans="1:7" ht="15" customHeight="1" x14ac:dyDescent="0.35">
      <c r="A14" s="15" t="s">
        <v>940</v>
      </c>
      <c r="B14" s="16">
        <f>SUMIFS('Data (parsed)'!$I$2:$I$235,'Data (parsed)'!$B$2:$B$235,$A14,'Data (parsed)'!$D$2:$D$235,B$13)</f>
        <v>6</v>
      </c>
      <c r="C14" s="16">
        <f>SUMIFS('Data (parsed)'!$I$2:$I$235,'Data (parsed)'!$B$2:$B$235,$A14,'Data (parsed)'!$D$2:$D$235,C$13)</f>
        <v>14</v>
      </c>
      <c r="D14" s="16">
        <f>SUMIFS('Data (parsed)'!$I$2:$I$235,'Data (parsed)'!$B$2:$B$235,$A14,'Data (parsed)'!$D$2:$D$235,D$13)</f>
        <v>17</v>
      </c>
      <c r="E14" s="16">
        <f>SUMIFS('Data (parsed)'!$I$2:$I$235,'Data (parsed)'!$B$2:$B$235,$A14,'Data (parsed)'!$D$2:$D$235,E$13)</f>
        <v>37</v>
      </c>
      <c r="F14" s="16">
        <f>SUMIFS('Data (parsed)'!$I$2:$I$235,'Data (parsed)'!$B$2:$B$235,$A14,'Data (parsed)'!$D$2:$D$235,F$13)</f>
        <v>30</v>
      </c>
      <c r="G14" s="18">
        <f t="shared" ref="G14:G17" si="0">SUM(B14:F14)</f>
        <v>104</v>
      </c>
    </row>
    <row r="15" spans="1:7" ht="15" customHeight="1" x14ac:dyDescent="0.35">
      <c r="A15" s="15" t="s">
        <v>941</v>
      </c>
      <c r="B15" s="16">
        <f>SUMIFS('Data (parsed)'!$I$2:$I$235,'Data (parsed)'!$B$2:$B$235,$A15,'Data (parsed)'!$D$2:$D$235,B$13)</f>
        <v>4</v>
      </c>
      <c r="C15" s="16">
        <f>SUMIFS('Data (parsed)'!$I$2:$I$235,'Data (parsed)'!$B$2:$B$235,$A15,'Data (parsed)'!$D$2:$D$235,C$13)</f>
        <v>7</v>
      </c>
      <c r="D15" s="16">
        <f>SUMIFS('Data (parsed)'!$I$2:$I$235,'Data (parsed)'!$B$2:$B$235,$A15,'Data (parsed)'!$D$2:$D$235,D$13)</f>
        <v>2</v>
      </c>
      <c r="E15" s="16">
        <f>SUMIFS('Data (parsed)'!$I$2:$I$235,'Data (parsed)'!$B$2:$B$235,$A15,'Data (parsed)'!$D$2:$D$235,E$13)</f>
        <v>5</v>
      </c>
      <c r="F15" s="16">
        <f>SUMIFS('Data (parsed)'!$I$2:$I$235,'Data (parsed)'!$B$2:$B$235,$A15,'Data (parsed)'!$D$2:$D$235,F$13)</f>
        <v>13</v>
      </c>
      <c r="G15" s="18">
        <f t="shared" si="0"/>
        <v>31</v>
      </c>
    </row>
    <row r="16" spans="1:7" ht="15" customHeight="1" x14ac:dyDescent="0.35">
      <c r="A16" s="15" t="s">
        <v>942</v>
      </c>
      <c r="B16" s="16">
        <f>SUMIFS('Data (parsed)'!$I$2:$I$235,'Data (parsed)'!$B$2:$B$235,$A16,'Data (parsed)'!$D$2:$D$235,B$13)</f>
        <v>3</v>
      </c>
      <c r="C16" s="16">
        <f>SUMIFS('Data (parsed)'!$I$2:$I$235,'Data (parsed)'!$B$2:$B$235,$A16,'Data (parsed)'!$D$2:$D$235,C$13)</f>
        <v>6</v>
      </c>
      <c r="D16" s="16">
        <f>SUMIFS('Data (parsed)'!$I$2:$I$235,'Data (parsed)'!$B$2:$B$235,$A16,'Data (parsed)'!$D$2:$D$235,D$13)</f>
        <v>5</v>
      </c>
      <c r="E16" s="16">
        <f>SUMIFS('Data (parsed)'!$I$2:$I$235,'Data (parsed)'!$B$2:$B$235,$A16,'Data (parsed)'!$D$2:$D$235,E$13)</f>
        <v>17</v>
      </c>
      <c r="F16" s="16">
        <f>SUMIFS('Data (parsed)'!$I$2:$I$235,'Data (parsed)'!$B$2:$B$235,$A16,'Data (parsed)'!$D$2:$D$235,F$13)</f>
        <v>8</v>
      </c>
      <c r="G16" s="18">
        <f t="shared" si="0"/>
        <v>39</v>
      </c>
    </row>
    <row r="17" spans="1:7" ht="15" customHeight="1" x14ac:dyDescent="0.35">
      <c r="A17" s="15" t="s">
        <v>943</v>
      </c>
      <c r="B17" s="16">
        <f>SUMIFS('Data (parsed)'!$I$2:$I$235,'Data (parsed)'!$B$2:$B$235,$A17,'Data (parsed)'!$D$2:$D$235,B$13)</f>
        <v>6</v>
      </c>
      <c r="C17" s="16">
        <f>SUMIFS('Data (parsed)'!$I$2:$I$235,'Data (parsed)'!$B$2:$B$235,$A17,'Data (parsed)'!$D$2:$D$235,C$13)</f>
        <v>5</v>
      </c>
      <c r="D17" s="16">
        <f>SUMIFS('Data (parsed)'!$I$2:$I$235,'Data (parsed)'!$B$2:$B$235,$A17,'Data (parsed)'!$D$2:$D$235,D$13)</f>
        <v>2</v>
      </c>
      <c r="E17" s="16">
        <f>SUMIFS('Data (parsed)'!$I$2:$I$235,'Data (parsed)'!$B$2:$B$235,$A17,'Data (parsed)'!$D$2:$D$235,E$13)</f>
        <v>31</v>
      </c>
      <c r="F17" s="16">
        <f>SUMIFS('Data (parsed)'!$I$2:$I$235,'Data (parsed)'!$B$2:$B$235,$A17,'Data (parsed)'!$D$2:$D$235,F$13)</f>
        <v>13</v>
      </c>
      <c r="G17" s="18">
        <f t="shared" si="0"/>
        <v>57</v>
      </c>
    </row>
    <row r="18" spans="1:7" ht="15" customHeight="1" x14ac:dyDescent="0.35">
      <c r="A18" s="17" t="s">
        <v>944</v>
      </c>
      <c r="B18" s="18">
        <f t="shared" ref="B18:G18" si="1">SUM(B14:B17)</f>
        <v>19</v>
      </c>
      <c r="C18" s="18">
        <f t="shared" si="1"/>
        <v>32</v>
      </c>
      <c r="D18" s="18">
        <f t="shared" si="1"/>
        <v>26</v>
      </c>
      <c r="E18" s="18">
        <f t="shared" si="1"/>
        <v>90</v>
      </c>
      <c r="F18" s="18">
        <f t="shared" si="1"/>
        <v>64</v>
      </c>
      <c r="G18" s="18">
        <f t="shared" si="1"/>
        <v>231</v>
      </c>
    </row>
    <row r="19" spans="1:7" ht="14.25" customHeight="1" x14ac:dyDescent="0.35">
      <c r="A19" s="10"/>
      <c r="B19" s="10"/>
      <c r="C19" s="10"/>
      <c r="D19" s="10"/>
      <c r="E19" s="10"/>
      <c r="F19" s="10"/>
      <c r="G19" s="10"/>
    </row>
    <row r="20" spans="1:7" ht="15" customHeight="1" x14ac:dyDescent="0.35">
      <c r="A20" s="13" t="s">
        <v>946</v>
      </c>
      <c r="B20" s="10"/>
      <c r="C20" s="10"/>
      <c r="D20" s="10"/>
      <c r="E20" s="10"/>
      <c r="F20" s="10"/>
      <c r="G20" s="10"/>
    </row>
    <row r="21" spans="1:7" ht="15" customHeight="1" x14ac:dyDescent="0.35">
      <c r="A21" s="14" t="s">
        <v>5</v>
      </c>
      <c r="B21" s="14" t="s">
        <v>940</v>
      </c>
      <c r="C21" s="14" t="s">
        <v>941</v>
      </c>
      <c r="D21" s="14" t="s">
        <v>942</v>
      </c>
      <c r="E21" s="14" t="s">
        <v>943</v>
      </c>
      <c r="F21" s="14" t="s">
        <v>944</v>
      </c>
      <c r="G21" s="10"/>
    </row>
    <row r="22" spans="1:7" ht="15" customHeight="1" x14ac:dyDescent="0.35">
      <c r="A22" s="19" t="s">
        <v>14</v>
      </c>
      <c r="B22" s="16">
        <f>COUNTIFS('Data (parsed)'!$E$2:$E$235,$A22,'Data (parsed)'!$B$2:$B$235,B$21)</f>
        <v>48</v>
      </c>
      <c r="C22" s="16">
        <f>COUNTIFS('Data (parsed)'!$E$2:$E$235,$A22,'Data (parsed)'!$B$2:$B$235,C$21)</f>
        <v>24</v>
      </c>
      <c r="D22" s="16">
        <f>COUNTIFS('Data (parsed)'!$E$2:$E$235,$A22,'Data (parsed)'!$B$2:$B$235,D$21)</f>
        <v>31</v>
      </c>
      <c r="E22" s="16">
        <f>COUNTIFS('Data (parsed)'!$E$2:$E$235,$A22,'Data (parsed)'!$B$2:$B$235,E$21)</f>
        <v>9</v>
      </c>
      <c r="F22" s="18">
        <f t="shared" ref="F22:F46" si="2">SUM(B22:E22)</f>
        <v>112</v>
      </c>
      <c r="G22" s="10"/>
    </row>
    <row r="23" spans="1:7" ht="15" customHeight="1" x14ac:dyDescent="0.35">
      <c r="A23" s="19" t="s">
        <v>98</v>
      </c>
      <c r="B23" s="16">
        <f>COUNTIFS('Data (parsed)'!$E$2:$E$235,$A23,'Data (parsed)'!$B$2:$B$235,B$21)</f>
        <v>7</v>
      </c>
      <c r="C23" s="16">
        <f>COUNTIFS('Data (parsed)'!$E$2:$E$235,$A23,'Data (parsed)'!$B$2:$B$235,C$21)</f>
        <v>0</v>
      </c>
      <c r="D23" s="16">
        <f>COUNTIFS('Data (parsed)'!$E$2:$E$235,$A23,'Data (parsed)'!$B$2:$B$235,D$21)</f>
        <v>0</v>
      </c>
      <c r="E23" s="16">
        <f>COUNTIFS('Data (parsed)'!$E$2:$E$235,$A23,'Data (parsed)'!$B$2:$B$235,E$21)</f>
        <v>28</v>
      </c>
      <c r="F23" s="18">
        <f t="shared" si="2"/>
        <v>35</v>
      </c>
      <c r="G23" s="10"/>
    </row>
    <row r="24" spans="1:7" ht="15" customHeight="1" x14ac:dyDescent="0.35">
      <c r="A24" s="19" t="s">
        <v>87</v>
      </c>
      <c r="B24" s="16">
        <f>COUNTIFS('Data (parsed)'!$E$2:$E$235,$A24,'Data (parsed)'!$B$2:$B$235,B$21)</f>
        <v>20</v>
      </c>
      <c r="C24" s="16">
        <f>COUNTIFS('Data (parsed)'!$E$2:$E$235,$A24,'Data (parsed)'!$B$2:$B$235,C$21)</f>
        <v>0</v>
      </c>
      <c r="D24" s="16">
        <f>COUNTIFS('Data (parsed)'!$E$2:$E$235,$A24,'Data (parsed)'!$B$2:$B$235,D$21)</f>
        <v>2</v>
      </c>
      <c r="E24" s="16">
        <f>COUNTIFS('Data (parsed)'!$E$2:$E$235,$A24,'Data (parsed)'!$B$2:$B$235,E$21)</f>
        <v>8</v>
      </c>
      <c r="F24" s="18">
        <f t="shared" si="2"/>
        <v>30</v>
      </c>
      <c r="G24" s="10"/>
    </row>
    <row r="25" spans="1:7" ht="15" customHeight="1" x14ac:dyDescent="0.35">
      <c r="A25" s="19" t="s">
        <v>92</v>
      </c>
      <c r="B25" s="16">
        <f>COUNTIFS('Data (parsed)'!$E$2:$E$235,$A25,'Data (parsed)'!$B$2:$B$235,B$21)</f>
        <v>8</v>
      </c>
      <c r="C25" s="16">
        <f>COUNTIFS('Data (parsed)'!$E$2:$E$235,$A25,'Data (parsed)'!$B$2:$B$235,C$21)</f>
        <v>3</v>
      </c>
      <c r="D25" s="16">
        <f>COUNTIFS('Data (parsed)'!$E$2:$E$235,$A25,'Data (parsed)'!$B$2:$B$235,D$21)</f>
        <v>1</v>
      </c>
      <c r="E25" s="16">
        <f>COUNTIFS('Data (parsed)'!$E$2:$E$235,$A25,'Data (parsed)'!$B$2:$B$235,E$21)</f>
        <v>1</v>
      </c>
      <c r="F25" s="18">
        <f t="shared" si="2"/>
        <v>13</v>
      </c>
      <c r="G25" s="10"/>
    </row>
    <row r="26" spans="1:7" ht="15" customHeight="1" x14ac:dyDescent="0.35">
      <c r="A26" s="19" t="s">
        <v>209</v>
      </c>
      <c r="B26" s="16">
        <f>COUNTIFS('Data (parsed)'!$E$2:$E$235,$A26,'Data (parsed)'!$B$2:$B$235,B$21)</f>
        <v>4</v>
      </c>
      <c r="C26" s="16">
        <f>COUNTIFS('Data (parsed)'!$E$2:$E$235,$A26,'Data (parsed)'!$B$2:$B$235,C$21)</f>
        <v>0</v>
      </c>
      <c r="D26" s="16">
        <f>COUNTIFS('Data (parsed)'!$E$2:$E$235,$A26,'Data (parsed)'!$B$2:$B$235,D$21)</f>
        <v>0</v>
      </c>
      <c r="E26" s="16">
        <f>COUNTIFS('Data (parsed)'!$E$2:$E$235,$A26,'Data (parsed)'!$B$2:$B$235,E$21)</f>
        <v>9</v>
      </c>
      <c r="F26" s="18">
        <f t="shared" si="2"/>
        <v>13</v>
      </c>
      <c r="G26" s="10"/>
    </row>
    <row r="27" spans="1:7" ht="15" customHeight="1" x14ac:dyDescent="0.35">
      <c r="A27" s="19" t="s">
        <v>254</v>
      </c>
      <c r="B27" s="16">
        <f>COUNTIFS('Data (parsed)'!$E$2:$E$235,$A27,'Data (parsed)'!$B$2:$B$235,B$21)</f>
        <v>3</v>
      </c>
      <c r="C27" s="16">
        <f>COUNTIFS('Data (parsed)'!$E$2:$E$235,$A27,'Data (parsed)'!$B$2:$B$235,C$21)</f>
        <v>0</v>
      </c>
      <c r="D27" s="16">
        <f>COUNTIFS('Data (parsed)'!$E$2:$E$235,$A27,'Data (parsed)'!$B$2:$B$235,D$21)</f>
        <v>2</v>
      </c>
      <c r="E27" s="16">
        <f>COUNTIFS('Data (parsed)'!$E$2:$E$235,$A27,'Data (parsed)'!$B$2:$B$235,E$21)</f>
        <v>0</v>
      </c>
      <c r="F27" s="18">
        <f t="shared" si="2"/>
        <v>5</v>
      </c>
      <c r="G27" s="10"/>
    </row>
    <row r="28" spans="1:7" ht="15" customHeight="1" x14ac:dyDescent="0.35">
      <c r="A28" s="19" t="s">
        <v>260</v>
      </c>
      <c r="B28" s="16">
        <f>COUNTIFS('Data (parsed)'!$E$2:$E$235,$A28,'Data (parsed)'!$B$2:$B$235,B$21)</f>
        <v>3</v>
      </c>
      <c r="C28" s="16">
        <f>COUNTIFS('Data (parsed)'!$E$2:$E$235,$A28,'Data (parsed)'!$B$2:$B$235,C$21)</f>
        <v>0</v>
      </c>
      <c r="D28" s="16">
        <f>COUNTIFS('Data (parsed)'!$E$2:$E$235,$A28,'Data (parsed)'!$B$2:$B$235,D$21)</f>
        <v>0</v>
      </c>
      <c r="E28" s="16">
        <f>COUNTIFS('Data (parsed)'!$E$2:$E$235,$A28,'Data (parsed)'!$B$2:$B$235,E$21)</f>
        <v>0</v>
      </c>
      <c r="F28" s="18">
        <f t="shared" si="2"/>
        <v>3</v>
      </c>
      <c r="G28" s="10"/>
    </row>
    <row r="29" spans="1:7" ht="15" customHeight="1" x14ac:dyDescent="0.35">
      <c r="A29" s="19" t="s">
        <v>448</v>
      </c>
      <c r="B29" s="16">
        <f>COUNTIFS('Data (parsed)'!$E$2:$E$235,$A29,'Data (parsed)'!$B$2:$B$235,B$21)</f>
        <v>0</v>
      </c>
      <c r="C29" s="16">
        <f>COUNTIFS('Data (parsed)'!$E$2:$E$235,$A29,'Data (parsed)'!$B$2:$B$235,C$21)</f>
        <v>2</v>
      </c>
      <c r="D29" s="16">
        <f>COUNTIFS('Data (parsed)'!$E$2:$E$235,$A29,'Data (parsed)'!$B$2:$B$235,D$21)</f>
        <v>1</v>
      </c>
      <c r="E29" s="16">
        <f>COUNTIFS('Data (parsed)'!$E$2:$E$235,$A29,'Data (parsed)'!$B$2:$B$235,E$21)</f>
        <v>0</v>
      </c>
      <c r="F29" s="18">
        <f t="shared" si="2"/>
        <v>3</v>
      </c>
      <c r="G29" s="10"/>
    </row>
    <row r="30" spans="1:7" ht="15" customHeight="1" x14ac:dyDescent="0.35">
      <c r="A30" s="19" t="s">
        <v>324</v>
      </c>
      <c r="B30" s="16">
        <f>COUNTIFS('Data (parsed)'!$E$2:$E$235,$A30,'Data (parsed)'!$B$2:$B$235,B$21)</f>
        <v>2</v>
      </c>
      <c r="C30" s="16">
        <f>COUNTIFS('Data (parsed)'!$E$2:$E$235,$A30,'Data (parsed)'!$B$2:$B$235,C$21)</f>
        <v>0</v>
      </c>
      <c r="D30" s="16">
        <f>COUNTIFS('Data (parsed)'!$E$2:$E$235,$A30,'Data (parsed)'!$B$2:$B$235,D$21)</f>
        <v>0</v>
      </c>
      <c r="E30" s="16">
        <f>COUNTIFS('Data (parsed)'!$E$2:$E$235,$A30,'Data (parsed)'!$B$2:$B$235,E$21)</f>
        <v>0</v>
      </c>
      <c r="F30" s="18">
        <f t="shared" si="2"/>
        <v>2</v>
      </c>
      <c r="G30" s="10"/>
    </row>
    <row r="31" spans="1:7" ht="15" customHeight="1" x14ac:dyDescent="0.35">
      <c r="A31" s="19" t="s">
        <v>342</v>
      </c>
      <c r="B31" s="16">
        <f>COUNTIFS('Data (parsed)'!$E$2:$E$235,$A31,'Data (parsed)'!$B$2:$B$235,B$21)</f>
        <v>1</v>
      </c>
      <c r="C31" s="16">
        <f>COUNTIFS('Data (parsed)'!$E$2:$E$235,$A31,'Data (parsed)'!$B$2:$B$235,C$21)</f>
        <v>0</v>
      </c>
      <c r="D31" s="16">
        <f>COUNTIFS('Data (parsed)'!$E$2:$E$235,$A31,'Data (parsed)'!$B$2:$B$235,D$21)</f>
        <v>1</v>
      </c>
      <c r="E31" s="16">
        <f>COUNTIFS('Data (parsed)'!$E$2:$E$235,$A31,'Data (parsed)'!$B$2:$B$235,E$21)</f>
        <v>0</v>
      </c>
      <c r="F31" s="18">
        <f t="shared" si="2"/>
        <v>2</v>
      </c>
      <c r="G31" s="10"/>
    </row>
    <row r="32" spans="1:7" ht="15" customHeight="1" x14ac:dyDescent="0.35">
      <c r="A32" s="19" t="s">
        <v>352</v>
      </c>
      <c r="B32" s="16">
        <f>COUNTIFS('Data (parsed)'!$E$2:$E$235,$A32,'Data (parsed)'!$B$2:$B$235,B$21)</f>
        <v>2</v>
      </c>
      <c r="C32" s="16">
        <f>COUNTIFS('Data (parsed)'!$E$2:$E$235,$A32,'Data (parsed)'!$B$2:$B$235,C$21)</f>
        <v>0</v>
      </c>
      <c r="D32" s="16">
        <f>COUNTIFS('Data (parsed)'!$E$2:$E$235,$A32,'Data (parsed)'!$B$2:$B$235,D$21)</f>
        <v>0</v>
      </c>
      <c r="E32" s="16">
        <f>COUNTIFS('Data (parsed)'!$E$2:$E$235,$A32,'Data (parsed)'!$B$2:$B$235,E$21)</f>
        <v>0</v>
      </c>
      <c r="F32" s="18">
        <f t="shared" si="2"/>
        <v>2</v>
      </c>
      <c r="G32" s="10"/>
    </row>
    <row r="33" spans="1:7" ht="15" customHeight="1" x14ac:dyDescent="0.35">
      <c r="A33" s="19" t="s">
        <v>114</v>
      </c>
      <c r="B33" s="16">
        <f>COUNTIFS('Data (parsed)'!$E$2:$E$235,$A33,'Data (parsed)'!$B$2:$B$235,B$21)</f>
        <v>1</v>
      </c>
      <c r="C33" s="16">
        <f>COUNTIFS('Data (parsed)'!$E$2:$E$235,$A33,'Data (parsed)'!$B$2:$B$235,C$21)</f>
        <v>0</v>
      </c>
      <c r="D33" s="16">
        <f>COUNTIFS('Data (parsed)'!$E$2:$E$235,$A33,'Data (parsed)'!$B$2:$B$235,D$21)</f>
        <v>0</v>
      </c>
      <c r="E33" s="16">
        <f>COUNTIFS('Data (parsed)'!$E$2:$E$235,$A33,'Data (parsed)'!$B$2:$B$235,E$21)</f>
        <v>0</v>
      </c>
      <c r="F33" s="18">
        <f t="shared" si="2"/>
        <v>1</v>
      </c>
      <c r="G33" s="10"/>
    </row>
    <row r="34" spans="1:7" ht="15" customHeight="1" x14ac:dyDescent="0.35">
      <c r="A34" s="19" t="s">
        <v>119</v>
      </c>
      <c r="B34" s="16">
        <f>COUNTIFS('Data (parsed)'!$E$2:$E$235,$A34,'Data (parsed)'!$B$2:$B$235,B$21)</f>
        <v>1</v>
      </c>
      <c r="C34" s="16">
        <f>COUNTIFS('Data (parsed)'!$E$2:$E$235,$A34,'Data (parsed)'!$B$2:$B$235,C$21)</f>
        <v>0</v>
      </c>
      <c r="D34" s="16">
        <f>COUNTIFS('Data (parsed)'!$E$2:$E$235,$A34,'Data (parsed)'!$B$2:$B$235,D$21)</f>
        <v>0</v>
      </c>
      <c r="E34" s="16">
        <f>COUNTIFS('Data (parsed)'!$E$2:$E$235,$A34,'Data (parsed)'!$B$2:$B$235,E$21)</f>
        <v>0</v>
      </c>
      <c r="F34" s="18">
        <f t="shared" si="2"/>
        <v>1</v>
      </c>
      <c r="G34" s="10"/>
    </row>
    <row r="35" spans="1:7" ht="15" customHeight="1" x14ac:dyDescent="0.35">
      <c r="A35" s="19" t="s">
        <v>204</v>
      </c>
      <c r="B35" s="16">
        <f>COUNTIFS('Data (parsed)'!$E$2:$E$235,$A35,'Data (parsed)'!$B$2:$B$235,B$21)</f>
        <v>1</v>
      </c>
      <c r="C35" s="16">
        <f>COUNTIFS('Data (parsed)'!$E$2:$E$235,$A35,'Data (parsed)'!$B$2:$B$235,C$21)</f>
        <v>0</v>
      </c>
      <c r="D35" s="16">
        <f>COUNTIFS('Data (parsed)'!$E$2:$E$235,$A35,'Data (parsed)'!$B$2:$B$235,D$21)</f>
        <v>0</v>
      </c>
      <c r="E35" s="16">
        <f>COUNTIFS('Data (parsed)'!$E$2:$E$235,$A35,'Data (parsed)'!$B$2:$B$235,E$21)</f>
        <v>0</v>
      </c>
      <c r="F35" s="18">
        <f t="shared" si="2"/>
        <v>1</v>
      </c>
      <c r="G35" s="10"/>
    </row>
    <row r="36" spans="1:7" ht="15" customHeight="1" x14ac:dyDescent="0.35">
      <c r="A36" s="19" t="s">
        <v>214</v>
      </c>
      <c r="B36" s="16">
        <f>COUNTIFS('Data (parsed)'!$E$2:$E$235,$A36,'Data (parsed)'!$B$2:$B$235,B$21)</f>
        <v>1</v>
      </c>
      <c r="C36" s="16">
        <f>COUNTIFS('Data (parsed)'!$E$2:$E$235,$A36,'Data (parsed)'!$B$2:$B$235,C$21)</f>
        <v>0</v>
      </c>
      <c r="D36" s="16">
        <f>COUNTIFS('Data (parsed)'!$E$2:$E$235,$A36,'Data (parsed)'!$B$2:$B$235,D$21)</f>
        <v>0</v>
      </c>
      <c r="E36" s="16">
        <f>COUNTIFS('Data (parsed)'!$E$2:$E$235,$A36,'Data (parsed)'!$B$2:$B$235,E$21)</f>
        <v>0</v>
      </c>
      <c r="F36" s="18">
        <f t="shared" si="2"/>
        <v>1</v>
      </c>
      <c r="G36" s="10"/>
    </row>
    <row r="37" spans="1:7" ht="15" customHeight="1" x14ac:dyDescent="0.35">
      <c r="A37" s="19" t="s">
        <v>218</v>
      </c>
      <c r="B37" s="16">
        <f>COUNTIFS('Data (parsed)'!$E$2:$E$235,$A37,'Data (parsed)'!$B$2:$B$235,B$21)</f>
        <v>1</v>
      </c>
      <c r="C37" s="16">
        <f>COUNTIFS('Data (parsed)'!$E$2:$E$235,$A37,'Data (parsed)'!$B$2:$B$235,C$21)</f>
        <v>0</v>
      </c>
      <c r="D37" s="16">
        <f>COUNTIFS('Data (parsed)'!$E$2:$E$235,$A37,'Data (parsed)'!$B$2:$B$235,D$21)</f>
        <v>0</v>
      </c>
      <c r="E37" s="16">
        <f>COUNTIFS('Data (parsed)'!$E$2:$E$235,$A37,'Data (parsed)'!$B$2:$B$235,E$21)</f>
        <v>0</v>
      </c>
      <c r="F37" s="18">
        <f t="shared" si="2"/>
        <v>1</v>
      </c>
      <c r="G37" s="10"/>
    </row>
    <row r="38" spans="1:7" ht="15" customHeight="1" x14ac:dyDescent="0.35">
      <c r="A38" s="19" t="s">
        <v>231</v>
      </c>
      <c r="B38" s="16">
        <f>COUNTIFS('Data (parsed)'!$E$2:$E$235,$A38,'Data (parsed)'!$B$2:$B$235,B$21)</f>
        <v>1</v>
      </c>
      <c r="C38" s="16">
        <f>COUNTIFS('Data (parsed)'!$E$2:$E$235,$A38,'Data (parsed)'!$B$2:$B$235,C$21)</f>
        <v>0</v>
      </c>
      <c r="D38" s="16">
        <f>COUNTIFS('Data (parsed)'!$E$2:$E$235,$A38,'Data (parsed)'!$B$2:$B$235,D$21)</f>
        <v>0</v>
      </c>
      <c r="E38" s="16">
        <f>COUNTIFS('Data (parsed)'!$E$2:$E$235,$A38,'Data (parsed)'!$B$2:$B$235,E$21)</f>
        <v>0</v>
      </c>
      <c r="F38" s="18">
        <f t="shared" si="2"/>
        <v>1</v>
      </c>
      <c r="G38" s="10"/>
    </row>
    <row r="39" spans="1:7" ht="15" customHeight="1" x14ac:dyDescent="0.35">
      <c r="A39" s="19" t="s">
        <v>334</v>
      </c>
      <c r="B39" s="16">
        <f>COUNTIFS('Data (parsed)'!$E$2:$E$235,$A39,'Data (parsed)'!$B$2:$B$235,B$21)</f>
        <v>1</v>
      </c>
      <c r="C39" s="16">
        <f>COUNTIFS('Data (parsed)'!$E$2:$E$235,$A39,'Data (parsed)'!$B$2:$B$235,C$21)</f>
        <v>0</v>
      </c>
      <c r="D39" s="16">
        <f>COUNTIFS('Data (parsed)'!$E$2:$E$235,$A39,'Data (parsed)'!$B$2:$B$235,D$21)</f>
        <v>0</v>
      </c>
      <c r="E39" s="16">
        <f>COUNTIFS('Data (parsed)'!$E$2:$E$235,$A39,'Data (parsed)'!$B$2:$B$235,E$21)</f>
        <v>0</v>
      </c>
      <c r="F39" s="18">
        <f t="shared" si="2"/>
        <v>1</v>
      </c>
      <c r="G39" s="10"/>
    </row>
    <row r="40" spans="1:7" ht="15" customHeight="1" x14ac:dyDescent="0.35">
      <c r="A40" s="19" t="s">
        <v>442</v>
      </c>
      <c r="B40" s="16">
        <f>COUNTIFS('Data (parsed)'!$E$2:$E$235,$A40,'Data (parsed)'!$B$2:$B$235,B$21)</f>
        <v>0</v>
      </c>
      <c r="C40" s="16">
        <f>COUNTIFS('Data (parsed)'!$E$2:$E$235,$A40,'Data (parsed)'!$B$2:$B$235,C$21)</f>
        <v>1</v>
      </c>
      <c r="D40" s="16">
        <f>COUNTIFS('Data (parsed)'!$E$2:$E$235,$A40,'Data (parsed)'!$B$2:$B$235,D$21)</f>
        <v>0</v>
      </c>
      <c r="E40" s="16">
        <f>COUNTIFS('Data (parsed)'!$E$2:$E$235,$A40,'Data (parsed)'!$B$2:$B$235,E$21)</f>
        <v>0</v>
      </c>
      <c r="F40" s="18">
        <f t="shared" si="2"/>
        <v>1</v>
      </c>
      <c r="G40" s="10"/>
    </row>
    <row r="41" spans="1:7" ht="15" customHeight="1" x14ac:dyDescent="0.35">
      <c r="A41" s="19" t="s">
        <v>535</v>
      </c>
      <c r="B41" s="16">
        <f>COUNTIFS('Data (parsed)'!$E$2:$E$235,$A41,'Data (parsed)'!$B$2:$B$235,B$21)</f>
        <v>0</v>
      </c>
      <c r="C41" s="16">
        <f>COUNTIFS('Data (parsed)'!$E$2:$E$235,$A41,'Data (parsed)'!$B$2:$B$235,C$21)</f>
        <v>1</v>
      </c>
      <c r="D41" s="16">
        <f>COUNTIFS('Data (parsed)'!$E$2:$E$235,$A41,'Data (parsed)'!$B$2:$B$235,D$21)</f>
        <v>0</v>
      </c>
      <c r="E41" s="16">
        <f>COUNTIFS('Data (parsed)'!$E$2:$E$235,$A41,'Data (parsed)'!$B$2:$B$235,E$21)</f>
        <v>0</v>
      </c>
      <c r="F41" s="18">
        <f t="shared" si="2"/>
        <v>1</v>
      </c>
      <c r="G41" s="10"/>
    </row>
    <row r="42" spans="1:7" ht="15" customHeight="1" x14ac:dyDescent="0.35">
      <c r="A42" s="19" t="s">
        <v>544</v>
      </c>
      <c r="B42" s="16">
        <f>COUNTIFS('Data (parsed)'!$E$2:$E$235,$A42,'Data (parsed)'!$B$2:$B$235,B$21)</f>
        <v>0</v>
      </c>
      <c r="C42" s="16">
        <f>COUNTIFS('Data (parsed)'!$E$2:$E$235,$A42,'Data (parsed)'!$B$2:$B$235,C$21)</f>
        <v>1</v>
      </c>
      <c r="D42" s="16">
        <f>COUNTIFS('Data (parsed)'!$E$2:$E$235,$A42,'Data (parsed)'!$B$2:$B$235,D$21)</f>
        <v>0</v>
      </c>
      <c r="E42" s="16">
        <f>COUNTIFS('Data (parsed)'!$E$2:$E$235,$A42,'Data (parsed)'!$B$2:$B$235,E$21)</f>
        <v>0</v>
      </c>
      <c r="F42" s="18">
        <f t="shared" si="2"/>
        <v>1</v>
      </c>
      <c r="G42" s="10"/>
    </row>
    <row r="43" spans="1:7" ht="15" customHeight="1" x14ac:dyDescent="0.35">
      <c r="A43" s="19" t="s">
        <v>601</v>
      </c>
      <c r="B43" s="16">
        <f>COUNTIFS('Data (parsed)'!$E$2:$E$235,$A43,'Data (parsed)'!$B$2:$B$235,B$21)</f>
        <v>0</v>
      </c>
      <c r="C43" s="16">
        <f>COUNTIFS('Data (parsed)'!$E$2:$E$235,$A43,'Data (parsed)'!$B$2:$B$235,C$21)</f>
        <v>0</v>
      </c>
      <c r="D43" s="16">
        <f>COUNTIFS('Data (parsed)'!$E$2:$E$235,$A43,'Data (parsed)'!$B$2:$B$235,D$21)</f>
        <v>1</v>
      </c>
      <c r="E43" s="16">
        <f>COUNTIFS('Data (parsed)'!$E$2:$E$235,$A43,'Data (parsed)'!$B$2:$B$235,E$21)</f>
        <v>0</v>
      </c>
      <c r="F43" s="18">
        <f t="shared" si="2"/>
        <v>1</v>
      </c>
      <c r="G43" s="10"/>
    </row>
    <row r="44" spans="1:7" ht="15" customHeight="1" x14ac:dyDescent="0.35">
      <c r="A44" s="19" t="s">
        <v>756</v>
      </c>
      <c r="B44" s="16">
        <f>COUNTIFS('Data (parsed)'!$E$2:$E$235,$A44,'Data (parsed)'!$B$2:$B$235,B$21)</f>
        <v>0</v>
      </c>
      <c r="C44" s="16">
        <f>COUNTIFS('Data (parsed)'!$E$2:$E$235,$A44,'Data (parsed)'!$B$2:$B$235,C$21)</f>
        <v>0</v>
      </c>
      <c r="D44" s="16">
        <f>COUNTIFS('Data (parsed)'!$E$2:$E$235,$A44,'Data (parsed)'!$B$2:$B$235,D$21)</f>
        <v>0</v>
      </c>
      <c r="E44" s="16">
        <f>COUNTIFS('Data (parsed)'!$E$2:$E$235,$A44,'Data (parsed)'!$B$2:$B$235,E$21)</f>
        <v>1</v>
      </c>
      <c r="F44" s="18">
        <f t="shared" si="2"/>
        <v>1</v>
      </c>
      <c r="G44" s="10"/>
    </row>
    <row r="45" spans="1:7" ht="15" customHeight="1" x14ac:dyDescent="0.35">
      <c r="A45" s="19" t="s">
        <v>865</v>
      </c>
      <c r="B45" s="16">
        <f>COUNTIFS('Data (parsed)'!$E$2:$E$235,$A45,'Data (parsed)'!$B$2:$B$235,B$21)</f>
        <v>0</v>
      </c>
      <c r="C45" s="16">
        <f>COUNTIFS('Data (parsed)'!$E$2:$E$235,$A45,'Data (parsed)'!$B$2:$B$235,C$21)</f>
        <v>0</v>
      </c>
      <c r="D45" s="16">
        <f>COUNTIFS('Data (parsed)'!$E$2:$E$235,$A45,'Data (parsed)'!$B$2:$B$235,D$21)</f>
        <v>0</v>
      </c>
      <c r="E45" s="16">
        <f>COUNTIFS('Data (parsed)'!$E$2:$E$235,$A45,'Data (parsed)'!$B$2:$B$235,E$21)</f>
        <v>1</v>
      </c>
      <c r="F45" s="18">
        <f t="shared" si="2"/>
        <v>1</v>
      </c>
      <c r="G45" s="10"/>
    </row>
    <row r="46" spans="1:7" ht="15" customHeight="1" x14ac:dyDescent="0.35">
      <c r="A46" s="19" t="s">
        <v>900</v>
      </c>
      <c r="B46" s="16">
        <f>COUNTIFS('Data (parsed)'!$E$2:$E$235,$A46,'Data (parsed)'!$B$2:$B$235,B$21)</f>
        <v>0</v>
      </c>
      <c r="C46" s="16">
        <f>COUNTIFS('Data (parsed)'!$E$2:$E$235,$A46,'Data (parsed)'!$B$2:$B$235,C$21)</f>
        <v>0</v>
      </c>
      <c r="D46" s="16">
        <f>COUNTIFS('Data (parsed)'!$E$2:$E$235,$A46,'Data (parsed)'!$B$2:$B$235,D$21)</f>
        <v>0</v>
      </c>
      <c r="E46" s="16">
        <f>COUNTIFS('Data (parsed)'!$E$2:$E$235,$A46,'Data (parsed)'!$B$2:$B$235,E$21)</f>
        <v>1</v>
      </c>
      <c r="F46" s="18">
        <f t="shared" si="2"/>
        <v>1</v>
      </c>
      <c r="G46" s="10"/>
    </row>
    <row r="47" spans="1:7" ht="14.25" customHeight="1" x14ac:dyDescent="0.35">
      <c r="A47" s="10"/>
      <c r="B47" s="10"/>
      <c r="C47" s="10"/>
      <c r="D47" s="10"/>
      <c r="E47" s="10"/>
      <c r="F47" s="10"/>
      <c r="G47" s="10"/>
    </row>
    <row r="48" spans="1:7" ht="14.25" customHeight="1" x14ac:dyDescent="0.35">
      <c r="A48" s="10"/>
      <c r="B48" s="10"/>
      <c r="C48" s="10"/>
      <c r="D48" s="10"/>
      <c r="E48" s="10"/>
      <c r="F48" s="10"/>
      <c r="G48" s="10"/>
    </row>
    <row r="49" spans="1:7" ht="14.25" customHeight="1" x14ac:dyDescent="0.35">
      <c r="A49" s="10"/>
      <c r="B49" s="10"/>
      <c r="C49" s="10"/>
      <c r="D49" s="10"/>
      <c r="E49" s="10"/>
      <c r="F49" s="10"/>
      <c r="G49" s="10"/>
    </row>
    <row r="50" spans="1:7" ht="14.25" customHeight="1" x14ac:dyDescent="0.35">
      <c r="A50" s="10"/>
      <c r="B50" s="10"/>
      <c r="C50" s="10"/>
      <c r="D50" s="10"/>
      <c r="E50" s="10"/>
      <c r="F50" s="10"/>
      <c r="G50" s="10"/>
    </row>
    <row r="51" spans="1:7" ht="14.25" customHeight="1" x14ac:dyDescent="0.35">
      <c r="A51" s="10"/>
      <c r="B51" s="10"/>
      <c r="C51" s="10"/>
      <c r="D51" s="10"/>
      <c r="E51" s="10"/>
      <c r="F51" s="10"/>
      <c r="G51" s="10"/>
    </row>
    <row r="52" spans="1:7" ht="14.25" customHeight="1" x14ac:dyDescent="0.35">
      <c r="A52" s="10"/>
      <c r="B52" s="10"/>
      <c r="C52" s="10"/>
      <c r="D52" s="10"/>
      <c r="E52" s="10"/>
      <c r="F52" s="10"/>
      <c r="G52" s="10"/>
    </row>
    <row r="53" spans="1:7" ht="14.25" customHeight="1" x14ac:dyDescent="0.35">
      <c r="A53" s="10"/>
      <c r="B53" s="10"/>
      <c r="C53" s="10"/>
      <c r="D53" s="10"/>
      <c r="E53" s="10"/>
      <c r="F53" s="10"/>
      <c r="G53" s="10"/>
    </row>
    <row r="54" spans="1:7" ht="14.25" customHeight="1" x14ac:dyDescent="0.35">
      <c r="A54" s="10"/>
      <c r="B54" s="10"/>
      <c r="C54" s="10"/>
      <c r="D54" s="10"/>
      <c r="E54" s="10"/>
      <c r="F54" s="10"/>
      <c r="G54" s="10"/>
    </row>
    <row r="55" spans="1:7" ht="14.25" customHeight="1" x14ac:dyDescent="0.35">
      <c r="A55" s="10"/>
      <c r="B55" s="10"/>
      <c r="C55" s="10"/>
      <c r="D55" s="10"/>
      <c r="E55" s="10"/>
      <c r="F55" s="10"/>
      <c r="G55" s="10"/>
    </row>
    <row r="56" spans="1:7" ht="14.25" customHeight="1" x14ac:dyDescent="0.35">
      <c r="A56" s="10"/>
      <c r="B56" s="10"/>
      <c r="C56" s="10"/>
      <c r="D56" s="10"/>
      <c r="E56" s="10"/>
      <c r="F56" s="10"/>
      <c r="G56" s="10"/>
    </row>
    <row r="57" spans="1:7" ht="14.25" customHeight="1" x14ac:dyDescent="0.35">
      <c r="A57" s="10"/>
      <c r="B57" s="10"/>
      <c r="C57" s="10"/>
      <c r="D57" s="10"/>
      <c r="E57" s="10"/>
      <c r="F57" s="10"/>
      <c r="G57" s="10"/>
    </row>
    <row r="58" spans="1:7" ht="14.25" customHeight="1" x14ac:dyDescent="0.35">
      <c r="A58" s="10"/>
      <c r="B58" s="10"/>
      <c r="C58" s="10"/>
      <c r="D58" s="10"/>
      <c r="E58" s="10"/>
      <c r="F58" s="10"/>
      <c r="G58" s="10"/>
    </row>
    <row r="59" spans="1:7" ht="14.25" customHeight="1" x14ac:dyDescent="0.35">
      <c r="A59" s="10"/>
      <c r="B59" s="10"/>
      <c r="C59" s="10"/>
      <c r="D59" s="10"/>
      <c r="E59" s="10"/>
      <c r="F59" s="10"/>
      <c r="G59" s="10"/>
    </row>
    <row r="60" spans="1:7" ht="14.25" customHeight="1" x14ac:dyDescent="0.35">
      <c r="A60" s="10"/>
      <c r="B60" s="10"/>
      <c r="C60" s="10"/>
      <c r="D60" s="10"/>
      <c r="E60" s="10"/>
      <c r="F60" s="10"/>
      <c r="G60" s="10"/>
    </row>
    <row r="61" spans="1:7" ht="14.25" customHeight="1" x14ac:dyDescent="0.35">
      <c r="A61" s="10"/>
      <c r="B61" s="10"/>
      <c r="C61" s="10"/>
      <c r="D61" s="10"/>
      <c r="E61" s="10"/>
      <c r="F61" s="10"/>
      <c r="G61" s="10"/>
    </row>
    <row r="62" spans="1:7" ht="14.25" customHeight="1" x14ac:dyDescent="0.35">
      <c r="A62" s="10"/>
      <c r="B62" s="10"/>
      <c r="C62" s="10"/>
      <c r="D62" s="10"/>
      <c r="E62" s="10"/>
      <c r="F62" s="10"/>
      <c r="G62" s="10"/>
    </row>
    <row r="63" spans="1:7" ht="14.25" customHeight="1" x14ac:dyDescent="0.35">
      <c r="A63" s="10"/>
      <c r="B63" s="10"/>
      <c r="C63" s="10"/>
      <c r="D63" s="10"/>
      <c r="E63" s="10"/>
      <c r="F63" s="10"/>
      <c r="G63" s="10"/>
    </row>
    <row r="64" spans="1:7" ht="14.25" customHeight="1" x14ac:dyDescent="0.35">
      <c r="A64" s="10"/>
      <c r="B64" s="10"/>
      <c r="C64" s="10"/>
      <c r="D64" s="10"/>
      <c r="E64" s="10"/>
      <c r="F64" s="10"/>
      <c r="G64" s="10"/>
    </row>
    <row r="65" spans="1:7" ht="14.25" customHeight="1" x14ac:dyDescent="0.35">
      <c r="A65" s="10"/>
      <c r="B65" s="10"/>
      <c r="C65" s="10"/>
      <c r="D65" s="10"/>
      <c r="E65" s="10"/>
      <c r="F65" s="10"/>
      <c r="G65" s="10"/>
    </row>
    <row r="66" spans="1:7" ht="14.25" customHeight="1" x14ac:dyDescent="0.35">
      <c r="A66" s="10"/>
      <c r="B66" s="10"/>
      <c r="C66" s="10"/>
      <c r="D66" s="10"/>
      <c r="E66" s="10"/>
      <c r="F66" s="10"/>
      <c r="G66" s="10"/>
    </row>
    <row r="67" spans="1:7" ht="14.25" customHeight="1" x14ac:dyDescent="0.35">
      <c r="A67" s="10"/>
      <c r="B67" s="10"/>
      <c r="C67" s="10"/>
      <c r="D67" s="10"/>
      <c r="E67" s="10"/>
      <c r="F67" s="10"/>
      <c r="G67" s="10"/>
    </row>
    <row r="68" spans="1:7" ht="14.25" customHeight="1" x14ac:dyDescent="0.35">
      <c r="A68" s="10"/>
      <c r="B68" s="10"/>
      <c r="C68" s="10"/>
      <c r="D68" s="10"/>
      <c r="E68" s="10"/>
      <c r="F68" s="10"/>
      <c r="G68" s="10"/>
    </row>
    <row r="69" spans="1:7" ht="14.25" customHeight="1" x14ac:dyDescent="0.35">
      <c r="A69" s="10"/>
      <c r="B69" s="10"/>
      <c r="C69" s="10"/>
      <c r="D69" s="10"/>
      <c r="E69" s="10"/>
      <c r="F69" s="10"/>
      <c r="G69" s="10"/>
    </row>
    <row r="70" spans="1:7" ht="14.25" customHeight="1" x14ac:dyDescent="0.35">
      <c r="A70" s="10"/>
      <c r="B70" s="10"/>
      <c r="C70" s="10"/>
      <c r="D70" s="10"/>
      <c r="E70" s="10"/>
      <c r="F70" s="10"/>
      <c r="G70" s="10"/>
    </row>
    <row r="71" spans="1:7" ht="14.25" customHeight="1" x14ac:dyDescent="0.35">
      <c r="A71" s="10"/>
      <c r="B71" s="10"/>
      <c r="C71" s="10"/>
      <c r="D71" s="10"/>
      <c r="E71" s="10"/>
      <c r="F71" s="10"/>
      <c r="G71" s="10"/>
    </row>
    <row r="72" spans="1:7" ht="14.25" customHeight="1" x14ac:dyDescent="0.35">
      <c r="A72" s="10"/>
      <c r="B72" s="10"/>
      <c r="C72" s="10"/>
      <c r="D72" s="10"/>
      <c r="E72" s="10"/>
      <c r="F72" s="10"/>
      <c r="G72" s="10"/>
    </row>
    <row r="73" spans="1:7" ht="14.25" customHeight="1" x14ac:dyDescent="0.35">
      <c r="A73" s="10"/>
      <c r="B73" s="10"/>
      <c r="C73" s="10"/>
      <c r="D73" s="10"/>
      <c r="E73" s="10"/>
      <c r="F73" s="10"/>
      <c r="G73" s="10"/>
    </row>
    <row r="74" spans="1:7" ht="14.25" customHeight="1" x14ac:dyDescent="0.35">
      <c r="A74" s="10"/>
      <c r="B74" s="10"/>
      <c r="C74" s="10"/>
      <c r="D74" s="10"/>
      <c r="E74" s="10"/>
      <c r="F74" s="10"/>
      <c r="G74" s="10"/>
    </row>
    <row r="75" spans="1:7" ht="14.25" customHeight="1" x14ac:dyDescent="0.35">
      <c r="A75" s="10"/>
      <c r="B75" s="10"/>
      <c r="C75" s="10"/>
      <c r="D75" s="10"/>
      <c r="E75" s="10"/>
      <c r="F75" s="10"/>
      <c r="G75" s="10"/>
    </row>
    <row r="76" spans="1:7" ht="14.25" customHeight="1" x14ac:dyDescent="0.35">
      <c r="A76" s="10"/>
      <c r="B76" s="10"/>
      <c r="C76" s="10"/>
      <c r="D76" s="10"/>
      <c r="E76" s="10"/>
      <c r="F76" s="10"/>
      <c r="G76" s="10"/>
    </row>
    <row r="77" spans="1:7" ht="14.25" customHeight="1" x14ac:dyDescent="0.35">
      <c r="A77" s="10"/>
      <c r="B77" s="10"/>
      <c r="C77" s="10"/>
      <c r="D77" s="10"/>
      <c r="E77" s="10"/>
      <c r="F77" s="10"/>
      <c r="G77" s="10"/>
    </row>
    <row r="78" spans="1:7" ht="14.25" customHeight="1" x14ac:dyDescent="0.35">
      <c r="A78" s="10"/>
      <c r="B78" s="10"/>
      <c r="C78" s="10"/>
      <c r="D78" s="10"/>
      <c r="E78" s="10"/>
      <c r="F78" s="10"/>
      <c r="G78" s="10"/>
    </row>
    <row r="79" spans="1:7" ht="14.25" customHeight="1" x14ac:dyDescent="0.35">
      <c r="A79" s="10"/>
      <c r="B79" s="10"/>
      <c r="C79" s="10"/>
      <c r="D79" s="10"/>
      <c r="E79" s="10"/>
      <c r="F79" s="10"/>
      <c r="G79" s="10"/>
    </row>
    <row r="80" spans="1:7" ht="14.25" customHeight="1" x14ac:dyDescent="0.35">
      <c r="A80" s="10"/>
      <c r="B80" s="10"/>
      <c r="C80" s="10"/>
      <c r="D80" s="10"/>
      <c r="E80" s="10"/>
      <c r="F80" s="10"/>
      <c r="G80" s="10"/>
    </row>
    <row r="81" spans="1:7" ht="14.25" customHeight="1" x14ac:dyDescent="0.35">
      <c r="A81" s="10"/>
      <c r="B81" s="10"/>
      <c r="C81" s="10"/>
      <c r="D81" s="10"/>
      <c r="E81" s="10"/>
      <c r="F81" s="10"/>
      <c r="G81" s="10"/>
    </row>
    <row r="82" spans="1:7" ht="14.25" customHeight="1" x14ac:dyDescent="0.35">
      <c r="A82" s="10"/>
      <c r="B82" s="10"/>
      <c r="C82" s="10"/>
      <c r="D82" s="10"/>
      <c r="E82" s="10"/>
      <c r="F82" s="10"/>
      <c r="G82" s="10"/>
    </row>
    <row r="83" spans="1:7" ht="14.25" customHeight="1" x14ac:dyDescent="0.35">
      <c r="A83" s="10"/>
      <c r="B83" s="10"/>
      <c r="C83" s="10"/>
      <c r="D83" s="10"/>
      <c r="E83" s="10"/>
      <c r="F83" s="10"/>
      <c r="G83" s="10"/>
    </row>
    <row r="84" spans="1:7" ht="14.25" customHeight="1" x14ac:dyDescent="0.35">
      <c r="A84" s="10"/>
      <c r="B84" s="10"/>
      <c r="C84" s="10"/>
      <c r="D84" s="10"/>
      <c r="E84" s="10"/>
      <c r="F84" s="10"/>
      <c r="G84" s="10"/>
    </row>
    <row r="85" spans="1:7" ht="14.25" customHeight="1" x14ac:dyDescent="0.35">
      <c r="A85" s="10"/>
      <c r="B85" s="10"/>
      <c r="C85" s="10"/>
      <c r="D85" s="10"/>
      <c r="E85" s="10"/>
      <c r="F85" s="10"/>
      <c r="G85" s="10"/>
    </row>
    <row r="86" spans="1:7" ht="14.25" customHeight="1" x14ac:dyDescent="0.35">
      <c r="A86" s="10"/>
      <c r="B86" s="10"/>
      <c r="C86" s="10"/>
      <c r="D86" s="10"/>
      <c r="E86" s="10"/>
      <c r="F86" s="10"/>
      <c r="G86" s="10"/>
    </row>
    <row r="87" spans="1:7" ht="14.25" customHeight="1" x14ac:dyDescent="0.35">
      <c r="A87" s="10"/>
      <c r="B87" s="10"/>
      <c r="C87" s="10"/>
      <c r="D87" s="10"/>
      <c r="E87" s="10"/>
      <c r="F87" s="10"/>
      <c r="G87" s="10"/>
    </row>
    <row r="88" spans="1:7" ht="14.25" customHeight="1" x14ac:dyDescent="0.35">
      <c r="A88" s="10"/>
      <c r="B88" s="10"/>
      <c r="C88" s="10"/>
      <c r="D88" s="10"/>
      <c r="E88" s="10"/>
      <c r="F88" s="10"/>
      <c r="G88" s="10"/>
    </row>
    <row r="89" spans="1:7" ht="14.25" customHeight="1" x14ac:dyDescent="0.35">
      <c r="A89" s="10"/>
      <c r="B89" s="10"/>
      <c r="C89" s="10"/>
      <c r="D89" s="10"/>
      <c r="E89" s="10"/>
      <c r="F89" s="10"/>
      <c r="G89" s="10"/>
    </row>
    <row r="90" spans="1:7" ht="14.25" customHeight="1" x14ac:dyDescent="0.35">
      <c r="A90" s="10"/>
      <c r="B90" s="10"/>
      <c r="C90" s="10"/>
      <c r="D90" s="10"/>
      <c r="E90" s="10"/>
      <c r="F90" s="10"/>
      <c r="G90" s="10"/>
    </row>
    <row r="91" spans="1:7" ht="14.25" customHeight="1" x14ac:dyDescent="0.35">
      <c r="A91" s="10"/>
      <c r="B91" s="10"/>
      <c r="C91" s="10"/>
      <c r="D91" s="10"/>
      <c r="E91" s="10"/>
      <c r="F91" s="10"/>
      <c r="G91" s="10"/>
    </row>
    <row r="92" spans="1:7" ht="14.25" customHeight="1" x14ac:dyDescent="0.35">
      <c r="A92" s="10"/>
      <c r="B92" s="10"/>
      <c r="C92" s="10"/>
      <c r="D92" s="10"/>
      <c r="E92" s="10"/>
      <c r="F92" s="10"/>
      <c r="G92" s="10"/>
    </row>
    <row r="93" spans="1:7" ht="14.25" customHeight="1" x14ac:dyDescent="0.35">
      <c r="A93" s="10"/>
      <c r="B93" s="10"/>
      <c r="C93" s="10"/>
      <c r="D93" s="10"/>
      <c r="E93" s="10"/>
      <c r="F93" s="10"/>
      <c r="G93" s="10"/>
    </row>
    <row r="94" spans="1:7" ht="14.25" customHeight="1" x14ac:dyDescent="0.35">
      <c r="A94" s="10"/>
      <c r="B94" s="10"/>
      <c r="C94" s="10"/>
      <c r="D94" s="10"/>
      <c r="E94" s="10"/>
      <c r="F94" s="10"/>
      <c r="G94" s="10"/>
    </row>
    <row r="95" spans="1:7" ht="14.25" customHeight="1" x14ac:dyDescent="0.35">
      <c r="A95" s="10"/>
      <c r="B95" s="10"/>
      <c r="C95" s="10"/>
      <c r="D95" s="10"/>
      <c r="E95" s="10"/>
      <c r="F95" s="10"/>
      <c r="G95" s="10"/>
    </row>
    <row r="96" spans="1:7" ht="14.25" customHeight="1" x14ac:dyDescent="0.35">
      <c r="A96" s="10"/>
      <c r="B96" s="10"/>
      <c r="C96" s="10"/>
      <c r="D96" s="10"/>
      <c r="E96" s="10"/>
      <c r="F96" s="10"/>
      <c r="G96" s="10"/>
    </row>
    <row r="97" spans="1:7" ht="14.25" customHeight="1" x14ac:dyDescent="0.35">
      <c r="A97" s="10"/>
      <c r="B97" s="10"/>
      <c r="C97" s="10"/>
      <c r="D97" s="10"/>
      <c r="E97" s="10"/>
      <c r="F97" s="10"/>
      <c r="G97" s="10"/>
    </row>
    <row r="98" spans="1:7" ht="14.25" customHeight="1" x14ac:dyDescent="0.35">
      <c r="A98" s="10"/>
      <c r="B98" s="10"/>
      <c r="C98" s="10"/>
      <c r="D98" s="10"/>
      <c r="E98" s="10"/>
      <c r="F98" s="10"/>
      <c r="G98" s="10"/>
    </row>
    <row r="99" spans="1:7" ht="14.25" customHeight="1" x14ac:dyDescent="0.35">
      <c r="A99" s="10"/>
      <c r="B99" s="10"/>
      <c r="C99" s="10"/>
      <c r="D99" s="10"/>
      <c r="E99" s="10"/>
      <c r="F99" s="10"/>
      <c r="G99" s="10"/>
    </row>
    <row r="100" spans="1:7" ht="14.25" customHeight="1" x14ac:dyDescent="0.35">
      <c r="A100" s="10"/>
      <c r="B100" s="10"/>
      <c r="C100" s="10"/>
      <c r="D100" s="10"/>
      <c r="E100" s="10"/>
      <c r="F100" s="10"/>
      <c r="G100" s="10"/>
    </row>
    <row r="101" spans="1:7" ht="14.25" customHeight="1" x14ac:dyDescent="0.35">
      <c r="A101" s="10"/>
      <c r="B101" s="10"/>
      <c r="C101" s="10"/>
      <c r="D101" s="10"/>
      <c r="E101" s="10"/>
      <c r="F101" s="10"/>
      <c r="G101" s="10"/>
    </row>
    <row r="102" spans="1:7" ht="14.25" customHeight="1" x14ac:dyDescent="0.35">
      <c r="A102" s="10"/>
      <c r="B102" s="10"/>
      <c r="C102" s="10"/>
      <c r="D102" s="10"/>
      <c r="E102" s="10"/>
      <c r="F102" s="10"/>
      <c r="G102" s="10"/>
    </row>
    <row r="103" spans="1:7" ht="14.25" customHeight="1" x14ac:dyDescent="0.35">
      <c r="A103" s="10"/>
      <c r="B103" s="10"/>
      <c r="C103" s="10"/>
      <c r="D103" s="10"/>
      <c r="E103" s="10"/>
      <c r="F103" s="10"/>
      <c r="G103" s="10"/>
    </row>
    <row r="104" spans="1:7" ht="14.25" customHeight="1" x14ac:dyDescent="0.35">
      <c r="A104" s="10"/>
      <c r="B104" s="10"/>
      <c r="C104" s="10"/>
      <c r="D104" s="10"/>
      <c r="E104" s="10"/>
      <c r="F104" s="10"/>
      <c r="G104" s="10"/>
    </row>
    <row r="105" spans="1:7" ht="14.25" customHeight="1" x14ac:dyDescent="0.35">
      <c r="A105" s="10"/>
      <c r="B105" s="10"/>
      <c r="C105" s="10"/>
      <c r="D105" s="10"/>
      <c r="E105" s="10"/>
      <c r="F105" s="10"/>
      <c r="G105" s="10"/>
    </row>
    <row r="106" spans="1:7" ht="14.25" customHeight="1" x14ac:dyDescent="0.35">
      <c r="A106" s="10"/>
      <c r="B106" s="10"/>
      <c r="C106" s="10"/>
      <c r="D106" s="10"/>
      <c r="E106" s="10"/>
      <c r="F106" s="10"/>
      <c r="G106" s="10"/>
    </row>
    <row r="107" spans="1:7" ht="14.25" customHeight="1" x14ac:dyDescent="0.35">
      <c r="A107" s="10"/>
      <c r="B107" s="10"/>
      <c r="C107" s="10"/>
      <c r="D107" s="10"/>
      <c r="E107" s="10"/>
      <c r="F107" s="10"/>
      <c r="G107" s="10"/>
    </row>
    <row r="108" spans="1:7" ht="14.25" customHeight="1" x14ac:dyDescent="0.35">
      <c r="A108" s="10"/>
      <c r="B108" s="10"/>
      <c r="C108" s="10"/>
      <c r="D108" s="10"/>
      <c r="E108" s="10"/>
      <c r="F108" s="10"/>
      <c r="G108" s="10"/>
    </row>
    <row r="109" spans="1:7" ht="14.25" customHeight="1" x14ac:dyDescent="0.35">
      <c r="A109" s="10"/>
      <c r="B109" s="10"/>
      <c r="C109" s="10"/>
      <c r="D109" s="10"/>
      <c r="E109" s="10"/>
      <c r="F109" s="10"/>
      <c r="G109" s="10"/>
    </row>
    <row r="110" spans="1:7" ht="14.25" customHeight="1" x14ac:dyDescent="0.35">
      <c r="A110" s="10"/>
      <c r="B110" s="10"/>
      <c r="C110" s="10"/>
      <c r="D110" s="10"/>
      <c r="E110" s="10"/>
      <c r="F110" s="10"/>
      <c r="G110" s="10"/>
    </row>
    <row r="111" spans="1:7" ht="14.25" customHeight="1" x14ac:dyDescent="0.35">
      <c r="A111" s="10"/>
      <c r="B111" s="10"/>
      <c r="C111" s="10"/>
      <c r="D111" s="10"/>
      <c r="E111" s="10"/>
      <c r="F111" s="10"/>
      <c r="G111" s="10"/>
    </row>
    <row r="112" spans="1:7" ht="14.25" customHeight="1" x14ac:dyDescent="0.35">
      <c r="A112" s="10"/>
      <c r="B112" s="10"/>
      <c r="C112" s="10"/>
      <c r="D112" s="10"/>
      <c r="E112" s="10"/>
      <c r="F112" s="10"/>
      <c r="G112" s="10"/>
    </row>
    <row r="113" spans="1:7" ht="14.25" customHeight="1" x14ac:dyDescent="0.35">
      <c r="A113" s="10"/>
      <c r="B113" s="10"/>
      <c r="C113" s="10"/>
      <c r="D113" s="10"/>
      <c r="E113" s="10"/>
      <c r="F113" s="10"/>
      <c r="G113" s="10"/>
    </row>
    <row r="114" spans="1:7" ht="14.25" customHeight="1" x14ac:dyDescent="0.35">
      <c r="A114" s="10"/>
      <c r="B114" s="10"/>
      <c r="C114" s="10"/>
      <c r="D114" s="10"/>
      <c r="E114" s="10"/>
      <c r="F114" s="10"/>
      <c r="G114" s="10"/>
    </row>
    <row r="115" spans="1:7" ht="14.25" customHeight="1" x14ac:dyDescent="0.35">
      <c r="A115" s="10"/>
      <c r="B115" s="10"/>
      <c r="C115" s="10"/>
      <c r="D115" s="10"/>
      <c r="E115" s="10"/>
      <c r="F115" s="10"/>
      <c r="G115" s="10"/>
    </row>
    <row r="116" spans="1:7" ht="14.25" customHeight="1" x14ac:dyDescent="0.35">
      <c r="A116" s="10"/>
      <c r="B116" s="10"/>
      <c r="C116" s="10"/>
      <c r="D116" s="10"/>
      <c r="E116" s="10"/>
      <c r="F116" s="10"/>
      <c r="G116" s="10"/>
    </row>
    <row r="117" spans="1:7" ht="14.25" customHeight="1" x14ac:dyDescent="0.35">
      <c r="A117" s="10"/>
      <c r="B117" s="10"/>
      <c r="C117" s="10"/>
      <c r="D117" s="10"/>
      <c r="E117" s="10"/>
      <c r="F117" s="10"/>
      <c r="G117" s="10"/>
    </row>
    <row r="118" spans="1:7" ht="14.25" customHeight="1" x14ac:dyDescent="0.35">
      <c r="A118" s="10"/>
      <c r="B118" s="10"/>
      <c r="C118" s="10"/>
      <c r="D118" s="10"/>
      <c r="E118" s="10"/>
      <c r="F118" s="10"/>
      <c r="G118" s="10"/>
    </row>
    <row r="119" spans="1:7" ht="14.25" customHeight="1" x14ac:dyDescent="0.35">
      <c r="A119" s="10"/>
      <c r="B119" s="10"/>
      <c r="C119" s="10"/>
      <c r="D119" s="10"/>
      <c r="E119" s="10"/>
      <c r="F119" s="10"/>
      <c r="G119" s="10"/>
    </row>
    <row r="120" spans="1:7" ht="14.25" customHeight="1" x14ac:dyDescent="0.35">
      <c r="A120" s="10"/>
      <c r="B120" s="10"/>
      <c r="C120" s="10"/>
      <c r="D120" s="10"/>
      <c r="E120" s="10"/>
      <c r="F120" s="10"/>
      <c r="G120" s="10"/>
    </row>
    <row r="121" spans="1:7" ht="14.25" customHeight="1" x14ac:dyDescent="0.35">
      <c r="A121" s="10"/>
      <c r="B121" s="10"/>
      <c r="C121" s="10"/>
      <c r="D121" s="10"/>
      <c r="E121" s="10"/>
      <c r="F121" s="10"/>
      <c r="G121" s="10"/>
    </row>
    <row r="122" spans="1:7" ht="14.25" customHeight="1" x14ac:dyDescent="0.35">
      <c r="A122" s="10"/>
      <c r="B122" s="10"/>
      <c r="C122" s="10"/>
      <c r="D122" s="10"/>
      <c r="E122" s="10"/>
      <c r="F122" s="10"/>
      <c r="G122" s="10"/>
    </row>
    <row r="123" spans="1:7" ht="14.25" customHeight="1" x14ac:dyDescent="0.35">
      <c r="A123" s="10"/>
      <c r="B123" s="10"/>
      <c r="C123" s="10"/>
      <c r="D123" s="10"/>
      <c r="E123" s="10"/>
      <c r="F123" s="10"/>
      <c r="G123" s="10"/>
    </row>
    <row r="124" spans="1:7" ht="14.25" customHeight="1" x14ac:dyDescent="0.35">
      <c r="A124" s="10"/>
      <c r="B124" s="10"/>
      <c r="C124" s="10"/>
      <c r="D124" s="10"/>
      <c r="E124" s="10"/>
      <c r="F124" s="10"/>
      <c r="G124" s="10"/>
    </row>
    <row r="125" spans="1:7" ht="14.25" customHeight="1" x14ac:dyDescent="0.35">
      <c r="A125" s="10"/>
      <c r="B125" s="10"/>
      <c r="C125" s="10"/>
      <c r="D125" s="10"/>
      <c r="E125" s="10"/>
      <c r="F125" s="10"/>
      <c r="G125" s="10"/>
    </row>
    <row r="126" spans="1:7" ht="14.25" customHeight="1" x14ac:dyDescent="0.35">
      <c r="A126" s="10"/>
      <c r="B126" s="10"/>
      <c r="C126" s="10"/>
      <c r="D126" s="10"/>
      <c r="E126" s="10"/>
      <c r="F126" s="10"/>
      <c r="G126" s="10"/>
    </row>
    <row r="127" spans="1:7" ht="14.25" customHeight="1" x14ac:dyDescent="0.35">
      <c r="A127" s="10"/>
      <c r="B127" s="10"/>
      <c r="C127" s="10"/>
      <c r="D127" s="10"/>
      <c r="E127" s="10"/>
      <c r="F127" s="10"/>
      <c r="G127" s="10"/>
    </row>
    <row r="128" spans="1:7" ht="14.25" customHeight="1" x14ac:dyDescent="0.35">
      <c r="A128" s="10"/>
      <c r="B128" s="10"/>
      <c r="C128" s="10"/>
      <c r="D128" s="10"/>
      <c r="E128" s="10"/>
      <c r="F128" s="10"/>
      <c r="G128" s="10"/>
    </row>
    <row r="129" spans="1:7" ht="14.25" customHeight="1" x14ac:dyDescent="0.35">
      <c r="A129" s="10"/>
      <c r="B129" s="10"/>
      <c r="C129" s="10"/>
      <c r="D129" s="10"/>
      <c r="E129" s="10"/>
      <c r="F129" s="10"/>
      <c r="G129" s="10"/>
    </row>
    <row r="130" spans="1:7" ht="14.25" customHeight="1" x14ac:dyDescent="0.35">
      <c r="A130" s="10"/>
      <c r="B130" s="10"/>
      <c r="C130" s="10"/>
      <c r="D130" s="10"/>
      <c r="E130" s="10"/>
      <c r="F130" s="10"/>
      <c r="G130" s="10"/>
    </row>
    <row r="131" spans="1:7" ht="14.25" customHeight="1" x14ac:dyDescent="0.35">
      <c r="A131" s="10"/>
      <c r="B131" s="10"/>
      <c r="C131" s="10"/>
      <c r="D131" s="10"/>
      <c r="E131" s="10"/>
      <c r="F131" s="10"/>
      <c r="G131" s="10"/>
    </row>
    <row r="132" spans="1:7" ht="14.25" customHeight="1" x14ac:dyDescent="0.35">
      <c r="A132" s="10"/>
      <c r="B132" s="10"/>
      <c r="C132" s="10"/>
      <c r="D132" s="10"/>
      <c r="E132" s="10"/>
      <c r="F132" s="10"/>
      <c r="G132" s="10"/>
    </row>
    <row r="133" spans="1:7" ht="14.25" customHeight="1" x14ac:dyDescent="0.35">
      <c r="A133" s="10"/>
      <c r="B133" s="10"/>
      <c r="C133" s="10"/>
      <c r="D133" s="10"/>
      <c r="E133" s="10"/>
      <c r="F133" s="10"/>
      <c r="G133" s="10"/>
    </row>
    <row r="134" spans="1:7" ht="14.25" customHeight="1" x14ac:dyDescent="0.35">
      <c r="A134" s="10"/>
      <c r="B134" s="10"/>
      <c r="C134" s="10"/>
      <c r="D134" s="10"/>
      <c r="E134" s="10"/>
      <c r="F134" s="10"/>
      <c r="G134" s="10"/>
    </row>
    <row r="135" spans="1:7" ht="14.25" customHeight="1" x14ac:dyDescent="0.35">
      <c r="A135" s="10"/>
      <c r="B135" s="10"/>
      <c r="C135" s="10"/>
      <c r="D135" s="10"/>
      <c r="E135" s="10"/>
      <c r="F135" s="10"/>
      <c r="G135" s="10"/>
    </row>
    <row r="136" spans="1:7" ht="14.25" customHeight="1" x14ac:dyDescent="0.35">
      <c r="A136" s="10"/>
      <c r="B136" s="10"/>
      <c r="C136" s="10"/>
      <c r="D136" s="10"/>
      <c r="E136" s="10"/>
      <c r="F136" s="10"/>
      <c r="G136" s="10"/>
    </row>
    <row r="137" spans="1:7" ht="14.25" customHeight="1" x14ac:dyDescent="0.35">
      <c r="A137" s="10"/>
      <c r="B137" s="10"/>
      <c r="C137" s="10"/>
      <c r="D137" s="10"/>
      <c r="E137" s="10"/>
      <c r="F137" s="10"/>
      <c r="G137" s="10"/>
    </row>
    <row r="138" spans="1:7" ht="14.25" customHeight="1" x14ac:dyDescent="0.35">
      <c r="A138" s="10"/>
      <c r="B138" s="10"/>
      <c r="C138" s="10"/>
      <c r="D138" s="10"/>
      <c r="E138" s="10"/>
      <c r="F138" s="10"/>
      <c r="G138" s="10"/>
    </row>
    <row r="139" spans="1:7" ht="14.25" customHeight="1" x14ac:dyDescent="0.35">
      <c r="A139" s="10"/>
      <c r="B139" s="10"/>
      <c r="C139" s="10"/>
      <c r="D139" s="10"/>
      <c r="E139" s="10"/>
      <c r="F139" s="10"/>
      <c r="G139" s="10"/>
    </row>
    <row r="140" spans="1:7" ht="14.25" customHeight="1" x14ac:dyDescent="0.35">
      <c r="A140" s="10"/>
      <c r="B140" s="10"/>
      <c r="C140" s="10"/>
      <c r="D140" s="10"/>
      <c r="E140" s="10"/>
      <c r="F140" s="10"/>
      <c r="G140" s="10"/>
    </row>
    <row r="141" spans="1:7" ht="14.25" customHeight="1" x14ac:dyDescent="0.35">
      <c r="A141" s="10"/>
      <c r="B141" s="10"/>
      <c r="C141" s="10"/>
      <c r="D141" s="10"/>
      <c r="E141" s="10"/>
      <c r="F141" s="10"/>
      <c r="G141" s="10"/>
    </row>
    <row r="142" spans="1:7" ht="14.25" customHeight="1" x14ac:dyDescent="0.35">
      <c r="A142" s="10"/>
      <c r="B142" s="10"/>
      <c r="C142" s="10"/>
      <c r="D142" s="10"/>
      <c r="E142" s="10"/>
      <c r="F142" s="10"/>
      <c r="G142" s="10"/>
    </row>
    <row r="143" spans="1:7" ht="14.25" customHeight="1" x14ac:dyDescent="0.35">
      <c r="A143" s="10"/>
      <c r="B143" s="10"/>
      <c r="C143" s="10"/>
      <c r="D143" s="10"/>
      <c r="E143" s="10"/>
      <c r="F143" s="10"/>
      <c r="G143" s="10"/>
    </row>
    <row r="144" spans="1:7" ht="14.25" customHeight="1" x14ac:dyDescent="0.35">
      <c r="A144" s="10"/>
      <c r="B144" s="10"/>
      <c r="C144" s="10"/>
      <c r="D144" s="10"/>
      <c r="E144" s="10"/>
      <c r="F144" s="10"/>
      <c r="G144" s="10"/>
    </row>
    <row r="145" spans="1:7" ht="14.25" customHeight="1" x14ac:dyDescent="0.35">
      <c r="A145" s="10"/>
      <c r="B145" s="10"/>
      <c r="C145" s="10"/>
      <c r="D145" s="10"/>
      <c r="E145" s="10"/>
      <c r="F145" s="10"/>
      <c r="G145" s="10"/>
    </row>
    <row r="146" spans="1:7" ht="14.25" customHeight="1" x14ac:dyDescent="0.35">
      <c r="A146" s="10"/>
      <c r="B146" s="10"/>
      <c r="C146" s="10"/>
      <c r="D146" s="10"/>
      <c r="E146" s="10"/>
      <c r="F146" s="10"/>
      <c r="G146" s="10"/>
    </row>
    <row r="147" spans="1:7" ht="14.25" customHeight="1" x14ac:dyDescent="0.35">
      <c r="A147" s="10"/>
      <c r="B147" s="10"/>
      <c r="C147" s="10"/>
      <c r="D147" s="10"/>
      <c r="E147" s="10"/>
      <c r="F147" s="10"/>
      <c r="G147" s="10"/>
    </row>
    <row r="148" spans="1:7" ht="14.25" customHeight="1" x14ac:dyDescent="0.35">
      <c r="A148" s="10"/>
      <c r="B148" s="10"/>
      <c r="C148" s="10"/>
      <c r="D148" s="10"/>
      <c r="E148" s="10"/>
      <c r="F148" s="10"/>
      <c r="G148" s="10"/>
    </row>
    <row r="149" spans="1:7" ht="14.25" customHeight="1" x14ac:dyDescent="0.35">
      <c r="A149" s="10"/>
      <c r="B149" s="10"/>
      <c r="C149" s="10"/>
      <c r="D149" s="10"/>
      <c r="E149" s="10"/>
      <c r="F149" s="10"/>
      <c r="G149" s="10"/>
    </row>
    <row r="150" spans="1:7" ht="14.25" customHeight="1" x14ac:dyDescent="0.35">
      <c r="A150" s="10"/>
      <c r="B150" s="10"/>
      <c r="C150" s="10"/>
      <c r="D150" s="10"/>
      <c r="E150" s="10"/>
      <c r="F150" s="10"/>
      <c r="G150" s="10"/>
    </row>
    <row r="151" spans="1:7" ht="14.25" customHeight="1" x14ac:dyDescent="0.35">
      <c r="A151" s="10"/>
      <c r="B151" s="10"/>
      <c r="C151" s="10"/>
      <c r="D151" s="10"/>
      <c r="E151" s="10"/>
      <c r="F151" s="10"/>
      <c r="G151" s="10"/>
    </row>
    <row r="152" spans="1:7" ht="14.25" customHeight="1" x14ac:dyDescent="0.35">
      <c r="A152" s="10"/>
      <c r="B152" s="10"/>
      <c r="C152" s="10"/>
      <c r="D152" s="10"/>
      <c r="E152" s="10"/>
      <c r="F152" s="10"/>
      <c r="G152" s="10"/>
    </row>
    <row r="153" spans="1:7" ht="14.25" customHeight="1" x14ac:dyDescent="0.35">
      <c r="A153" s="10"/>
      <c r="B153" s="10"/>
      <c r="C153" s="10"/>
      <c r="D153" s="10"/>
      <c r="E153" s="10"/>
      <c r="F153" s="10"/>
      <c r="G153" s="10"/>
    </row>
    <row r="154" spans="1:7" ht="14.25" customHeight="1" x14ac:dyDescent="0.35">
      <c r="A154" s="10"/>
      <c r="B154" s="10"/>
      <c r="C154" s="10"/>
      <c r="D154" s="10"/>
      <c r="E154" s="10"/>
      <c r="F154" s="10"/>
      <c r="G154" s="10"/>
    </row>
    <row r="155" spans="1:7" ht="14.25" customHeight="1" x14ac:dyDescent="0.35">
      <c r="A155" s="10"/>
      <c r="B155" s="10"/>
      <c r="C155" s="10"/>
      <c r="D155" s="10"/>
      <c r="E155" s="10"/>
      <c r="F155" s="10"/>
      <c r="G155" s="10"/>
    </row>
    <row r="156" spans="1:7" ht="14.25" customHeight="1" x14ac:dyDescent="0.35">
      <c r="A156" s="10"/>
      <c r="B156" s="10"/>
      <c r="C156" s="10"/>
      <c r="D156" s="10"/>
      <c r="E156" s="10"/>
      <c r="F156" s="10"/>
      <c r="G156" s="10"/>
    </row>
    <row r="157" spans="1:7" ht="14.25" customHeight="1" x14ac:dyDescent="0.35">
      <c r="A157" s="10"/>
      <c r="B157" s="10"/>
      <c r="C157" s="10"/>
      <c r="D157" s="10"/>
      <c r="E157" s="10"/>
      <c r="F157" s="10"/>
      <c r="G157" s="10"/>
    </row>
    <row r="158" spans="1:7" ht="14.25" customHeight="1" x14ac:dyDescent="0.35">
      <c r="A158" s="10"/>
      <c r="B158" s="10"/>
      <c r="C158" s="10"/>
      <c r="D158" s="10"/>
      <c r="E158" s="10"/>
      <c r="F158" s="10"/>
      <c r="G158" s="10"/>
    </row>
    <row r="159" spans="1:7" ht="14.25" customHeight="1" x14ac:dyDescent="0.35">
      <c r="A159" s="10"/>
      <c r="B159" s="10"/>
      <c r="C159" s="10"/>
      <c r="D159" s="10"/>
      <c r="E159" s="10"/>
      <c r="F159" s="10"/>
      <c r="G159" s="10"/>
    </row>
    <row r="160" spans="1:7" ht="14.25" customHeight="1" x14ac:dyDescent="0.35">
      <c r="A160" s="10"/>
      <c r="B160" s="10"/>
      <c r="C160" s="10"/>
      <c r="D160" s="10"/>
      <c r="E160" s="10"/>
      <c r="F160" s="10"/>
      <c r="G160" s="10"/>
    </row>
    <row r="161" spans="1:7" ht="14.25" customHeight="1" x14ac:dyDescent="0.35">
      <c r="A161" s="10"/>
      <c r="B161" s="10"/>
      <c r="C161" s="10"/>
      <c r="D161" s="10"/>
      <c r="E161" s="10"/>
      <c r="F161" s="10"/>
      <c r="G161" s="10"/>
    </row>
    <row r="162" spans="1:7" ht="14.25" customHeight="1" x14ac:dyDescent="0.35">
      <c r="A162" s="10"/>
      <c r="B162" s="10"/>
      <c r="C162" s="10"/>
      <c r="D162" s="10"/>
      <c r="E162" s="10"/>
      <c r="F162" s="10"/>
      <c r="G162" s="10"/>
    </row>
    <row r="163" spans="1:7" ht="14.25" customHeight="1" x14ac:dyDescent="0.35">
      <c r="A163" s="10"/>
      <c r="B163" s="10"/>
      <c r="C163" s="10"/>
      <c r="D163" s="10"/>
      <c r="E163" s="10"/>
      <c r="F163" s="10"/>
      <c r="G163" s="10"/>
    </row>
    <row r="164" spans="1:7" ht="14.25" customHeight="1" x14ac:dyDescent="0.35">
      <c r="A164" s="10"/>
      <c r="B164" s="10"/>
      <c r="C164" s="10"/>
      <c r="D164" s="10"/>
      <c r="E164" s="10"/>
      <c r="F164" s="10"/>
      <c r="G164" s="10"/>
    </row>
    <row r="165" spans="1:7" ht="14.25" customHeight="1" x14ac:dyDescent="0.35">
      <c r="A165" s="10"/>
      <c r="B165" s="10"/>
      <c r="C165" s="10"/>
      <c r="D165" s="10"/>
      <c r="E165" s="10"/>
      <c r="F165" s="10"/>
      <c r="G165" s="10"/>
    </row>
    <row r="166" spans="1:7" ht="14.25" customHeight="1" x14ac:dyDescent="0.35">
      <c r="A166" s="10"/>
      <c r="B166" s="10"/>
      <c r="C166" s="10"/>
      <c r="D166" s="10"/>
      <c r="E166" s="10"/>
      <c r="F166" s="10"/>
      <c r="G166" s="10"/>
    </row>
    <row r="167" spans="1:7" ht="14.25" customHeight="1" x14ac:dyDescent="0.35">
      <c r="A167" s="10"/>
      <c r="B167" s="10"/>
      <c r="C167" s="10"/>
      <c r="D167" s="10"/>
      <c r="E167" s="10"/>
      <c r="F167" s="10"/>
      <c r="G167" s="10"/>
    </row>
    <row r="168" spans="1:7" ht="14.25" customHeight="1" x14ac:dyDescent="0.35">
      <c r="A168" s="10"/>
      <c r="B168" s="10"/>
      <c r="C168" s="10"/>
      <c r="D168" s="10"/>
      <c r="E168" s="10"/>
      <c r="F168" s="10"/>
      <c r="G168" s="10"/>
    </row>
    <row r="169" spans="1:7" ht="14.25" customHeight="1" x14ac:dyDescent="0.35">
      <c r="A169" s="10"/>
      <c r="B169" s="10"/>
      <c r="C169" s="10"/>
      <c r="D169" s="10"/>
      <c r="E169" s="10"/>
      <c r="F169" s="10"/>
      <c r="G169" s="10"/>
    </row>
    <row r="170" spans="1:7" ht="14.25" customHeight="1" x14ac:dyDescent="0.35">
      <c r="A170" s="10"/>
      <c r="B170" s="10"/>
      <c r="C170" s="10"/>
      <c r="D170" s="10"/>
      <c r="E170" s="10"/>
      <c r="F170" s="10"/>
      <c r="G170" s="10"/>
    </row>
    <row r="171" spans="1:7" ht="14.25" customHeight="1" x14ac:dyDescent="0.35">
      <c r="A171" s="10"/>
      <c r="B171" s="10"/>
      <c r="C171" s="10"/>
      <c r="D171" s="10"/>
      <c r="E171" s="10"/>
      <c r="F171" s="10"/>
      <c r="G171" s="10"/>
    </row>
    <row r="172" spans="1:7" ht="14.25" customHeight="1" x14ac:dyDescent="0.35">
      <c r="A172" s="10"/>
      <c r="B172" s="10"/>
      <c r="C172" s="10"/>
      <c r="D172" s="10"/>
      <c r="E172" s="10"/>
      <c r="F172" s="10"/>
      <c r="G172" s="10"/>
    </row>
    <row r="173" spans="1:7" ht="14.25" customHeight="1" x14ac:dyDescent="0.35">
      <c r="A173" s="10"/>
      <c r="B173" s="10"/>
      <c r="C173" s="10"/>
      <c r="D173" s="10"/>
      <c r="E173" s="10"/>
      <c r="F173" s="10"/>
      <c r="G173" s="10"/>
    </row>
    <row r="174" spans="1:7" ht="14.25" customHeight="1" x14ac:dyDescent="0.35">
      <c r="A174" s="10"/>
      <c r="B174" s="10"/>
      <c r="C174" s="10"/>
      <c r="D174" s="10"/>
      <c r="E174" s="10"/>
      <c r="F174" s="10"/>
      <c r="G174" s="10"/>
    </row>
    <row r="175" spans="1:7" ht="14.25" customHeight="1" x14ac:dyDescent="0.35">
      <c r="A175" s="10"/>
      <c r="B175" s="10"/>
      <c r="C175" s="10"/>
      <c r="D175" s="10"/>
      <c r="E175" s="10"/>
      <c r="F175" s="10"/>
      <c r="G175" s="10"/>
    </row>
    <row r="176" spans="1:7" ht="14.25" customHeight="1" x14ac:dyDescent="0.35">
      <c r="A176" s="10"/>
      <c r="B176" s="10"/>
      <c r="C176" s="10"/>
      <c r="D176" s="10"/>
      <c r="E176" s="10"/>
      <c r="F176" s="10"/>
      <c r="G176" s="10"/>
    </row>
    <row r="177" spans="1:7" ht="14.25" customHeight="1" x14ac:dyDescent="0.35">
      <c r="A177" s="10"/>
      <c r="B177" s="10"/>
      <c r="C177" s="10"/>
      <c r="D177" s="10"/>
      <c r="E177" s="10"/>
      <c r="F177" s="10"/>
      <c r="G177" s="10"/>
    </row>
    <row r="178" spans="1:7" ht="14.25" customHeight="1" x14ac:dyDescent="0.35">
      <c r="A178" s="10"/>
      <c r="B178" s="10"/>
      <c r="C178" s="10"/>
      <c r="D178" s="10"/>
      <c r="E178" s="10"/>
      <c r="F178" s="10"/>
      <c r="G178" s="10"/>
    </row>
    <row r="179" spans="1:7" ht="14.25" customHeight="1" x14ac:dyDescent="0.35">
      <c r="A179" s="10"/>
      <c r="B179" s="10"/>
      <c r="C179" s="10"/>
      <c r="D179" s="10"/>
      <c r="E179" s="10"/>
      <c r="F179" s="10"/>
      <c r="G179" s="10"/>
    </row>
    <row r="180" spans="1:7" ht="14.25" customHeight="1" x14ac:dyDescent="0.35">
      <c r="A180" s="10"/>
      <c r="B180" s="10"/>
      <c r="C180" s="10"/>
      <c r="D180" s="10"/>
      <c r="E180" s="10"/>
      <c r="F180" s="10"/>
      <c r="G180" s="10"/>
    </row>
    <row r="181" spans="1:7" ht="14.25" customHeight="1" x14ac:dyDescent="0.35">
      <c r="A181" s="10"/>
      <c r="B181" s="10"/>
      <c r="C181" s="10"/>
      <c r="D181" s="10"/>
      <c r="E181" s="10"/>
      <c r="F181" s="10"/>
      <c r="G181" s="10"/>
    </row>
    <row r="182" spans="1:7" ht="14.25" customHeight="1" x14ac:dyDescent="0.35">
      <c r="A182" s="10"/>
      <c r="B182" s="10"/>
      <c r="C182" s="10"/>
      <c r="D182" s="10"/>
      <c r="E182" s="10"/>
      <c r="F182" s="10"/>
      <c r="G182" s="10"/>
    </row>
    <row r="183" spans="1:7" ht="14.25" customHeight="1" x14ac:dyDescent="0.35">
      <c r="A183" s="10"/>
      <c r="B183" s="10"/>
      <c r="C183" s="10"/>
      <c r="D183" s="10"/>
      <c r="E183" s="10"/>
      <c r="F183" s="10"/>
      <c r="G183" s="10"/>
    </row>
    <row r="184" spans="1:7" ht="14.25" customHeight="1" x14ac:dyDescent="0.35">
      <c r="A184" s="10"/>
      <c r="B184" s="10"/>
      <c r="C184" s="10"/>
      <c r="D184" s="10"/>
      <c r="E184" s="10"/>
      <c r="F184" s="10"/>
      <c r="G184" s="10"/>
    </row>
    <row r="185" spans="1:7" ht="14.25" customHeight="1" x14ac:dyDescent="0.35">
      <c r="A185" s="10"/>
      <c r="B185" s="10"/>
      <c r="C185" s="10"/>
      <c r="D185" s="10"/>
      <c r="E185" s="10"/>
      <c r="F185" s="10"/>
      <c r="G185" s="10"/>
    </row>
    <row r="186" spans="1:7" ht="14.25" customHeight="1" x14ac:dyDescent="0.35">
      <c r="A186" s="10"/>
      <c r="B186" s="10"/>
      <c r="C186" s="10"/>
      <c r="D186" s="10"/>
      <c r="E186" s="10"/>
      <c r="F186" s="10"/>
      <c r="G186" s="10"/>
    </row>
    <row r="187" spans="1:7" ht="14.25" customHeight="1" x14ac:dyDescent="0.35">
      <c r="A187" s="10"/>
      <c r="B187" s="10"/>
      <c r="C187" s="10"/>
      <c r="D187" s="10"/>
      <c r="E187" s="10"/>
      <c r="F187" s="10"/>
      <c r="G187" s="10"/>
    </row>
    <row r="188" spans="1:7" ht="14.25" customHeight="1" x14ac:dyDescent="0.35">
      <c r="A188" s="10"/>
      <c r="B188" s="10"/>
      <c r="C188" s="10"/>
      <c r="D188" s="10"/>
      <c r="E188" s="10"/>
      <c r="F188" s="10"/>
      <c r="G188" s="10"/>
    </row>
    <row r="189" spans="1:7" ht="14.25" customHeight="1" x14ac:dyDescent="0.35">
      <c r="A189" s="10"/>
      <c r="B189" s="10"/>
      <c r="C189" s="10"/>
      <c r="D189" s="10"/>
      <c r="E189" s="10"/>
      <c r="F189" s="10"/>
      <c r="G189" s="10"/>
    </row>
    <row r="190" spans="1:7" ht="14.25" customHeight="1" x14ac:dyDescent="0.35">
      <c r="A190" s="10"/>
      <c r="B190" s="10"/>
      <c r="C190" s="10"/>
      <c r="D190" s="10"/>
      <c r="E190" s="10"/>
      <c r="F190" s="10"/>
      <c r="G190" s="10"/>
    </row>
    <row r="191" spans="1:7" ht="14.25" customHeight="1" x14ac:dyDescent="0.35">
      <c r="A191" s="10"/>
      <c r="B191" s="10"/>
      <c r="C191" s="10"/>
      <c r="D191" s="10"/>
      <c r="E191" s="10"/>
      <c r="F191" s="10"/>
      <c r="G191" s="10"/>
    </row>
    <row r="192" spans="1:7" ht="14.25" customHeight="1" x14ac:dyDescent="0.35">
      <c r="A192" s="10"/>
      <c r="B192" s="10"/>
      <c r="C192" s="10"/>
      <c r="D192" s="10"/>
      <c r="E192" s="10"/>
      <c r="F192" s="10"/>
      <c r="G192" s="10"/>
    </row>
    <row r="193" spans="1:7" ht="14.25" customHeight="1" x14ac:dyDescent="0.35">
      <c r="A193" s="10"/>
      <c r="B193" s="10"/>
      <c r="C193" s="10"/>
      <c r="D193" s="10"/>
      <c r="E193" s="10"/>
      <c r="F193" s="10"/>
      <c r="G193" s="10"/>
    </row>
    <row r="194" spans="1:7" ht="14.25" customHeight="1" x14ac:dyDescent="0.35">
      <c r="A194" s="10"/>
      <c r="B194" s="10"/>
      <c r="C194" s="10"/>
      <c r="D194" s="10"/>
      <c r="E194" s="10"/>
      <c r="F194" s="10"/>
      <c r="G194" s="10"/>
    </row>
    <row r="195" spans="1:7" ht="14.25" customHeight="1" x14ac:dyDescent="0.35">
      <c r="A195" s="10"/>
      <c r="B195" s="10"/>
      <c r="C195" s="10"/>
      <c r="D195" s="10"/>
      <c r="E195" s="10"/>
      <c r="F195" s="10"/>
      <c r="G195" s="10"/>
    </row>
    <row r="196" spans="1:7" ht="14.25" customHeight="1" x14ac:dyDescent="0.35">
      <c r="A196" s="10"/>
      <c r="B196" s="10"/>
      <c r="C196" s="10"/>
      <c r="D196" s="10"/>
      <c r="E196" s="10"/>
      <c r="F196" s="10"/>
      <c r="G196" s="10"/>
    </row>
    <row r="197" spans="1:7" ht="14.25" customHeight="1" x14ac:dyDescent="0.35">
      <c r="A197" s="10"/>
      <c r="B197" s="10"/>
      <c r="C197" s="10"/>
      <c r="D197" s="10"/>
      <c r="E197" s="10"/>
      <c r="F197" s="10"/>
      <c r="G197" s="10"/>
    </row>
    <row r="198" spans="1:7" ht="14.25" customHeight="1" x14ac:dyDescent="0.35">
      <c r="A198" s="10"/>
      <c r="B198" s="10"/>
      <c r="C198" s="10"/>
      <c r="D198" s="10"/>
      <c r="E198" s="10"/>
      <c r="F198" s="10"/>
      <c r="G198" s="10"/>
    </row>
    <row r="199" spans="1:7" ht="14.25" customHeight="1" x14ac:dyDescent="0.35">
      <c r="A199" s="10"/>
      <c r="B199" s="10"/>
      <c r="C199" s="10"/>
      <c r="D199" s="10"/>
      <c r="E199" s="10"/>
      <c r="F199" s="10"/>
      <c r="G199" s="10"/>
    </row>
    <row r="200" spans="1:7" ht="14.25" customHeight="1" x14ac:dyDescent="0.35">
      <c r="A200" s="10"/>
      <c r="B200" s="10"/>
      <c r="C200" s="10"/>
      <c r="D200" s="10"/>
      <c r="E200" s="10"/>
      <c r="F200" s="10"/>
      <c r="G200" s="10"/>
    </row>
    <row r="201" spans="1:7" ht="14.25" customHeight="1" x14ac:dyDescent="0.35">
      <c r="A201" s="10"/>
      <c r="B201" s="10"/>
      <c r="C201" s="10"/>
      <c r="D201" s="10"/>
      <c r="E201" s="10"/>
      <c r="F201" s="10"/>
      <c r="G201" s="10"/>
    </row>
    <row r="202" spans="1:7" ht="14.25" customHeight="1" x14ac:dyDescent="0.35">
      <c r="A202" s="10"/>
      <c r="B202" s="10"/>
      <c r="C202" s="10"/>
      <c r="D202" s="10"/>
      <c r="E202" s="10"/>
      <c r="F202" s="10"/>
      <c r="G202" s="10"/>
    </row>
    <row r="203" spans="1:7" ht="14.25" customHeight="1" x14ac:dyDescent="0.35">
      <c r="A203" s="10"/>
      <c r="B203" s="10"/>
      <c r="C203" s="10"/>
      <c r="D203" s="10"/>
      <c r="E203" s="10"/>
      <c r="F203" s="10"/>
      <c r="G203" s="10"/>
    </row>
    <row r="204" spans="1:7" ht="14.25" customHeight="1" x14ac:dyDescent="0.35">
      <c r="A204" s="10"/>
      <c r="B204" s="10"/>
      <c r="C204" s="10"/>
      <c r="D204" s="10"/>
      <c r="E204" s="10"/>
      <c r="F204" s="10"/>
      <c r="G204" s="10"/>
    </row>
    <row r="205" spans="1:7" ht="14.25" customHeight="1" x14ac:dyDescent="0.35">
      <c r="A205" s="10"/>
      <c r="B205" s="10"/>
      <c r="C205" s="10"/>
      <c r="D205" s="10"/>
      <c r="E205" s="10"/>
      <c r="F205" s="10"/>
      <c r="G205" s="10"/>
    </row>
    <row r="206" spans="1:7" ht="14.25" customHeight="1" x14ac:dyDescent="0.35">
      <c r="A206" s="10"/>
      <c r="B206" s="10"/>
      <c r="C206" s="10"/>
      <c r="D206" s="10"/>
      <c r="E206" s="10"/>
      <c r="F206" s="10"/>
      <c r="G206" s="10"/>
    </row>
    <row r="207" spans="1:7" ht="14.25" customHeight="1" x14ac:dyDescent="0.35">
      <c r="A207" s="10"/>
      <c r="B207" s="10"/>
      <c r="C207" s="10"/>
      <c r="D207" s="10"/>
      <c r="E207" s="10"/>
      <c r="F207" s="10"/>
      <c r="G207" s="10"/>
    </row>
    <row r="208" spans="1:7" ht="14.25" customHeight="1" x14ac:dyDescent="0.35">
      <c r="A208" s="10"/>
      <c r="B208" s="10"/>
      <c r="C208" s="10"/>
      <c r="D208" s="10"/>
      <c r="E208" s="10"/>
      <c r="F208" s="10"/>
      <c r="G208" s="10"/>
    </row>
    <row r="209" spans="1:7" ht="14.25" customHeight="1" x14ac:dyDescent="0.35">
      <c r="A209" s="10"/>
      <c r="B209" s="10"/>
      <c r="C209" s="10"/>
      <c r="D209" s="10"/>
      <c r="E209" s="10"/>
      <c r="F209" s="10"/>
      <c r="G209" s="10"/>
    </row>
    <row r="210" spans="1:7" ht="14.25" customHeight="1" x14ac:dyDescent="0.35">
      <c r="A210" s="10"/>
      <c r="B210" s="10"/>
      <c r="C210" s="10"/>
      <c r="D210" s="10"/>
      <c r="E210" s="10"/>
      <c r="F210" s="10"/>
      <c r="G210" s="10"/>
    </row>
    <row r="211" spans="1:7" ht="14.25" customHeight="1" x14ac:dyDescent="0.35">
      <c r="A211" s="10"/>
      <c r="B211" s="10"/>
      <c r="C211" s="10"/>
      <c r="D211" s="10"/>
      <c r="E211" s="10"/>
      <c r="F211" s="10"/>
      <c r="G211" s="10"/>
    </row>
    <row r="212" spans="1:7" ht="14.25" customHeight="1" x14ac:dyDescent="0.35">
      <c r="A212" s="10"/>
      <c r="B212" s="10"/>
      <c r="C212" s="10"/>
      <c r="D212" s="10"/>
      <c r="E212" s="10"/>
      <c r="F212" s="10"/>
      <c r="G212" s="10"/>
    </row>
    <row r="213" spans="1:7" ht="14.25" customHeight="1" x14ac:dyDescent="0.35">
      <c r="A213" s="10"/>
      <c r="B213" s="10"/>
      <c r="C213" s="10"/>
      <c r="D213" s="10"/>
      <c r="E213" s="10"/>
      <c r="F213" s="10"/>
      <c r="G213" s="10"/>
    </row>
    <row r="214" spans="1:7" ht="14.25" customHeight="1" x14ac:dyDescent="0.35">
      <c r="A214" s="10"/>
      <c r="B214" s="10"/>
      <c r="C214" s="10"/>
      <c r="D214" s="10"/>
      <c r="E214" s="10"/>
      <c r="F214" s="10"/>
      <c r="G214" s="10"/>
    </row>
    <row r="215" spans="1:7" ht="14.25" customHeight="1" x14ac:dyDescent="0.35">
      <c r="A215" s="10"/>
      <c r="B215" s="10"/>
      <c r="C215" s="10"/>
      <c r="D215" s="10"/>
      <c r="E215" s="10"/>
      <c r="F215" s="10"/>
      <c r="G215" s="10"/>
    </row>
    <row r="216" spans="1:7" ht="14.25" customHeight="1" x14ac:dyDescent="0.35">
      <c r="A216" s="10"/>
      <c r="B216" s="10"/>
      <c r="C216" s="10"/>
      <c r="D216" s="10"/>
      <c r="E216" s="10"/>
      <c r="F216" s="10"/>
      <c r="G216" s="10"/>
    </row>
    <row r="217" spans="1:7" ht="14.25" customHeight="1" x14ac:dyDescent="0.35">
      <c r="A217" s="10"/>
      <c r="B217" s="10"/>
      <c r="C217" s="10"/>
      <c r="D217" s="10"/>
      <c r="E217" s="10"/>
      <c r="F217" s="10"/>
      <c r="G217" s="10"/>
    </row>
    <row r="218" spans="1:7" ht="14.25" customHeight="1" x14ac:dyDescent="0.35">
      <c r="A218" s="10"/>
      <c r="B218" s="10"/>
      <c r="C218" s="10"/>
      <c r="D218" s="10"/>
      <c r="E218" s="10"/>
      <c r="F218" s="10"/>
      <c r="G218" s="10"/>
    </row>
    <row r="219" spans="1:7" ht="14.25" customHeight="1" x14ac:dyDescent="0.35">
      <c r="A219" s="10"/>
      <c r="B219" s="10"/>
      <c r="C219" s="10"/>
      <c r="D219" s="10"/>
      <c r="E219" s="10"/>
      <c r="F219" s="10"/>
      <c r="G219" s="10"/>
    </row>
    <row r="220" spans="1:7" ht="14.25" customHeight="1" x14ac:dyDescent="0.35">
      <c r="A220" s="10"/>
      <c r="B220" s="10"/>
      <c r="C220" s="10"/>
      <c r="D220" s="10"/>
      <c r="E220" s="10"/>
      <c r="F220" s="10"/>
      <c r="G220" s="10"/>
    </row>
    <row r="221" spans="1:7" ht="14.25" customHeight="1" x14ac:dyDescent="0.35">
      <c r="A221" s="10"/>
      <c r="B221" s="10"/>
      <c r="C221" s="10"/>
      <c r="D221" s="10"/>
      <c r="E221" s="10"/>
      <c r="F221" s="10"/>
      <c r="G221" s="10"/>
    </row>
    <row r="222" spans="1:7" ht="14.25" customHeight="1" x14ac:dyDescent="0.35">
      <c r="A222" s="10"/>
      <c r="B222" s="10"/>
      <c r="C222" s="10"/>
      <c r="D222" s="10"/>
      <c r="E222" s="10"/>
      <c r="F222" s="10"/>
      <c r="G222" s="10"/>
    </row>
    <row r="223" spans="1:7" ht="14.25" customHeight="1" x14ac:dyDescent="0.35">
      <c r="A223" s="10"/>
      <c r="B223" s="10"/>
      <c r="C223" s="10"/>
      <c r="D223" s="10"/>
      <c r="E223" s="10"/>
      <c r="F223" s="10"/>
      <c r="G223" s="10"/>
    </row>
    <row r="224" spans="1:7" ht="14.25" customHeight="1" x14ac:dyDescent="0.35">
      <c r="A224" s="10"/>
      <c r="B224" s="10"/>
      <c r="C224" s="10"/>
      <c r="D224" s="10"/>
      <c r="E224" s="10"/>
      <c r="F224" s="10"/>
      <c r="G224" s="10"/>
    </row>
    <row r="225" spans="1:7" ht="14.25" customHeight="1" x14ac:dyDescent="0.35">
      <c r="A225" s="10"/>
      <c r="B225" s="10"/>
      <c r="C225" s="10"/>
      <c r="D225" s="10"/>
      <c r="E225" s="10"/>
      <c r="F225" s="10"/>
      <c r="G225" s="10"/>
    </row>
    <row r="226" spans="1:7" ht="14.25" customHeight="1" x14ac:dyDescent="0.35">
      <c r="A226" s="10"/>
      <c r="B226" s="10"/>
      <c r="C226" s="10"/>
      <c r="D226" s="10"/>
      <c r="E226" s="10"/>
      <c r="F226" s="10"/>
      <c r="G226" s="10"/>
    </row>
    <row r="227" spans="1:7" ht="14.25" customHeight="1" x14ac:dyDescent="0.35">
      <c r="A227" s="10"/>
      <c r="B227" s="10"/>
      <c r="C227" s="10"/>
      <c r="D227" s="10"/>
      <c r="E227" s="10"/>
      <c r="F227" s="10"/>
      <c r="G227" s="10"/>
    </row>
    <row r="228" spans="1:7" ht="14.25" customHeight="1" x14ac:dyDescent="0.35">
      <c r="A228" s="10"/>
      <c r="B228" s="10"/>
      <c r="C228" s="10"/>
      <c r="D228" s="10"/>
      <c r="E228" s="10"/>
      <c r="F228" s="10"/>
      <c r="G228" s="10"/>
    </row>
    <row r="229" spans="1:7" ht="14.25" customHeight="1" x14ac:dyDescent="0.35">
      <c r="A229" s="10"/>
      <c r="B229" s="10"/>
      <c r="C229" s="10"/>
      <c r="D229" s="10"/>
      <c r="E229" s="10"/>
      <c r="F229" s="10"/>
      <c r="G229" s="10"/>
    </row>
    <row r="230" spans="1:7" ht="14.25" customHeight="1" x14ac:dyDescent="0.35">
      <c r="A230" s="10"/>
      <c r="B230" s="10"/>
      <c r="C230" s="10"/>
      <c r="D230" s="10"/>
      <c r="E230" s="10"/>
      <c r="F230" s="10"/>
      <c r="G230" s="10"/>
    </row>
    <row r="231" spans="1:7" ht="14.25" customHeight="1" x14ac:dyDescent="0.35">
      <c r="A231" s="10"/>
      <c r="B231" s="10"/>
      <c r="C231" s="10"/>
      <c r="D231" s="10"/>
      <c r="E231" s="10"/>
      <c r="F231" s="10"/>
      <c r="G231" s="10"/>
    </row>
    <row r="232" spans="1:7" ht="14.25" customHeight="1" x14ac:dyDescent="0.35">
      <c r="A232" s="10"/>
      <c r="B232" s="10"/>
      <c r="C232" s="10"/>
      <c r="D232" s="10"/>
      <c r="E232" s="10"/>
      <c r="F232" s="10"/>
      <c r="G232" s="10"/>
    </row>
    <row r="233" spans="1:7" ht="14.25" customHeight="1" x14ac:dyDescent="0.35">
      <c r="A233" s="10"/>
      <c r="B233" s="10"/>
      <c r="C233" s="10"/>
      <c r="D233" s="10"/>
      <c r="E233" s="10"/>
      <c r="F233" s="10"/>
      <c r="G233" s="10"/>
    </row>
    <row r="234" spans="1:7" ht="14.25" customHeight="1" x14ac:dyDescent="0.35">
      <c r="A234" s="10"/>
      <c r="B234" s="10"/>
      <c r="C234" s="10"/>
      <c r="D234" s="10"/>
      <c r="E234" s="10"/>
      <c r="F234" s="10"/>
      <c r="G234" s="10"/>
    </row>
    <row r="235" spans="1:7" ht="14.25" customHeight="1" x14ac:dyDescent="0.35">
      <c r="A235" s="10"/>
      <c r="B235" s="10"/>
      <c r="C235" s="10"/>
      <c r="D235" s="10"/>
      <c r="E235" s="10"/>
      <c r="F235" s="10"/>
      <c r="G235" s="10"/>
    </row>
    <row r="236" spans="1:7" ht="14.25" customHeight="1" x14ac:dyDescent="0.35">
      <c r="A236" s="10"/>
      <c r="B236" s="10"/>
      <c r="C236" s="10"/>
      <c r="D236" s="10"/>
      <c r="E236" s="10"/>
      <c r="F236" s="10"/>
      <c r="G236" s="10"/>
    </row>
    <row r="237" spans="1:7" ht="14.25" customHeight="1" x14ac:dyDescent="0.35">
      <c r="A237" s="10"/>
      <c r="B237" s="10"/>
      <c r="C237" s="10"/>
      <c r="D237" s="10"/>
      <c r="E237" s="10"/>
      <c r="F237" s="10"/>
      <c r="G237" s="10"/>
    </row>
    <row r="238" spans="1:7" ht="14.25" customHeight="1" x14ac:dyDescent="0.35">
      <c r="A238" s="10"/>
      <c r="B238" s="10"/>
      <c r="C238" s="10"/>
      <c r="D238" s="10"/>
      <c r="E238" s="10"/>
      <c r="F238" s="10"/>
      <c r="G238" s="10"/>
    </row>
    <row r="239" spans="1:7" ht="14.25" customHeight="1" x14ac:dyDescent="0.35">
      <c r="A239" s="10"/>
      <c r="B239" s="10"/>
      <c r="C239" s="10"/>
      <c r="D239" s="10"/>
      <c r="E239" s="10"/>
      <c r="F239" s="10"/>
      <c r="G239" s="10"/>
    </row>
    <row r="240" spans="1:7" ht="14.25" customHeight="1" x14ac:dyDescent="0.35">
      <c r="A240" s="10"/>
      <c r="B240" s="10"/>
      <c r="C240" s="10"/>
      <c r="D240" s="10"/>
      <c r="E240" s="10"/>
      <c r="F240" s="10"/>
      <c r="G240" s="10"/>
    </row>
    <row r="241" spans="1:7" ht="14.25" customHeight="1" x14ac:dyDescent="0.35">
      <c r="A241" s="10"/>
      <c r="B241" s="10"/>
      <c r="C241" s="10"/>
      <c r="D241" s="10"/>
      <c r="E241" s="10"/>
      <c r="F241" s="10"/>
      <c r="G241" s="10"/>
    </row>
    <row r="242" spans="1:7" ht="14.25" customHeight="1" x14ac:dyDescent="0.35">
      <c r="A242" s="10"/>
      <c r="B242" s="10"/>
      <c r="C242" s="10"/>
      <c r="D242" s="10"/>
      <c r="E242" s="10"/>
      <c r="F242" s="10"/>
      <c r="G242" s="10"/>
    </row>
    <row r="243" spans="1:7" ht="14.25" customHeight="1" x14ac:dyDescent="0.35">
      <c r="A243" s="10"/>
      <c r="B243" s="10"/>
      <c r="C243" s="10"/>
      <c r="D243" s="10"/>
      <c r="E243" s="10"/>
      <c r="F243" s="10"/>
      <c r="G243" s="10"/>
    </row>
    <row r="244" spans="1:7" ht="14.25" customHeight="1" x14ac:dyDescent="0.35">
      <c r="A244" s="10"/>
      <c r="B244" s="10"/>
      <c r="C244" s="10"/>
      <c r="D244" s="10"/>
      <c r="E244" s="10"/>
      <c r="F244" s="10"/>
      <c r="G244" s="10"/>
    </row>
    <row r="245" spans="1:7" ht="14.25" customHeight="1" x14ac:dyDescent="0.35">
      <c r="A245" s="10"/>
      <c r="B245" s="10"/>
      <c r="C245" s="10"/>
      <c r="D245" s="10"/>
      <c r="E245" s="10"/>
      <c r="F245" s="10"/>
      <c r="G245" s="10"/>
    </row>
    <row r="246" spans="1:7" ht="14.25" customHeight="1" x14ac:dyDescent="0.35">
      <c r="A246" s="10"/>
      <c r="B246" s="10"/>
      <c r="C246" s="10"/>
      <c r="D246" s="10"/>
      <c r="E246" s="10"/>
      <c r="F246" s="10"/>
      <c r="G246" s="10"/>
    </row>
    <row r="247" spans="1:7" ht="14.25" customHeight="1" x14ac:dyDescent="0.35">
      <c r="A247" s="10"/>
      <c r="B247" s="10"/>
      <c r="C247" s="10"/>
      <c r="D247" s="10"/>
      <c r="E247" s="10"/>
      <c r="F247" s="10"/>
      <c r="G247" s="10"/>
    </row>
    <row r="248" spans="1:7" ht="14.25" customHeight="1" x14ac:dyDescent="0.35">
      <c r="A248" s="10"/>
      <c r="B248" s="10"/>
      <c r="C248" s="10"/>
      <c r="D248" s="10"/>
      <c r="E248" s="10"/>
      <c r="F248" s="10"/>
      <c r="G248" s="10"/>
    </row>
    <row r="249" spans="1:7" ht="14.25" customHeight="1" x14ac:dyDescent="0.35">
      <c r="A249" s="10"/>
      <c r="B249" s="10"/>
      <c r="C249" s="10"/>
      <c r="D249" s="10"/>
      <c r="E249" s="10"/>
      <c r="F249" s="10"/>
      <c r="G249" s="10"/>
    </row>
    <row r="250" spans="1:7" ht="14.25" customHeight="1" x14ac:dyDescent="0.35">
      <c r="A250" s="10"/>
      <c r="B250" s="10"/>
      <c r="C250" s="10"/>
      <c r="D250" s="10"/>
      <c r="E250" s="10"/>
      <c r="F250" s="10"/>
      <c r="G250" s="10"/>
    </row>
    <row r="251" spans="1:7" ht="14.25" customHeight="1" x14ac:dyDescent="0.35">
      <c r="A251" s="10"/>
      <c r="B251" s="10"/>
      <c r="C251" s="10"/>
      <c r="D251" s="10"/>
      <c r="E251" s="10"/>
      <c r="F251" s="10"/>
      <c r="G251" s="10"/>
    </row>
    <row r="252" spans="1:7" ht="14.25" customHeight="1" x14ac:dyDescent="0.35">
      <c r="A252" s="10"/>
      <c r="B252" s="10"/>
      <c r="C252" s="10"/>
      <c r="D252" s="10"/>
      <c r="E252" s="10"/>
      <c r="F252" s="10"/>
      <c r="G252" s="10"/>
    </row>
    <row r="253" spans="1:7" ht="14.25" customHeight="1" x14ac:dyDescent="0.35">
      <c r="A253" s="10"/>
      <c r="B253" s="10"/>
      <c r="C253" s="10"/>
      <c r="D253" s="10"/>
      <c r="E253" s="10"/>
      <c r="F253" s="10"/>
      <c r="G253" s="10"/>
    </row>
    <row r="254" spans="1:7" ht="14.25" customHeight="1" x14ac:dyDescent="0.35">
      <c r="A254" s="10"/>
      <c r="B254" s="10"/>
      <c r="C254" s="10"/>
      <c r="D254" s="10"/>
      <c r="E254" s="10"/>
      <c r="F254" s="10"/>
      <c r="G254" s="10"/>
    </row>
    <row r="255" spans="1:7" ht="14.25" customHeight="1" x14ac:dyDescent="0.35">
      <c r="A255" s="10"/>
      <c r="B255" s="10"/>
      <c r="C255" s="10"/>
      <c r="D255" s="10"/>
      <c r="E255" s="10"/>
      <c r="F255" s="10"/>
      <c r="G255" s="10"/>
    </row>
    <row r="256" spans="1:7" ht="14.25" customHeight="1" x14ac:dyDescent="0.35">
      <c r="A256" s="10"/>
      <c r="B256" s="10"/>
      <c r="C256" s="10"/>
      <c r="D256" s="10"/>
      <c r="E256" s="10"/>
      <c r="F256" s="10"/>
      <c r="G256" s="10"/>
    </row>
    <row r="257" spans="1:7" ht="14.25" customHeight="1" x14ac:dyDescent="0.35">
      <c r="A257" s="10"/>
      <c r="B257" s="10"/>
      <c r="C257" s="10"/>
      <c r="D257" s="10"/>
      <c r="E257" s="10"/>
      <c r="F257" s="10"/>
      <c r="G257" s="10"/>
    </row>
    <row r="258" spans="1:7" ht="14.25" customHeight="1" x14ac:dyDescent="0.35">
      <c r="A258" s="10"/>
      <c r="B258" s="10"/>
      <c r="C258" s="10"/>
      <c r="D258" s="10"/>
      <c r="E258" s="10"/>
      <c r="F258" s="10"/>
      <c r="G258" s="10"/>
    </row>
    <row r="259" spans="1:7" ht="14.25" customHeight="1" x14ac:dyDescent="0.35">
      <c r="A259" s="10"/>
      <c r="B259" s="10"/>
      <c r="C259" s="10"/>
      <c r="D259" s="10"/>
      <c r="E259" s="10"/>
      <c r="F259" s="10"/>
      <c r="G259" s="10"/>
    </row>
    <row r="260" spans="1:7" ht="14.25" customHeight="1" x14ac:dyDescent="0.35">
      <c r="A260" s="10"/>
      <c r="B260" s="10"/>
      <c r="C260" s="10"/>
      <c r="D260" s="10"/>
      <c r="E260" s="10"/>
      <c r="F260" s="10"/>
      <c r="G260" s="10"/>
    </row>
    <row r="261" spans="1:7" ht="14.25" customHeight="1" x14ac:dyDescent="0.35">
      <c r="A261" s="10"/>
      <c r="B261" s="10"/>
      <c r="C261" s="10"/>
      <c r="D261" s="10"/>
      <c r="E261" s="10"/>
      <c r="F261" s="10"/>
      <c r="G261" s="10"/>
    </row>
    <row r="262" spans="1:7" ht="14.25" customHeight="1" x14ac:dyDescent="0.35">
      <c r="A262" s="10"/>
      <c r="B262" s="10"/>
      <c r="C262" s="10"/>
      <c r="D262" s="10"/>
      <c r="E262" s="10"/>
      <c r="F262" s="10"/>
      <c r="G262" s="10"/>
    </row>
    <row r="263" spans="1:7" ht="14.25" customHeight="1" x14ac:dyDescent="0.35">
      <c r="A263" s="10"/>
      <c r="B263" s="10"/>
      <c r="C263" s="10"/>
      <c r="D263" s="10"/>
      <c r="E263" s="10"/>
      <c r="F263" s="10"/>
      <c r="G263" s="10"/>
    </row>
    <row r="264" spans="1:7" ht="14.25" customHeight="1" x14ac:dyDescent="0.35">
      <c r="A264" s="10"/>
      <c r="B264" s="10"/>
      <c r="C264" s="10"/>
      <c r="D264" s="10"/>
      <c r="E264" s="10"/>
      <c r="F264" s="10"/>
      <c r="G264" s="10"/>
    </row>
    <row r="265" spans="1:7" ht="14.25" customHeight="1" x14ac:dyDescent="0.35">
      <c r="A265" s="10"/>
      <c r="B265" s="10"/>
      <c r="C265" s="10"/>
      <c r="D265" s="10"/>
      <c r="E265" s="10"/>
      <c r="F265" s="10"/>
      <c r="G265" s="10"/>
    </row>
    <row r="266" spans="1:7" ht="14.25" customHeight="1" x14ac:dyDescent="0.35">
      <c r="A266" s="10"/>
      <c r="B266" s="10"/>
      <c r="C266" s="10"/>
      <c r="D266" s="10"/>
      <c r="E266" s="10"/>
      <c r="F266" s="10"/>
      <c r="G266" s="10"/>
    </row>
    <row r="267" spans="1:7" ht="14.25" customHeight="1" x14ac:dyDescent="0.35">
      <c r="A267" s="10"/>
      <c r="B267" s="10"/>
      <c r="C267" s="10"/>
      <c r="D267" s="10"/>
      <c r="E267" s="10"/>
      <c r="F267" s="10"/>
      <c r="G267" s="10"/>
    </row>
    <row r="268" spans="1:7" ht="14.25" customHeight="1" x14ac:dyDescent="0.35">
      <c r="A268" s="10"/>
      <c r="B268" s="10"/>
      <c r="C268" s="10"/>
      <c r="D268" s="10"/>
      <c r="E268" s="10"/>
      <c r="F268" s="10"/>
      <c r="G268" s="10"/>
    </row>
    <row r="269" spans="1:7" ht="14.25" customHeight="1" x14ac:dyDescent="0.35">
      <c r="A269" s="10"/>
      <c r="B269" s="10"/>
      <c r="C269" s="10"/>
      <c r="D269" s="10"/>
      <c r="E269" s="10"/>
      <c r="F269" s="10"/>
      <c r="G269" s="10"/>
    </row>
    <row r="270" spans="1:7" ht="14.25" customHeight="1" x14ac:dyDescent="0.35">
      <c r="A270" s="10"/>
      <c r="B270" s="10"/>
      <c r="C270" s="10"/>
      <c r="D270" s="10"/>
      <c r="E270" s="10"/>
      <c r="F270" s="10"/>
      <c r="G270" s="10"/>
    </row>
    <row r="271" spans="1:7" ht="14.25" customHeight="1" x14ac:dyDescent="0.35">
      <c r="A271" s="10"/>
      <c r="B271" s="10"/>
      <c r="C271" s="10"/>
      <c r="D271" s="10"/>
      <c r="E271" s="10"/>
      <c r="F271" s="10"/>
      <c r="G271" s="10"/>
    </row>
    <row r="272" spans="1:7" ht="14.25" customHeight="1" x14ac:dyDescent="0.35">
      <c r="A272" s="10"/>
      <c r="B272" s="10"/>
      <c r="C272" s="10"/>
      <c r="D272" s="10"/>
      <c r="E272" s="10"/>
      <c r="F272" s="10"/>
      <c r="G272" s="10"/>
    </row>
    <row r="273" spans="1:7" ht="14.25" customHeight="1" x14ac:dyDescent="0.35">
      <c r="A273" s="10"/>
      <c r="B273" s="10"/>
      <c r="C273" s="10"/>
      <c r="D273" s="10"/>
      <c r="E273" s="10"/>
      <c r="F273" s="10"/>
      <c r="G273" s="10"/>
    </row>
    <row r="274" spans="1:7" ht="14.25" customHeight="1" x14ac:dyDescent="0.35">
      <c r="A274" s="10"/>
      <c r="B274" s="10"/>
      <c r="C274" s="10"/>
      <c r="D274" s="10"/>
      <c r="E274" s="10"/>
      <c r="F274" s="10"/>
      <c r="G274" s="10"/>
    </row>
    <row r="275" spans="1:7" ht="14.25" customHeight="1" x14ac:dyDescent="0.35">
      <c r="A275" s="10"/>
      <c r="B275" s="10"/>
      <c r="C275" s="10"/>
      <c r="D275" s="10"/>
      <c r="E275" s="10"/>
      <c r="F275" s="10"/>
      <c r="G275" s="10"/>
    </row>
    <row r="276" spans="1:7" ht="14.25" customHeight="1" x14ac:dyDescent="0.35">
      <c r="A276" s="10"/>
      <c r="B276" s="10"/>
      <c r="C276" s="10"/>
      <c r="D276" s="10"/>
      <c r="E276" s="10"/>
      <c r="F276" s="10"/>
      <c r="G276" s="10"/>
    </row>
    <row r="277" spans="1:7" ht="14.25" customHeight="1" x14ac:dyDescent="0.35">
      <c r="A277" s="10"/>
      <c r="B277" s="10"/>
      <c r="C277" s="10"/>
      <c r="D277" s="10"/>
      <c r="E277" s="10"/>
      <c r="F277" s="10"/>
      <c r="G277" s="10"/>
    </row>
    <row r="278" spans="1:7" ht="14.25" customHeight="1" x14ac:dyDescent="0.35">
      <c r="A278" s="10"/>
      <c r="B278" s="10"/>
      <c r="C278" s="10"/>
      <c r="D278" s="10"/>
      <c r="E278" s="10"/>
      <c r="F278" s="10"/>
      <c r="G278" s="10"/>
    </row>
    <row r="279" spans="1:7" ht="14.25" customHeight="1" x14ac:dyDescent="0.35">
      <c r="A279" s="10"/>
      <c r="B279" s="10"/>
      <c r="C279" s="10"/>
      <c r="D279" s="10"/>
      <c r="E279" s="10"/>
      <c r="F279" s="10"/>
      <c r="G279" s="10"/>
    </row>
    <row r="280" spans="1:7" ht="14.25" customHeight="1" x14ac:dyDescent="0.35">
      <c r="A280" s="10"/>
      <c r="B280" s="10"/>
      <c r="C280" s="10"/>
      <c r="D280" s="10"/>
      <c r="E280" s="10"/>
      <c r="F280" s="10"/>
      <c r="G280" s="10"/>
    </row>
    <row r="281" spans="1:7" ht="14.25" customHeight="1" x14ac:dyDescent="0.35">
      <c r="A281" s="10"/>
      <c r="B281" s="10"/>
      <c r="C281" s="10"/>
      <c r="D281" s="10"/>
      <c r="E281" s="10"/>
      <c r="F281" s="10"/>
      <c r="G281" s="10"/>
    </row>
    <row r="282" spans="1:7" ht="14.25" customHeight="1" x14ac:dyDescent="0.35">
      <c r="A282" s="10"/>
      <c r="B282" s="10"/>
      <c r="C282" s="10"/>
      <c r="D282" s="10"/>
      <c r="E282" s="10"/>
      <c r="F282" s="10"/>
      <c r="G282" s="10"/>
    </row>
    <row r="283" spans="1:7" ht="14.25" customHeight="1" x14ac:dyDescent="0.35">
      <c r="A283" s="10"/>
      <c r="B283" s="10"/>
      <c r="C283" s="10"/>
      <c r="D283" s="10"/>
      <c r="E283" s="10"/>
      <c r="F283" s="10"/>
      <c r="G283" s="10"/>
    </row>
    <row r="284" spans="1:7" ht="14.25" customHeight="1" x14ac:dyDescent="0.35">
      <c r="A284" s="10"/>
      <c r="B284" s="10"/>
      <c r="C284" s="10"/>
      <c r="D284" s="10"/>
      <c r="E284" s="10"/>
      <c r="F284" s="10"/>
      <c r="G284" s="10"/>
    </row>
    <row r="285" spans="1:7" ht="14.25" customHeight="1" x14ac:dyDescent="0.35">
      <c r="A285" s="10"/>
      <c r="B285" s="10"/>
      <c r="C285" s="10"/>
      <c r="D285" s="10"/>
      <c r="E285" s="10"/>
      <c r="F285" s="10"/>
      <c r="G285" s="10"/>
    </row>
    <row r="286" spans="1:7" ht="14.25" customHeight="1" x14ac:dyDescent="0.35">
      <c r="A286" s="10"/>
      <c r="B286" s="10"/>
      <c r="C286" s="10"/>
      <c r="D286" s="10"/>
      <c r="E286" s="10"/>
      <c r="F286" s="10"/>
      <c r="G286" s="10"/>
    </row>
    <row r="287" spans="1:7" ht="14.25" customHeight="1" x14ac:dyDescent="0.35">
      <c r="A287" s="10"/>
      <c r="B287" s="10"/>
      <c r="C287" s="10"/>
      <c r="D287" s="10"/>
      <c r="E287" s="10"/>
      <c r="F287" s="10"/>
      <c r="G287" s="10"/>
    </row>
    <row r="288" spans="1:7" ht="14.25" customHeight="1" x14ac:dyDescent="0.35">
      <c r="A288" s="10"/>
      <c r="B288" s="10"/>
      <c r="C288" s="10"/>
      <c r="D288" s="10"/>
      <c r="E288" s="10"/>
      <c r="F288" s="10"/>
      <c r="G288" s="10"/>
    </row>
    <row r="289" spans="1:7" ht="14.25" customHeight="1" x14ac:dyDescent="0.35">
      <c r="A289" s="10"/>
      <c r="B289" s="10"/>
      <c r="C289" s="10"/>
      <c r="D289" s="10"/>
      <c r="E289" s="10"/>
      <c r="F289" s="10"/>
      <c r="G289" s="10"/>
    </row>
    <row r="290" spans="1:7" ht="14.25" customHeight="1" x14ac:dyDescent="0.35">
      <c r="A290" s="10"/>
      <c r="B290" s="10"/>
      <c r="C290" s="10"/>
      <c r="D290" s="10"/>
      <c r="E290" s="10"/>
      <c r="F290" s="10"/>
      <c r="G290" s="10"/>
    </row>
    <row r="291" spans="1:7" ht="14.25" customHeight="1" x14ac:dyDescent="0.35">
      <c r="A291" s="10"/>
      <c r="B291" s="10"/>
      <c r="C291" s="10"/>
      <c r="D291" s="10"/>
      <c r="E291" s="10"/>
      <c r="F291" s="10"/>
      <c r="G291" s="10"/>
    </row>
    <row r="292" spans="1:7" ht="14.25" customHeight="1" x14ac:dyDescent="0.35">
      <c r="A292" s="10"/>
      <c r="B292" s="10"/>
      <c r="C292" s="10"/>
      <c r="D292" s="10"/>
      <c r="E292" s="10"/>
      <c r="F292" s="10"/>
      <c r="G292" s="10"/>
    </row>
    <row r="293" spans="1:7" ht="14.25" customHeight="1" x14ac:dyDescent="0.35">
      <c r="A293" s="10"/>
      <c r="B293" s="10"/>
      <c r="C293" s="10"/>
      <c r="D293" s="10"/>
      <c r="E293" s="10"/>
      <c r="F293" s="10"/>
      <c r="G293" s="10"/>
    </row>
    <row r="294" spans="1:7" ht="14.25" customHeight="1" x14ac:dyDescent="0.35">
      <c r="A294" s="10"/>
      <c r="B294" s="10"/>
      <c r="C294" s="10"/>
      <c r="D294" s="10"/>
      <c r="E294" s="10"/>
      <c r="F294" s="10"/>
      <c r="G294" s="10"/>
    </row>
    <row r="295" spans="1:7" ht="14.25" customHeight="1" x14ac:dyDescent="0.35">
      <c r="A295" s="10"/>
      <c r="B295" s="10"/>
      <c r="C295" s="10"/>
      <c r="D295" s="10"/>
      <c r="E295" s="10"/>
      <c r="F295" s="10"/>
      <c r="G295" s="10"/>
    </row>
    <row r="296" spans="1:7" ht="14.25" customHeight="1" x14ac:dyDescent="0.35">
      <c r="A296" s="10"/>
      <c r="B296" s="10"/>
      <c r="C296" s="10"/>
      <c r="D296" s="10"/>
      <c r="E296" s="10"/>
      <c r="F296" s="10"/>
      <c r="G296" s="10"/>
    </row>
    <row r="297" spans="1:7" ht="14.25" customHeight="1" x14ac:dyDescent="0.35">
      <c r="A297" s="10"/>
      <c r="B297" s="10"/>
      <c r="C297" s="10"/>
      <c r="D297" s="10"/>
      <c r="E297" s="10"/>
      <c r="F297" s="10"/>
      <c r="G297" s="10"/>
    </row>
    <row r="298" spans="1:7" ht="14.25" customHeight="1" x14ac:dyDescent="0.35">
      <c r="A298" s="10"/>
      <c r="B298" s="10"/>
      <c r="C298" s="10"/>
      <c r="D298" s="10"/>
      <c r="E298" s="10"/>
      <c r="F298" s="10"/>
      <c r="G298" s="10"/>
    </row>
    <row r="299" spans="1:7" ht="14.25" customHeight="1" x14ac:dyDescent="0.35">
      <c r="A299" s="10"/>
      <c r="B299" s="10"/>
      <c r="C299" s="10"/>
      <c r="D299" s="10"/>
      <c r="E299" s="10"/>
      <c r="F299" s="10"/>
      <c r="G299" s="10"/>
    </row>
    <row r="300" spans="1:7" ht="14.25" customHeight="1" x14ac:dyDescent="0.35">
      <c r="A300" s="10"/>
      <c r="B300" s="10"/>
      <c r="C300" s="10"/>
      <c r="D300" s="10"/>
      <c r="E300" s="10"/>
      <c r="F300" s="10"/>
      <c r="G300" s="10"/>
    </row>
    <row r="301" spans="1:7" ht="14.25" customHeight="1" x14ac:dyDescent="0.35">
      <c r="A301" s="10"/>
      <c r="B301" s="10"/>
      <c r="C301" s="10"/>
      <c r="D301" s="10"/>
      <c r="E301" s="10"/>
      <c r="F301" s="10"/>
      <c r="G301" s="10"/>
    </row>
    <row r="302" spans="1:7" ht="14.25" customHeight="1" x14ac:dyDescent="0.35">
      <c r="A302" s="10"/>
      <c r="B302" s="10"/>
      <c r="C302" s="10"/>
      <c r="D302" s="10"/>
      <c r="E302" s="10"/>
      <c r="F302" s="10"/>
      <c r="G302" s="10"/>
    </row>
    <row r="303" spans="1:7" ht="14.25" customHeight="1" x14ac:dyDescent="0.35">
      <c r="A303" s="10"/>
      <c r="B303" s="10"/>
      <c r="C303" s="10"/>
      <c r="D303" s="10"/>
      <c r="E303" s="10"/>
      <c r="F303" s="10"/>
      <c r="G303" s="10"/>
    </row>
    <row r="304" spans="1:7" ht="14.25" customHeight="1" x14ac:dyDescent="0.35">
      <c r="A304" s="10"/>
      <c r="B304" s="10"/>
      <c r="C304" s="10"/>
      <c r="D304" s="10"/>
      <c r="E304" s="10"/>
      <c r="F304" s="10"/>
      <c r="G304" s="10"/>
    </row>
    <row r="305" spans="1:7" ht="14.25" customHeight="1" x14ac:dyDescent="0.35">
      <c r="A305" s="10"/>
      <c r="B305" s="10"/>
      <c r="C305" s="10"/>
      <c r="D305" s="10"/>
      <c r="E305" s="10"/>
      <c r="F305" s="10"/>
      <c r="G305" s="10"/>
    </row>
    <row r="306" spans="1:7" ht="14.25" customHeight="1" x14ac:dyDescent="0.35">
      <c r="A306" s="10"/>
      <c r="B306" s="10"/>
      <c r="C306" s="10"/>
      <c r="D306" s="10"/>
      <c r="E306" s="10"/>
      <c r="F306" s="10"/>
      <c r="G306" s="10"/>
    </row>
    <row r="307" spans="1:7" ht="14.25" customHeight="1" x14ac:dyDescent="0.35">
      <c r="A307" s="10"/>
      <c r="B307" s="10"/>
      <c r="C307" s="10"/>
      <c r="D307" s="10"/>
      <c r="E307" s="10"/>
      <c r="F307" s="10"/>
      <c r="G307" s="10"/>
    </row>
    <row r="308" spans="1:7" ht="14.25" customHeight="1" x14ac:dyDescent="0.35">
      <c r="A308" s="10"/>
      <c r="B308" s="10"/>
      <c r="C308" s="10"/>
      <c r="D308" s="10"/>
      <c r="E308" s="10"/>
      <c r="F308" s="10"/>
      <c r="G308" s="10"/>
    </row>
    <row r="309" spans="1:7" ht="14.25" customHeight="1" x14ac:dyDescent="0.35">
      <c r="A309" s="10"/>
      <c r="B309" s="10"/>
      <c r="C309" s="10"/>
      <c r="D309" s="10"/>
      <c r="E309" s="10"/>
      <c r="F309" s="10"/>
      <c r="G309" s="10"/>
    </row>
    <row r="310" spans="1:7" ht="14.25" customHeight="1" x14ac:dyDescent="0.35">
      <c r="A310" s="10"/>
      <c r="B310" s="10"/>
      <c r="C310" s="10"/>
      <c r="D310" s="10"/>
      <c r="E310" s="10"/>
      <c r="F310" s="10"/>
      <c r="G310" s="10"/>
    </row>
    <row r="311" spans="1:7" ht="14.25" customHeight="1" x14ac:dyDescent="0.35">
      <c r="A311" s="10"/>
      <c r="B311" s="10"/>
      <c r="C311" s="10"/>
      <c r="D311" s="10"/>
      <c r="E311" s="10"/>
      <c r="F311" s="10"/>
      <c r="G311" s="10"/>
    </row>
    <row r="312" spans="1:7" ht="14.25" customHeight="1" x14ac:dyDescent="0.35">
      <c r="A312" s="10"/>
      <c r="B312" s="10"/>
      <c r="C312" s="10"/>
      <c r="D312" s="10"/>
      <c r="E312" s="10"/>
      <c r="F312" s="10"/>
      <c r="G312" s="10"/>
    </row>
    <row r="313" spans="1:7" ht="14.25" customHeight="1" x14ac:dyDescent="0.35">
      <c r="A313" s="10"/>
      <c r="B313" s="10"/>
      <c r="C313" s="10"/>
      <c r="D313" s="10"/>
      <c r="E313" s="10"/>
      <c r="F313" s="10"/>
      <c r="G313" s="10"/>
    </row>
    <row r="314" spans="1:7" ht="14.25" customHeight="1" x14ac:dyDescent="0.35">
      <c r="A314" s="10"/>
      <c r="B314" s="10"/>
      <c r="C314" s="10"/>
      <c r="D314" s="10"/>
      <c r="E314" s="10"/>
      <c r="F314" s="10"/>
      <c r="G314" s="10"/>
    </row>
    <row r="315" spans="1:7" ht="14.25" customHeight="1" x14ac:dyDescent="0.35">
      <c r="A315" s="10"/>
      <c r="B315" s="10"/>
      <c r="C315" s="10"/>
      <c r="D315" s="10"/>
      <c r="E315" s="10"/>
      <c r="F315" s="10"/>
      <c r="G315" s="10"/>
    </row>
    <row r="316" spans="1:7" ht="14.25" customHeight="1" x14ac:dyDescent="0.35">
      <c r="A316" s="10"/>
      <c r="B316" s="10"/>
      <c r="C316" s="10"/>
      <c r="D316" s="10"/>
      <c r="E316" s="10"/>
      <c r="F316" s="10"/>
      <c r="G316" s="10"/>
    </row>
    <row r="317" spans="1:7" ht="14.25" customHeight="1" x14ac:dyDescent="0.35">
      <c r="A317" s="10"/>
      <c r="B317" s="10"/>
      <c r="C317" s="10"/>
      <c r="D317" s="10"/>
      <c r="E317" s="10"/>
      <c r="F317" s="10"/>
      <c r="G317" s="10"/>
    </row>
    <row r="318" spans="1:7" ht="14.25" customHeight="1" x14ac:dyDescent="0.35">
      <c r="A318" s="10"/>
      <c r="B318" s="10"/>
      <c r="C318" s="10"/>
      <c r="D318" s="10"/>
      <c r="E318" s="10"/>
      <c r="F318" s="10"/>
      <c r="G318" s="10"/>
    </row>
    <row r="319" spans="1:7" ht="14.25" customHeight="1" x14ac:dyDescent="0.35">
      <c r="A319" s="10"/>
      <c r="B319" s="10"/>
      <c r="C319" s="10"/>
      <c r="D319" s="10"/>
      <c r="E319" s="10"/>
      <c r="F319" s="10"/>
      <c r="G319" s="10"/>
    </row>
    <row r="320" spans="1:7" ht="14.25" customHeight="1" x14ac:dyDescent="0.35">
      <c r="A320" s="10"/>
      <c r="B320" s="10"/>
      <c r="C320" s="10"/>
      <c r="D320" s="10"/>
      <c r="E320" s="10"/>
      <c r="F320" s="10"/>
      <c r="G320" s="10"/>
    </row>
    <row r="321" spans="1:7" ht="14.25" customHeight="1" x14ac:dyDescent="0.35">
      <c r="A321" s="10"/>
      <c r="B321" s="10"/>
      <c r="C321" s="10"/>
      <c r="D321" s="10"/>
      <c r="E321" s="10"/>
      <c r="F321" s="10"/>
      <c r="G321" s="10"/>
    </row>
    <row r="322" spans="1:7" ht="14.25" customHeight="1" x14ac:dyDescent="0.35">
      <c r="A322" s="10"/>
      <c r="B322" s="10"/>
      <c r="C322" s="10"/>
      <c r="D322" s="10"/>
      <c r="E322" s="10"/>
      <c r="F322" s="10"/>
      <c r="G322" s="10"/>
    </row>
    <row r="323" spans="1:7" ht="14.25" customHeight="1" x14ac:dyDescent="0.35">
      <c r="A323" s="10"/>
      <c r="B323" s="10"/>
      <c r="C323" s="10"/>
      <c r="D323" s="10"/>
      <c r="E323" s="10"/>
      <c r="F323" s="10"/>
      <c r="G323" s="10"/>
    </row>
    <row r="324" spans="1:7" ht="14.25" customHeight="1" x14ac:dyDescent="0.35">
      <c r="A324" s="10"/>
      <c r="B324" s="10"/>
      <c r="C324" s="10"/>
      <c r="D324" s="10"/>
      <c r="E324" s="10"/>
      <c r="F324" s="10"/>
      <c r="G324" s="10"/>
    </row>
    <row r="325" spans="1:7" ht="14.25" customHeight="1" x14ac:dyDescent="0.35">
      <c r="A325" s="10"/>
      <c r="B325" s="10"/>
      <c r="C325" s="10"/>
      <c r="D325" s="10"/>
      <c r="E325" s="10"/>
      <c r="F325" s="10"/>
      <c r="G325" s="10"/>
    </row>
    <row r="326" spans="1:7" ht="14.25" customHeight="1" x14ac:dyDescent="0.35">
      <c r="A326" s="10"/>
      <c r="B326" s="10"/>
      <c r="C326" s="10"/>
      <c r="D326" s="10"/>
      <c r="E326" s="10"/>
      <c r="F326" s="10"/>
      <c r="G326" s="10"/>
    </row>
    <row r="327" spans="1:7" ht="14.25" customHeight="1" x14ac:dyDescent="0.35">
      <c r="A327" s="10"/>
      <c r="B327" s="10"/>
      <c r="C327" s="10"/>
      <c r="D327" s="10"/>
      <c r="E327" s="10"/>
      <c r="F327" s="10"/>
      <c r="G327" s="10"/>
    </row>
    <row r="328" spans="1:7" ht="14.25" customHeight="1" x14ac:dyDescent="0.35">
      <c r="A328" s="10"/>
      <c r="B328" s="10"/>
      <c r="C328" s="10"/>
      <c r="D328" s="10"/>
      <c r="E328" s="10"/>
      <c r="F328" s="10"/>
      <c r="G328" s="10"/>
    </row>
    <row r="329" spans="1:7" ht="14.25" customHeight="1" x14ac:dyDescent="0.35">
      <c r="A329" s="10"/>
      <c r="B329" s="10"/>
      <c r="C329" s="10"/>
      <c r="D329" s="10"/>
      <c r="E329" s="10"/>
      <c r="F329" s="10"/>
      <c r="G329" s="10"/>
    </row>
    <row r="330" spans="1:7" ht="14.25" customHeight="1" x14ac:dyDescent="0.35">
      <c r="A330" s="10"/>
      <c r="B330" s="10"/>
      <c r="C330" s="10"/>
      <c r="D330" s="10"/>
      <c r="E330" s="10"/>
      <c r="F330" s="10"/>
      <c r="G330" s="10"/>
    </row>
    <row r="331" spans="1:7" ht="14.25" customHeight="1" x14ac:dyDescent="0.35">
      <c r="A331" s="10"/>
      <c r="B331" s="10"/>
      <c r="C331" s="10"/>
      <c r="D331" s="10"/>
      <c r="E331" s="10"/>
      <c r="F331" s="10"/>
      <c r="G331" s="10"/>
    </row>
    <row r="332" spans="1:7" ht="14.25" customHeight="1" x14ac:dyDescent="0.35">
      <c r="A332" s="10"/>
      <c r="B332" s="10"/>
      <c r="C332" s="10"/>
      <c r="D332" s="10"/>
      <c r="E332" s="10"/>
      <c r="F332" s="10"/>
      <c r="G332" s="10"/>
    </row>
    <row r="333" spans="1:7" ht="14.25" customHeight="1" x14ac:dyDescent="0.35">
      <c r="A333" s="10"/>
      <c r="B333" s="10"/>
      <c r="C333" s="10"/>
      <c r="D333" s="10"/>
      <c r="E333" s="10"/>
      <c r="F333" s="10"/>
      <c r="G333" s="10"/>
    </row>
    <row r="334" spans="1:7" ht="14.25" customHeight="1" x14ac:dyDescent="0.35">
      <c r="A334" s="10"/>
      <c r="B334" s="10"/>
      <c r="C334" s="10"/>
      <c r="D334" s="10"/>
      <c r="E334" s="10"/>
      <c r="F334" s="10"/>
      <c r="G334" s="10"/>
    </row>
    <row r="335" spans="1:7" ht="14.25" customHeight="1" x14ac:dyDescent="0.35">
      <c r="A335" s="10"/>
      <c r="B335" s="10"/>
      <c r="C335" s="10"/>
      <c r="D335" s="10"/>
      <c r="E335" s="10"/>
      <c r="F335" s="10"/>
      <c r="G335" s="10"/>
    </row>
    <row r="336" spans="1:7" ht="14.25" customHeight="1" x14ac:dyDescent="0.35">
      <c r="A336" s="10"/>
      <c r="B336" s="10"/>
      <c r="C336" s="10"/>
      <c r="D336" s="10"/>
      <c r="E336" s="10"/>
      <c r="F336" s="10"/>
      <c r="G336" s="10"/>
    </row>
    <row r="337" spans="1:7" ht="14.25" customHeight="1" x14ac:dyDescent="0.35">
      <c r="A337" s="10"/>
      <c r="B337" s="10"/>
      <c r="C337" s="10"/>
      <c r="D337" s="10"/>
      <c r="E337" s="10"/>
      <c r="F337" s="10"/>
      <c r="G337" s="10"/>
    </row>
    <row r="338" spans="1:7" ht="14.25" customHeight="1" x14ac:dyDescent="0.35">
      <c r="A338" s="10"/>
      <c r="B338" s="10"/>
      <c r="C338" s="10"/>
      <c r="D338" s="10"/>
      <c r="E338" s="10"/>
      <c r="F338" s="10"/>
      <c r="G338" s="10"/>
    </row>
    <row r="339" spans="1:7" ht="14.25" customHeight="1" x14ac:dyDescent="0.35">
      <c r="A339" s="10"/>
      <c r="B339" s="10"/>
      <c r="C339" s="10"/>
      <c r="D339" s="10"/>
      <c r="E339" s="10"/>
      <c r="F339" s="10"/>
      <c r="G339" s="10"/>
    </row>
    <row r="340" spans="1:7" ht="14.25" customHeight="1" x14ac:dyDescent="0.35">
      <c r="A340" s="10"/>
      <c r="B340" s="10"/>
      <c r="C340" s="10"/>
      <c r="D340" s="10"/>
      <c r="E340" s="10"/>
      <c r="F340" s="10"/>
      <c r="G340" s="10"/>
    </row>
    <row r="341" spans="1:7" ht="14.25" customHeight="1" x14ac:dyDescent="0.35">
      <c r="A341" s="10"/>
      <c r="B341" s="10"/>
      <c r="C341" s="10"/>
      <c r="D341" s="10"/>
      <c r="E341" s="10"/>
      <c r="F341" s="10"/>
      <c r="G341" s="10"/>
    </row>
    <row r="342" spans="1:7" ht="14.25" customHeight="1" x14ac:dyDescent="0.35">
      <c r="A342" s="10"/>
      <c r="B342" s="10"/>
      <c r="C342" s="10"/>
      <c r="D342" s="10"/>
      <c r="E342" s="10"/>
      <c r="F342" s="10"/>
      <c r="G342" s="10"/>
    </row>
    <row r="343" spans="1:7" ht="14.25" customHeight="1" x14ac:dyDescent="0.35">
      <c r="A343" s="10"/>
      <c r="B343" s="10"/>
      <c r="C343" s="10"/>
      <c r="D343" s="10"/>
      <c r="E343" s="10"/>
      <c r="F343" s="10"/>
      <c r="G343" s="10"/>
    </row>
    <row r="344" spans="1:7" ht="14.25" customHeight="1" x14ac:dyDescent="0.35">
      <c r="A344" s="10"/>
      <c r="B344" s="10"/>
      <c r="C344" s="10"/>
      <c r="D344" s="10"/>
      <c r="E344" s="10"/>
      <c r="F344" s="10"/>
      <c r="G344" s="10"/>
    </row>
    <row r="345" spans="1:7" ht="14.25" customHeight="1" x14ac:dyDescent="0.35">
      <c r="A345" s="10"/>
      <c r="B345" s="10"/>
      <c r="C345" s="10"/>
      <c r="D345" s="10"/>
      <c r="E345" s="10"/>
      <c r="F345" s="10"/>
      <c r="G345" s="10"/>
    </row>
    <row r="346" spans="1:7" ht="14.25" customHeight="1" x14ac:dyDescent="0.35">
      <c r="A346" s="10"/>
      <c r="B346" s="10"/>
      <c r="C346" s="10"/>
      <c r="D346" s="10"/>
      <c r="E346" s="10"/>
      <c r="F346" s="10"/>
      <c r="G346" s="10"/>
    </row>
    <row r="347" spans="1:7" ht="14.25" customHeight="1" x14ac:dyDescent="0.35">
      <c r="A347" s="10"/>
      <c r="B347" s="10"/>
      <c r="C347" s="10"/>
      <c r="D347" s="10"/>
      <c r="E347" s="10"/>
      <c r="F347" s="10"/>
      <c r="G347" s="10"/>
    </row>
    <row r="348" spans="1:7" ht="14.25" customHeight="1" x14ac:dyDescent="0.35">
      <c r="A348" s="10"/>
      <c r="B348" s="10"/>
      <c r="C348" s="10"/>
      <c r="D348" s="10"/>
      <c r="E348" s="10"/>
      <c r="F348" s="10"/>
      <c r="G348" s="10"/>
    </row>
    <row r="349" spans="1:7" ht="14.25" customHeight="1" x14ac:dyDescent="0.35">
      <c r="A349" s="10"/>
      <c r="B349" s="10"/>
      <c r="C349" s="10"/>
      <c r="D349" s="10"/>
      <c r="E349" s="10"/>
      <c r="F349" s="10"/>
      <c r="G349" s="10"/>
    </row>
    <row r="350" spans="1:7" ht="14.25" customHeight="1" x14ac:dyDescent="0.35">
      <c r="A350" s="10"/>
      <c r="B350" s="10"/>
      <c r="C350" s="10"/>
      <c r="D350" s="10"/>
      <c r="E350" s="10"/>
      <c r="F350" s="10"/>
      <c r="G350" s="10"/>
    </row>
    <row r="351" spans="1:7" ht="14.25" customHeight="1" x14ac:dyDescent="0.35">
      <c r="A351" s="10"/>
      <c r="B351" s="10"/>
      <c r="C351" s="10"/>
      <c r="D351" s="10"/>
      <c r="E351" s="10"/>
      <c r="F351" s="10"/>
      <c r="G351" s="10"/>
    </row>
    <row r="352" spans="1:7" ht="14.25" customHeight="1" x14ac:dyDescent="0.35">
      <c r="A352" s="10"/>
      <c r="B352" s="10"/>
      <c r="C352" s="10"/>
      <c r="D352" s="10"/>
      <c r="E352" s="10"/>
      <c r="F352" s="10"/>
      <c r="G352" s="10"/>
    </row>
    <row r="353" spans="1:7" ht="14.25" customHeight="1" x14ac:dyDescent="0.35">
      <c r="A353" s="10"/>
      <c r="B353" s="10"/>
      <c r="C353" s="10"/>
      <c r="D353" s="10"/>
      <c r="E353" s="10"/>
      <c r="F353" s="10"/>
      <c r="G353" s="10"/>
    </row>
    <row r="354" spans="1:7" ht="14.25" customHeight="1" x14ac:dyDescent="0.35">
      <c r="A354" s="10"/>
      <c r="B354" s="10"/>
      <c r="C354" s="10"/>
      <c r="D354" s="10"/>
      <c r="E354" s="10"/>
      <c r="F354" s="10"/>
      <c r="G354" s="10"/>
    </row>
    <row r="355" spans="1:7" ht="14.25" customHeight="1" x14ac:dyDescent="0.35">
      <c r="A355" s="10"/>
      <c r="B355" s="10"/>
      <c r="C355" s="10"/>
      <c r="D355" s="10"/>
      <c r="E355" s="10"/>
      <c r="F355" s="10"/>
      <c r="G355" s="10"/>
    </row>
    <row r="356" spans="1:7" ht="14.25" customHeight="1" x14ac:dyDescent="0.35">
      <c r="A356" s="10"/>
      <c r="B356" s="10"/>
      <c r="C356" s="10"/>
      <c r="D356" s="10"/>
      <c r="E356" s="10"/>
      <c r="F356" s="10"/>
      <c r="G356" s="10"/>
    </row>
    <row r="357" spans="1:7" ht="14.25" customHeight="1" x14ac:dyDescent="0.35">
      <c r="A357" s="10"/>
      <c r="B357" s="10"/>
      <c r="C357" s="10"/>
      <c r="D357" s="10"/>
      <c r="E357" s="10"/>
      <c r="F357" s="10"/>
      <c r="G357" s="10"/>
    </row>
    <row r="358" spans="1:7" ht="14.25" customHeight="1" x14ac:dyDescent="0.35">
      <c r="A358" s="10"/>
      <c r="B358" s="10"/>
      <c r="C358" s="10"/>
      <c r="D358" s="10"/>
      <c r="E358" s="10"/>
      <c r="F358" s="10"/>
      <c r="G358" s="10"/>
    </row>
    <row r="359" spans="1:7" ht="14.25" customHeight="1" x14ac:dyDescent="0.35">
      <c r="A359" s="10"/>
      <c r="B359" s="10"/>
      <c r="C359" s="10"/>
      <c r="D359" s="10"/>
      <c r="E359" s="10"/>
      <c r="F359" s="10"/>
      <c r="G359" s="10"/>
    </row>
    <row r="360" spans="1:7" ht="14.25" customHeight="1" x14ac:dyDescent="0.35">
      <c r="A360" s="10"/>
      <c r="B360" s="10"/>
      <c r="C360" s="10"/>
      <c r="D360" s="10"/>
      <c r="E360" s="10"/>
      <c r="F360" s="10"/>
      <c r="G360" s="10"/>
    </row>
    <row r="361" spans="1:7" ht="14.25" customHeight="1" x14ac:dyDescent="0.35">
      <c r="A361" s="10"/>
      <c r="B361" s="10"/>
      <c r="C361" s="10"/>
      <c r="D361" s="10"/>
      <c r="E361" s="10"/>
      <c r="F361" s="10"/>
      <c r="G361" s="10"/>
    </row>
    <row r="362" spans="1:7" ht="14.25" customHeight="1" x14ac:dyDescent="0.35">
      <c r="A362" s="10"/>
      <c r="B362" s="10"/>
      <c r="C362" s="10"/>
      <c r="D362" s="10"/>
      <c r="E362" s="10"/>
      <c r="F362" s="10"/>
      <c r="G362" s="10"/>
    </row>
    <row r="363" spans="1:7" ht="14.25" customHeight="1" x14ac:dyDescent="0.35">
      <c r="A363" s="10"/>
      <c r="B363" s="10"/>
      <c r="C363" s="10"/>
      <c r="D363" s="10"/>
      <c r="E363" s="10"/>
      <c r="F363" s="10"/>
      <c r="G363" s="10"/>
    </row>
    <row r="364" spans="1:7" ht="14.25" customHeight="1" x14ac:dyDescent="0.35">
      <c r="A364" s="10"/>
      <c r="B364" s="10"/>
      <c r="C364" s="10"/>
      <c r="D364" s="10"/>
      <c r="E364" s="10"/>
      <c r="F364" s="10"/>
      <c r="G364" s="10"/>
    </row>
    <row r="365" spans="1:7" ht="14.25" customHeight="1" x14ac:dyDescent="0.35">
      <c r="A365" s="10"/>
      <c r="B365" s="10"/>
      <c r="C365" s="10"/>
      <c r="D365" s="10"/>
      <c r="E365" s="10"/>
      <c r="F365" s="10"/>
      <c r="G365" s="10"/>
    </row>
    <row r="366" spans="1:7" ht="14.25" customHeight="1" x14ac:dyDescent="0.35">
      <c r="A366" s="10"/>
      <c r="B366" s="10"/>
      <c r="C366" s="10"/>
      <c r="D366" s="10"/>
      <c r="E366" s="10"/>
      <c r="F366" s="10"/>
      <c r="G366" s="10"/>
    </row>
    <row r="367" spans="1:7" ht="14.25" customHeight="1" x14ac:dyDescent="0.35">
      <c r="A367" s="10"/>
      <c r="B367" s="10"/>
      <c r="C367" s="10"/>
      <c r="D367" s="10"/>
      <c r="E367" s="10"/>
      <c r="F367" s="10"/>
      <c r="G367" s="10"/>
    </row>
    <row r="368" spans="1:7" ht="14.25" customHeight="1" x14ac:dyDescent="0.35">
      <c r="A368" s="10"/>
      <c r="B368" s="10"/>
      <c r="C368" s="10"/>
      <c r="D368" s="10"/>
      <c r="E368" s="10"/>
      <c r="F368" s="10"/>
      <c r="G368" s="10"/>
    </row>
    <row r="369" spans="1:7" ht="14.25" customHeight="1" x14ac:dyDescent="0.35">
      <c r="A369" s="10"/>
      <c r="B369" s="10"/>
      <c r="C369" s="10"/>
      <c r="D369" s="10"/>
      <c r="E369" s="10"/>
      <c r="F369" s="10"/>
      <c r="G369" s="10"/>
    </row>
    <row r="370" spans="1:7" ht="14.25" customHeight="1" x14ac:dyDescent="0.35">
      <c r="A370" s="10"/>
      <c r="B370" s="10"/>
      <c r="C370" s="10"/>
      <c r="D370" s="10"/>
      <c r="E370" s="10"/>
      <c r="F370" s="10"/>
      <c r="G370" s="10"/>
    </row>
    <row r="371" spans="1:7" ht="14.25" customHeight="1" x14ac:dyDescent="0.35">
      <c r="A371" s="10"/>
      <c r="B371" s="10"/>
      <c r="C371" s="10"/>
      <c r="D371" s="10"/>
      <c r="E371" s="10"/>
      <c r="F371" s="10"/>
      <c r="G371" s="10"/>
    </row>
    <row r="372" spans="1:7" ht="14.25" customHeight="1" x14ac:dyDescent="0.35">
      <c r="A372" s="10"/>
      <c r="B372" s="10"/>
      <c r="C372" s="10"/>
      <c r="D372" s="10"/>
      <c r="E372" s="10"/>
      <c r="F372" s="10"/>
      <c r="G372" s="10"/>
    </row>
    <row r="373" spans="1:7" ht="14.25" customHeight="1" x14ac:dyDescent="0.35">
      <c r="A373" s="10"/>
      <c r="B373" s="10"/>
      <c r="C373" s="10"/>
      <c r="D373" s="10"/>
      <c r="E373" s="10"/>
      <c r="F373" s="10"/>
      <c r="G373" s="10"/>
    </row>
    <row r="374" spans="1:7" ht="14.25" customHeight="1" x14ac:dyDescent="0.35">
      <c r="A374" s="10"/>
      <c r="B374" s="10"/>
      <c r="C374" s="10"/>
      <c r="D374" s="10"/>
      <c r="E374" s="10"/>
      <c r="F374" s="10"/>
      <c r="G374" s="10"/>
    </row>
    <row r="375" spans="1:7" ht="14.25" customHeight="1" x14ac:dyDescent="0.35">
      <c r="A375" s="10"/>
      <c r="B375" s="10"/>
      <c r="C375" s="10"/>
      <c r="D375" s="10"/>
      <c r="E375" s="10"/>
      <c r="F375" s="10"/>
      <c r="G375" s="10"/>
    </row>
    <row r="376" spans="1:7" ht="14.25" customHeight="1" x14ac:dyDescent="0.35">
      <c r="A376" s="10"/>
      <c r="B376" s="10"/>
      <c r="C376" s="10"/>
      <c r="D376" s="10"/>
      <c r="E376" s="10"/>
      <c r="F376" s="10"/>
      <c r="G376" s="10"/>
    </row>
    <row r="377" spans="1:7" ht="14.25" customHeight="1" x14ac:dyDescent="0.35">
      <c r="A377" s="10"/>
      <c r="B377" s="10"/>
      <c r="C377" s="10"/>
      <c r="D377" s="10"/>
      <c r="E377" s="10"/>
      <c r="F377" s="10"/>
      <c r="G377" s="10"/>
    </row>
    <row r="378" spans="1:7" ht="14.25" customHeight="1" x14ac:dyDescent="0.35">
      <c r="A378" s="10"/>
      <c r="B378" s="10"/>
      <c r="C378" s="10"/>
      <c r="D378" s="10"/>
      <c r="E378" s="10"/>
      <c r="F378" s="10"/>
      <c r="G378" s="10"/>
    </row>
    <row r="379" spans="1:7" ht="14.25" customHeight="1" x14ac:dyDescent="0.35">
      <c r="A379" s="10"/>
      <c r="B379" s="10"/>
      <c r="C379" s="10"/>
      <c r="D379" s="10"/>
      <c r="E379" s="10"/>
      <c r="F379" s="10"/>
      <c r="G379" s="10"/>
    </row>
    <row r="380" spans="1:7" ht="14.25" customHeight="1" x14ac:dyDescent="0.35">
      <c r="A380" s="10"/>
      <c r="B380" s="10"/>
      <c r="C380" s="10"/>
      <c r="D380" s="10"/>
      <c r="E380" s="10"/>
      <c r="F380" s="10"/>
      <c r="G380" s="10"/>
    </row>
    <row r="381" spans="1:7" ht="14.25" customHeight="1" x14ac:dyDescent="0.35">
      <c r="A381" s="10"/>
      <c r="B381" s="10"/>
      <c r="C381" s="10"/>
      <c r="D381" s="10"/>
      <c r="E381" s="10"/>
      <c r="F381" s="10"/>
      <c r="G381" s="10"/>
    </row>
    <row r="382" spans="1:7" ht="14.25" customHeight="1" x14ac:dyDescent="0.35">
      <c r="A382" s="10"/>
      <c r="B382" s="10"/>
      <c r="C382" s="10"/>
      <c r="D382" s="10"/>
      <c r="E382" s="10"/>
      <c r="F382" s="10"/>
      <c r="G382" s="10"/>
    </row>
    <row r="383" spans="1:7" ht="14.25" customHeight="1" x14ac:dyDescent="0.35">
      <c r="A383" s="10"/>
      <c r="B383" s="10"/>
      <c r="C383" s="10"/>
      <c r="D383" s="10"/>
      <c r="E383" s="10"/>
      <c r="F383" s="10"/>
      <c r="G383" s="10"/>
    </row>
    <row r="384" spans="1:7" ht="14.25" customHeight="1" x14ac:dyDescent="0.35">
      <c r="A384" s="10"/>
      <c r="B384" s="10"/>
      <c r="C384" s="10"/>
      <c r="D384" s="10"/>
      <c r="E384" s="10"/>
      <c r="F384" s="10"/>
      <c r="G384" s="10"/>
    </row>
    <row r="385" spans="1:7" ht="14.25" customHeight="1" x14ac:dyDescent="0.35">
      <c r="A385" s="10"/>
      <c r="B385" s="10"/>
      <c r="C385" s="10"/>
      <c r="D385" s="10"/>
      <c r="E385" s="10"/>
      <c r="F385" s="10"/>
      <c r="G385" s="10"/>
    </row>
    <row r="386" spans="1:7" ht="14.25" customHeight="1" x14ac:dyDescent="0.35">
      <c r="A386" s="10"/>
      <c r="B386" s="10"/>
      <c r="C386" s="10"/>
      <c r="D386" s="10"/>
      <c r="E386" s="10"/>
      <c r="F386" s="10"/>
      <c r="G386" s="10"/>
    </row>
    <row r="387" spans="1:7" ht="14.25" customHeight="1" x14ac:dyDescent="0.35">
      <c r="A387" s="10"/>
      <c r="B387" s="10"/>
      <c r="C387" s="10"/>
      <c r="D387" s="10"/>
      <c r="E387" s="10"/>
      <c r="F387" s="10"/>
      <c r="G387" s="10"/>
    </row>
    <row r="388" spans="1:7" ht="14.25" customHeight="1" x14ac:dyDescent="0.35">
      <c r="A388" s="10"/>
      <c r="B388" s="10"/>
      <c r="C388" s="10"/>
      <c r="D388" s="10"/>
      <c r="E388" s="10"/>
      <c r="F388" s="10"/>
      <c r="G388" s="10"/>
    </row>
    <row r="389" spans="1:7" ht="14.25" customHeight="1" x14ac:dyDescent="0.35">
      <c r="A389" s="10"/>
      <c r="B389" s="10"/>
      <c r="C389" s="10"/>
      <c r="D389" s="10"/>
      <c r="E389" s="10"/>
      <c r="F389" s="10"/>
      <c r="G389" s="10"/>
    </row>
    <row r="390" spans="1:7" ht="14.25" customHeight="1" x14ac:dyDescent="0.35">
      <c r="A390" s="10"/>
      <c r="B390" s="10"/>
      <c r="C390" s="10"/>
      <c r="D390" s="10"/>
      <c r="E390" s="10"/>
      <c r="F390" s="10"/>
      <c r="G390" s="10"/>
    </row>
    <row r="391" spans="1:7" ht="14.25" customHeight="1" x14ac:dyDescent="0.35">
      <c r="A391" s="10"/>
      <c r="B391" s="10"/>
      <c r="C391" s="10"/>
      <c r="D391" s="10"/>
      <c r="E391" s="10"/>
      <c r="F391" s="10"/>
      <c r="G391" s="10"/>
    </row>
    <row r="392" spans="1:7" ht="14.25" customHeight="1" x14ac:dyDescent="0.35">
      <c r="A392" s="10"/>
      <c r="B392" s="10"/>
      <c r="C392" s="10"/>
      <c r="D392" s="10"/>
      <c r="E392" s="10"/>
      <c r="F392" s="10"/>
      <c r="G392" s="10"/>
    </row>
    <row r="393" spans="1:7" ht="14.25" customHeight="1" x14ac:dyDescent="0.35">
      <c r="A393" s="10"/>
      <c r="B393" s="10"/>
      <c r="C393" s="10"/>
      <c r="D393" s="10"/>
      <c r="E393" s="10"/>
      <c r="F393" s="10"/>
      <c r="G393" s="10"/>
    </row>
    <row r="394" spans="1:7" ht="14.25" customHeight="1" x14ac:dyDescent="0.35">
      <c r="A394" s="10"/>
      <c r="B394" s="10"/>
      <c r="C394" s="10"/>
      <c r="D394" s="10"/>
      <c r="E394" s="10"/>
      <c r="F394" s="10"/>
      <c r="G394" s="10"/>
    </row>
    <row r="395" spans="1:7" ht="14.25" customHeight="1" x14ac:dyDescent="0.35">
      <c r="A395" s="10"/>
      <c r="B395" s="10"/>
      <c r="C395" s="10"/>
      <c r="D395" s="10"/>
      <c r="E395" s="10"/>
      <c r="F395" s="10"/>
      <c r="G395" s="10"/>
    </row>
    <row r="396" spans="1:7" ht="14.25" customHeight="1" x14ac:dyDescent="0.35">
      <c r="A396" s="10"/>
      <c r="B396" s="10"/>
      <c r="C396" s="10"/>
      <c r="D396" s="10"/>
      <c r="E396" s="10"/>
      <c r="F396" s="10"/>
      <c r="G396" s="10"/>
    </row>
    <row r="397" spans="1:7" ht="14.25" customHeight="1" x14ac:dyDescent="0.35">
      <c r="A397" s="10"/>
      <c r="B397" s="10"/>
      <c r="C397" s="10"/>
      <c r="D397" s="10"/>
      <c r="E397" s="10"/>
      <c r="F397" s="10"/>
      <c r="G397" s="10"/>
    </row>
    <row r="398" spans="1:7" ht="14.25" customHeight="1" x14ac:dyDescent="0.35">
      <c r="A398" s="10"/>
      <c r="B398" s="10"/>
      <c r="C398" s="10"/>
      <c r="D398" s="10"/>
      <c r="E398" s="10"/>
      <c r="F398" s="10"/>
      <c r="G398" s="10"/>
    </row>
    <row r="399" spans="1:7" ht="14.25" customHeight="1" x14ac:dyDescent="0.35">
      <c r="A399" s="10"/>
      <c r="B399" s="10"/>
      <c r="C399" s="10"/>
      <c r="D399" s="10"/>
      <c r="E399" s="10"/>
      <c r="F399" s="10"/>
      <c r="G399" s="10"/>
    </row>
    <row r="400" spans="1:7" ht="14.25" customHeight="1" x14ac:dyDescent="0.35">
      <c r="A400" s="10"/>
      <c r="B400" s="10"/>
      <c r="C400" s="10"/>
      <c r="D400" s="10"/>
      <c r="E400" s="10"/>
      <c r="F400" s="10"/>
      <c r="G400" s="10"/>
    </row>
    <row r="401" spans="1:7" ht="14.25" customHeight="1" x14ac:dyDescent="0.35">
      <c r="A401" s="10"/>
      <c r="B401" s="10"/>
      <c r="C401" s="10"/>
      <c r="D401" s="10"/>
      <c r="E401" s="10"/>
      <c r="F401" s="10"/>
      <c r="G401" s="10"/>
    </row>
    <row r="402" spans="1:7" ht="14.25" customHeight="1" x14ac:dyDescent="0.35">
      <c r="A402" s="10"/>
      <c r="B402" s="10"/>
      <c r="C402" s="10"/>
      <c r="D402" s="10"/>
      <c r="E402" s="10"/>
      <c r="F402" s="10"/>
      <c r="G402" s="10"/>
    </row>
    <row r="403" spans="1:7" ht="14.25" customHeight="1" x14ac:dyDescent="0.35">
      <c r="A403" s="10"/>
      <c r="B403" s="10"/>
      <c r="C403" s="10"/>
      <c r="D403" s="10"/>
      <c r="E403" s="10"/>
      <c r="F403" s="10"/>
      <c r="G403" s="10"/>
    </row>
    <row r="404" spans="1:7" ht="14.25" customHeight="1" x14ac:dyDescent="0.35">
      <c r="A404" s="10"/>
      <c r="B404" s="10"/>
      <c r="C404" s="10"/>
      <c r="D404" s="10"/>
      <c r="E404" s="10"/>
      <c r="F404" s="10"/>
      <c r="G404" s="10"/>
    </row>
    <row r="405" spans="1:7" ht="14.25" customHeight="1" x14ac:dyDescent="0.35">
      <c r="A405" s="10"/>
      <c r="B405" s="10"/>
      <c r="C405" s="10"/>
      <c r="D405" s="10"/>
      <c r="E405" s="10"/>
      <c r="F405" s="10"/>
      <c r="G405" s="10"/>
    </row>
    <row r="406" spans="1:7" ht="14.25" customHeight="1" x14ac:dyDescent="0.35">
      <c r="A406" s="10"/>
      <c r="B406" s="10"/>
      <c r="C406" s="10"/>
      <c r="D406" s="10"/>
      <c r="E406" s="10"/>
      <c r="F406" s="10"/>
      <c r="G406" s="10"/>
    </row>
    <row r="407" spans="1:7" ht="14.25" customHeight="1" x14ac:dyDescent="0.35">
      <c r="A407" s="10"/>
      <c r="B407" s="10"/>
      <c r="C407" s="10"/>
      <c r="D407" s="10"/>
      <c r="E407" s="10"/>
      <c r="F407" s="10"/>
      <c r="G407" s="10"/>
    </row>
    <row r="408" spans="1:7" ht="14.25" customHeight="1" x14ac:dyDescent="0.35">
      <c r="A408" s="10"/>
      <c r="B408" s="10"/>
      <c r="C408" s="10"/>
      <c r="D408" s="10"/>
      <c r="E408" s="10"/>
      <c r="F408" s="10"/>
      <c r="G408" s="10"/>
    </row>
    <row r="409" spans="1:7" ht="14.25" customHeight="1" x14ac:dyDescent="0.35">
      <c r="A409" s="10"/>
      <c r="B409" s="10"/>
      <c r="C409" s="10"/>
      <c r="D409" s="10"/>
      <c r="E409" s="10"/>
      <c r="F409" s="10"/>
      <c r="G409" s="10"/>
    </row>
    <row r="410" spans="1:7" ht="14.25" customHeight="1" x14ac:dyDescent="0.35">
      <c r="A410" s="10"/>
      <c r="B410" s="10"/>
      <c r="C410" s="10"/>
      <c r="D410" s="10"/>
      <c r="E410" s="10"/>
      <c r="F410" s="10"/>
      <c r="G410" s="10"/>
    </row>
    <row r="411" spans="1:7" ht="14.25" customHeight="1" x14ac:dyDescent="0.35">
      <c r="A411" s="10"/>
      <c r="B411" s="10"/>
      <c r="C411" s="10"/>
      <c r="D411" s="10"/>
      <c r="E411" s="10"/>
      <c r="F411" s="10"/>
      <c r="G411" s="10"/>
    </row>
    <row r="412" spans="1:7" ht="14.25" customHeight="1" x14ac:dyDescent="0.35">
      <c r="A412" s="10"/>
      <c r="B412" s="10"/>
      <c r="C412" s="10"/>
      <c r="D412" s="10"/>
      <c r="E412" s="10"/>
      <c r="F412" s="10"/>
      <c r="G412" s="10"/>
    </row>
    <row r="413" spans="1:7" ht="14.25" customHeight="1" x14ac:dyDescent="0.35">
      <c r="A413" s="10"/>
      <c r="B413" s="10"/>
      <c r="C413" s="10"/>
      <c r="D413" s="10"/>
      <c r="E413" s="10"/>
      <c r="F413" s="10"/>
      <c r="G413" s="10"/>
    </row>
    <row r="414" spans="1:7" ht="14.25" customHeight="1" x14ac:dyDescent="0.35">
      <c r="A414" s="10"/>
      <c r="B414" s="10"/>
      <c r="C414" s="10"/>
      <c r="D414" s="10"/>
      <c r="E414" s="10"/>
      <c r="F414" s="10"/>
      <c r="G414" s="10"/>
    </row>
    <row r="415" spans="1:7" ht="14.25" customHeight="1" x14ac:dyDescent="0.35">
      <c r="A415" s="10"/>
      <c r="B415" s="10"/>
      <c r="C415" s="10"/>
      <c r="D415" s="10"/>
      <c r="E415" s="10"/>
      <c r="F415" s="10"/>
      <c r="G415" s="10"/>
    </row>
    <row r="416" spans="1:7" ht="14.25" customHeight="1" x14ac:dyDescent="0.35">
      <c r="A416" s="10"/>
      <c r="B416" s="10"/>
      <c r="C416" s="10"/>
      <c r="D416" s="10"/>
      <c r="E416" s="10"/>
      <c r="F416" s="10"/>
      <c r="G416" s="10"/>
    </row>
    <row r="417" spans="1:7" ht="14.25" customHeight="1" x14ac:dyDescent="0.35">
      <c r="A417" s="10"/>
      <c r="B417" s="10"/>
      <c r="C417" s="10"/>
      <c r="D417" s="10"/>
      <c r="E417" s="10"/>
      <c r="F417" s="10"/>
      <c r="G417" s="10"/>
    </row>
    <row r="418" spans="1:7" ht="14.25" customHeight="1" x14ac:dyDescent="0.35">
      <c r="A418" s="10"/>
      <c r="B418" s="10"/>
      <c r="C418" s="10"/>
      <c r="D418" s="10"/>
      <c r="E418" s="10"/>
      <c r="F418" s="10"/>
      <c r="G418" s="10"/>
    </row>
    <row r="419" spans="1:7" ht="14.25" customHeight="1" x14ac:dyDescent="0.35">
      <c r="A419" s="10"/>
      <c r="B419" s="10"/>
      <c r="C419" s="10"/>
      <c r="D419" s="10"/>
      <c r="E419" s="10"/>
      <c r="F419" s="10"/>
      <c r="G419" s="10"/>
    </row>
    <row r="420" spans="1:7" ht="14.25" customHeight="1" x14ac:dyDescent="0.35">
      <c r="A420" s="10"/>
      <c r="B420" s="10"/>
      <c r="C420" s="10"/>
      <c r="D420" s="10"/>
      <c r="E420" s="10"/>
      <c r="F420" s="10"/>
      <c r="G420" s="10"/>
    </row>
    <row r="421" spans="1:7" ht="14.25" customHeight="1" x14ac:dyDescent="0.35">
      <c r="A421" s="10"/>
      <c r="B421" s="10"/>
      <c r="C421" s="10"/>
      <c r="D421" s="10"/>
      <c r="E421" s="10"/>
      <c r="F421" s="10"/>
      <c r="G421" s="10"/>
    </row>
    <row r="422" spans="1:7" ht="14.25" customHeight="1" x14ac:dyDescent="0.35">
      <c r="A422" s="10"/>
      <c r="B422" s="10"/>
      <c r="C422" s="10"/>
      <c r="D422" s="10"/>
      <c r="E422" s="10"/>
      <c r="F422" s="10"/>
      <c r="G422" s="10"/>
    </row>
    <row r="423" spans="1:7" ht="14.25" customHeight="1" x14ac:dyDescent="0.35">
      <c r="A423" s="10"/>
      <c r="B423" s="10"/>
      <c r="C423" s="10"/>
      <c r="D423" s="10"/>
      <c r="E423" s="10"/>
      <c r="F423" s="10"/>
      <c r="G423" s="10"/>
    </row>
    <row r="424" spans="1:7" ht="14.25" customHeight="1" x14ac:dyDescent="0.35">
      <c r="A424" s="10"/>
      <c r="B424" s="10"/>
      <c r="C424" s="10"/>
      <c r="D424" s="10"/>
      <c r="E424" s="10"/>
      <c r="F424" s="10"/>
      <c r="G424" s="10"/>
    </row>
    <row r="425" spans="1:7" ht="14.25" customHeight="1" x14ac:dyDescent="0.35">
      <c r="A425" s="10"/>
      <c r="B425" s="10"/>
      <c r="C425" s="10"/>
      <c r="D425" s="10"/>
      <c r="E425" s="10"/>
      <c r="F425" s="10"/>
      <c r="G425" s="10"/>
    </row>
    <row r="426" spans="1:7" ht="14.25" customHeight="1" x14ac:dyDescent="0.35">
      <c r="A426" s="10"/>
      <c r="B426" s="10"/>
      <c r="C426" s="10"/>
      <c r="D426" s="10"/>
      <c r="E426" s="10"/>
      <c r="F426" s="10"/>
      <c r="G426" s="10"/>
    </row>
    <row r="427" spans="1:7" ht="14.25" customHeight="1" x14ac:dyDescent="0.35">
      <c r="A427" s="10"/>
      <c r="B427" s="10"/>
      <c r="C427" s="10"/>
      <c r="D427" s="10"/>
      <c r="E427" s="10"/>
      <c r="F427" s="10"/>
      <c r="G427" s="10"/>
    </row>
    <row r="428" spans="1:7" ht="14.25" customHeight="1" x14ac:dyDescent="0.35">
      <c r="A428" s="10"/>
      <c r="B428" s="10"/>
      <c r="C428" s="10"/>
      <c r="D428" s="10"/>
      <c r="E428" s="10"/>
      <c r="F428" s="10"/>
      <c r="G428" s="10"/>
    </row>
    <row r="429" spans="1:7" ht="14.25" customHeight="1" x14ac:dyDescent="0.35">
      <c r="A429" s="10"/>
      <c r="B429" s="10"/>
      <c r="C429" s="10"/>
      <c r="D429" s="10"/>
      <c r="E429" s="10"/>
      <c r="F429" s="10"/>
      <c r="G429" s="10"/>
    </row>
    <row r="430" spans="1:7" ht="14.25" customHeight="1" x14ac:dyDescent="0.35">
      <c r="A430" s="10"/>
      <c r="B430" s="10"/>
      <c r="C430" s="10"/>
      <c r="D430" s="10"/>
      <c r="E430" s="10"/>
      <c r="F430" s="10"/>
      <c r="G430" s="10"/>
    </row>
    <row r="431" spans="1:7" ht="14.25" customHeight="1" x14ac:dyDescent="0.35">
      <c r="A431" s="10"/>
      <c r="B431" s="10"/>
      <c r="C431" s="10"/>
      <c r="D431" s="10"/>
      <c r="E431" s="10"/>
      <c r="F431" s="10"/>
      <c r="G431" s="10"/>
    </row>
    <row r="432" spans="1:7" ht="14.25" customHeight="1" x14ac:dyDescent="0.35">
      <c r="A432" s="10"/>
      <c r="B432" s="10"/>
      <c r="C432" s="10"/>
      <c r="D432" s="10"/>
      <c r="E432" s="10"/>
      <c r="F432" s="10"/>
      <c r="G432" s="10"/>
    </row>
    <row r="433" spans="1:7" ht="14.25" customHeight="1" x14ac:dyDescent="0.35">
      <c r="A433" s="10"/>
      <c r="B433" s="10"/>
      <c r="C433" s="10"/>
      <c r="D433" s="10"/>
      <c r="E433" s="10"/>
      <c r="F433" s="10"/>
      <c r="G433" s="10"/>
    </row>
    <row r="434" spans="1:7" ht="14.25" customHeight="1" x14ac:dyDescent="0.35">
      <c r="A434" s="10"/>
      <c r="B434" s="10"/>
      <c r="C434" s="10"/>
      <c r="D434" s="10"/>
      <c r="E434" s="10"/>
      <c r="F434" s="10"/>
      <c r="G434" s="10"/>
    </row>
    <row r="435" spans="1:7" ht="14.25" customHeight="1" x14ac:dyDescent="0.35">
      <c r="A435" s="10"/>
      <c r="B435" s="10"/>
      <c r="C435" s="10"/>
      <c r="D435" s="10"/>
      <c r="E435" s="10"/>
      <c r="F435" s="10"/>
      <c r="G435" s="10"/>
    </row>
    <row r="436" spans="1:7" ht="14.25" customHeight="1" x14ac:dyDescent="0.35">
      <c r="A436" s="10"/>
      <c r="B436" s="10"/>
      <c r="C436" s="10"/>
      <c r="D436" s="10"/>
      <c r="E436" s="10"/>
      <c r="F436" s="10"/>
      <c r="G436" s="10"/>
    </row>
    <row r="437" spans="1:7" ht="14.25" customHeight="1" x14ac:dyDescent="0.35">
      <c r="A437" s="10"/>
      <c r="B437" s="10"/>
      <c r="C437" s="10"/>
      <c r="D437" s="10"/>
      <c r="E437" s="10"/>
      <c r="F437" s="10"/>
      <c r="G437" s="10"/>
    </row>
    <row r="438" spans="1:7" ht="14.25" customHeight="1" x14ac:dyDescent="0.35">
      <c r="A438" s="10"/>
      <c r="B438" s="10"/>
      <c r="C438" s="10"/>
      <c r="D438" s="10"/>
      <c r="E438" s="10"/>
      <c r="F438" s="10"/>
      <c r="G438" s="10"/>
    </row>
    <row r="439" spans="1:7" ht="14.25" customHeight="1" x14ac:dyDescent="0.35">
      <c r="A439" s="10"/>
      <c r="B439" s="10"/>
      <c r="C439" s="10"/>
      <c r="D439" s="10"/>
      <c r="E439" s="10"/>
      <c r="F439" s="10"/>
      <c r="G439" s="10"/>
    </row>
    <row r="440" spans="1:7" ht="14.25" customHeight="1" x14ac:dyDescent="0.35">
      <c r="A440" s="10"/>
      <c r="B440" s="10"/>
      <c r="C440" s="10"/>
      <c r="D440" s="10"/>
      <c r="E440" s="10"/>
      <c r="F440" s="10"/>
      <c r="G440" s="10"/>
    </row>
    <row r="441" spans="1:7" ht="14.25" customHeight="1" x14ac:dyDescent="0.35">
      <c r="A441" s="10"/>
      <c r="B441" s="10"/>
      <c r="C441" s="10"/>
      <c r="D441" s="10"/>
      <c r="E441" s="10"/>
      <c r="F441" s="10"/>
      <c r="G441" s="10"/>
    </row>
    <row r="442" spans="1:7" ht="14.25" customHeight="1" x14ac:dyDescent="0.35">
      <c r="A442" s="10"/>
      <c r="B442" s="10"/>
      <c r="C442" s="10"/>
      <c r="D442" s="10"/>
      <c r="E442" s="10"/>
      <c r="F442" s="10"/>
      <c r="G442" s="10"/>
    </row>
    <row r="443" spans="1:7" ht="14.25" customHeight="1" x14ac:dyDescent="0.35">
      <c r="A443" s="10"/>
      <c r="B443" s="10"/>
      <c r="C443" s="10"/>
      <c r="D443" s="10"/>
      <c r="E443" s="10"/>
      <c r="F443" s="10"/>
      <c r="G443" s="10"/>
    </row>
    <row r="444" spans="1:7" ht="14.25" customHeight="1" x14ac:dyDescent="0.35">
      <c r="A444" s="10"/>
      <c r="B444" s="10"/>
      <c r="C444" s="10"/>
      <c r="D444" s="10"/>
      <c r="E444" s="10"/>
      <c r="F444" s="10"/>
      <c r="G444" s="10"/>
    </row>
    <row r="445" spans="1:7" ht="14.25" customHeight="1" x14ac:dyDescent="0.35">
      <c r="A445" s="10"/>
      <c r="B445" s="10"/>
      <c r="C445" s="10"/>
      <c r="D445" s="10"/>
      <c r="E445" s="10"/>
      <c r="F445" s="10"/>
      <c r="G445" s="10"/>
    </row>
    <row r="446" spans="1:7" ht="14.25" customHeight="1" x14ac:dyDescent="0.35">
      <c r="A446" s="10"/>
      <c r="B446" s="10"/>
      <c r="C446" s="10"/>
      <c r="D446" s="10"/>
      <c r="E446" s="10"/>
      <c r="F446" s="10"/>
      <c r="G446" s="10"/>
    </row>
    <row r="447" spans="1:7" ht="14.25" customHeight="1" x14ac:dyDescent="0.35">
      <c r="A447" s="10"/>
      <c r="B447" s="10"/>
      <c r="C447" s="10"/>
      <c r="D447" s="10"/>
      <c r="E447" s="10"/>
      <c r="F447" s="10"/>
      <c r="G447" s="10"/>
    </row>
    <row r="448" spans="1:7" ht="14.25" customHeight="1" x14ac:dyDescent="0.35">
      <c r="A448" s="10"/>
      <c r="B448" s="10"/>
      <c r="C448" s="10"/>
      <c r="D448" s="10"/>
      <c r="E448" s="10"/>
      <c r="F448" s="10"/>
      <c r="G448" s="10"/>
    </row>
    <row r="449" spans="1:7" ht="14.25" customHeight="1" x14ac:dyDescent="0.35">
      <c r="A449" s="10"/>
      <c r="B449" s="10"/>
      <c r="C449" s="10"/>
      <c r="D449" s="10"/>
      <c r="E449" s="10"/>
      <c r="F449" s="10"/>
      <c r="G449" s="10"/>
    </row>
    <row r="450" spans="1:7" ht="14.25" customHeight="1" x14ac:dyDescent="0.35">
      <c r="A450" s="10"/>
      <c r="B450" s="10"/>
      <c r="C450" s="10"/>
      <c r="D450" s="10"/>
      <c r="E450" s="10"/>
      <c r="F450" s="10"/>
      <c r="G450" s="10"/>
    </row>
    <row r="451" spans="1:7" ht="14.25" customHeight="1" x14ac:dyDescent="0.35">
      <c r="A451" s="10"/>
      <c r="B451" s="10"/>
      <c r="C451" s="10"/>
      <c r="D451" s="10"/>
      <c r="E451" s="10"/>
      <c r="F451" s="10"/>
      <c r="G451" s="10"/>
    </row>
    <row r="452" spans="1:7" ht="14.25" customHeight="1" x14ac:dyDescent="0.35">
      <c r="A452" s="10"/>
      <c r="B452" s="10"/>
      <c r="C452" s="10"/>
      <c r="D452" s="10"/>
      <c r="E452" s="10"/>
      <c r="F452" s="10"/>
      <c r="G452" s="10"/>
    </row>
    <row r="453" spans="1:7" ht="14.25" customHeight="1" x14ac:dyDescent="0.35">
      <c r="A453" s="10"/>
      <c r="B453" s="10"/>
      <c r="C453" s="10"/>
      <c r="D453" s="10"/>
      <c r="E453" s="10"/>
      <c r="F453" s="10"/>
      <c r="G453" s="10"/>
    </row>
    <row r="454" spans="1:7" ht="14.25" customHeight="1" x14ac:dyDescent="0.35">
      <c r="A454" s="10"/>
      <c r="B454" s="10"/>
      <c r="C454" s="10"/>
      <c r="D454" s="10"/>
      <c r="E454" s="10"/>
      <c r="F454" s="10"/>
      <c r="G454" s="10"/>
    </row>
    <row r="455" spans="1:7" ht="14.25" customHeight="1" x14ac:dyDescent="0.35">
      <c r="A455" s="10"/>
      <c r="B455" s="10"/>
      <c r="C455" s="10"/>
      <c r="D455" s="10"/>
      <c r="E455" s="10"/>
      <c r="F455" s="10"/>
      <c r="G455" s="10"/>
    </row>
    <row r="456" spans="1:7" ht="14.25" customHeight="1" x14ac:dyDescent="0.35">
      <c r="A456" s="10"/>
      <c r="B456" s="10"/>
      <c r="C456" s="10"/>
      <c r="D456" s="10"/>
      <c r="E456" s="10"/>
      <c r="F456" s="10"/>
      <c r="G456" s="10"/>
    </row>
    <row r="457" spans="1:7" ht="14.25" customHeight="1" x14ac:dyDescent="0.35">
      <c r="A457" s="10"/>
      <c r="B457" s="10"/>
      <c r="C457" s="10"/>
      <c r="D457" s="10"/>
      <c r="E457" s="10"/>
      <c r="F457" s="10"/>
      <c r="G457" s="10"/>
    </row>
    <row r="458" spans="1:7" ht="14.25" customHeight="1" x14ac:dyDescent="0.35">
      <c r="A458" s="10"/>
      <c r="B458" s="10"/>
      <c r="C458" s="10"/>
      <c r="D458" s="10"/>
      <c r="E458" s="10"/>
      <c r="F458" s="10"/>
      <c r="G458" s="10"/>
    </row>
    <row r="459" spans="1:7" ht="14.25" customHeight="1" x14ac:dyDescent="0.35">
      <c r="A459" s="10"/>
      <c r="B459" s="10"/>
      <c r="C459" s="10"/>
      <c r="D459" s="10"/>
      <c r="E459" s="10"/>
      <c r="F459" s="10"/>
      <c r="G459" s="10"/>
    </row>
    <row r="460" spans="1:7" ht="14.25" customHeight="1" x14ac:dyDescent="0.35">
      <c r="A460" s="10"/>
      <c r="B460" s="10"/>
      <c r="C460" s="10"/>
      <c r="D460" s="10"/>
      <c r="E460" s="10"/>
      <c r="F460" s="10"/>
      <c r="G460" s="10"/>
    </row>
    <row r="461" spans="1:7" ht="14.25" customHeight="1" x14ac:dyDescent="0.35">
      <c r="A461" s="10"/>
      <c r="B461" s="10"/>
      <c r="C461" s="10"/>
      <c r="D461" s="10"/>
      <c r="E461" s="10"/>
      <c r="F461" s="10"/>
      <c r="G461" s="10"/>
    </row>
    <row r="462" spans="1:7" ht="14.25" customHeight="1" x14ac:dyDescent="0.35">
      <c r="A462" s="10"/>
      <c r="B462" s="10"/>
      <c r="C462" s="10"/>
      <c r="D462" s="10"/>
      <c r="E462" s="10"/>
      <c r="F462" s="10"/>
      <c r="G462" s="10"/>
    </row>
    <row r="463" spans="1:7" ht="14.25" customHeight="1" x14ac:dyDescent="0.35">
      <c r="A463" s="10"/>
      <c r="B463" s="10"/>
      <c r="C463" s="10"/>
      <c r="D463" s="10"/>
      <c r="E463" s="10"/>
      <c r="F463" s="10"/>
      <c r="G463" s="10"/>
    </row>
    <row r="464" spans="1:7" ht="14.25" customHeight="1" x14ac:dyDescent="0.35">
      <c r="A464" s="10"/>
      <c r="B464" s="10"/>
      <c r="C464" s="10"/>
      <c r="D464" s="10"/>
      <c r="E464" s="10"/>
      <c r="F464" s="10"/>
      <c r="G464" s="10"/>
    </row>
    <row r="465" spans="1:7" ht="14.25" customHeight="1" x14ac:dyDescent="0.35">
      <c r="A465" s="10"/>
      <c r="B465" s="10"/>
      <c r="C465" s="10"/>
      <c r="D465" s="10"/>
      <c r="E465" s="10"/>
      <c r="F465" s="10"/>
      <c r="G465" s="10"/>
    </row>
    <row r="466" spans="1:7" ht="14.25" customHeight="1" x14ac:dyDescent="0.35">
      <c r="A466" s="10"/>
      <c r="B466" s="10"/>
      <c r="C466" s="10"/>
      <c r="D466" s="10"/>
      <c r="E466" s="10"/>
      <c r="F466" s="10"/>
      <c r="G466" s="10"/>
    </row>
    <row r="467" spans="1:7" ht="14.25" customHeight="1" x14ac:dyDescent="0.35">
      <c r="A467" s="10"/>
      <c r="B467" s="10"/>
      <c r="C467" s="10"/>
      <c r="D467" s="10"/>
      <c r="E467" s="10"/>
      <c r="F467" s="10"/>
      <c r="G467" s="10"/>
    </row>
    <row r="468" spans="1:7" ht="14.25" customHeight="1" x14ac:dyDescent="0.35">
      <c r="A468" s="10"/>
      <c r="B468" s="10"/>
      <c r="C468" s="10"/>
      <c r="D468" s="10"/>
      <c r="E468" s="10"/>
      <c r="F468" s="10"/>
      <c r="G468" s="10"/>
    </row>
    <row r="469" spans="1:7" ht="14.25" customHeight="1" x14ac:dyDescent="0.35">
      <c r="A469" s="10"/>
      <c r="B469" s="10"/>
      <c r="C469" s="10"/>
      <c r="D469" s="10"/>
      <c r="E469" s="10"/>
      <c r="F469" s="10"/>
      <c r="G469" s="10"/>
    </row>
    <row r="470" spans="1:7" ht="14.25" customHeight="1" x14ac:dyDescent="0.35">
      <c r="A470" s="10"/>
      <c r="B470" s="10"/>
      <c r="C470" s="10"/>
      <c r="D470" s="10"/>
      <c r="E470" s="10"/>
      <c r="F470" s="10"/>
      <c r="G470" s="10"/>
    </row>
    <row r="471" spans="1:7" ht="14.25" customHeight="1" x14ac:dyDescent="0.35">
      <c r="A471" s="10"/>
      <c r="B471" s="10"/>
      <c r="C471" s="10"/>
      <c r="D471" s="10"/>
      <c r="E471" s="10"/>
      <c r="F471" s="10"/>
      <c r="G471" s="10"/>
    </row>
    <row r="472" spans="1:7" ht="14.25" customHeight="1" x14ac:dyDescent="0.35">
      <c r="A472" s="10"/>
      <c r="B472" s="10"/>
      <c r="C472" s="10"/>
      <c r="D472" s="10"/>
      <c r="E472" s="10"/>
      <c r="F472" s="10"/>
      <c r="G472" s="10"/>
    </row>
    <row r="473" spans="1:7" ht="14.25" customHeight="1" x14ac:dyDescent="0.35">
      <c r="A473" s="10"/>
      <c r="B473" s="10"/>
      <c r="C473" s="10"/>
      <c r="D473" s="10"/>
      <c r="E473" s="10"/>
      <c r="F473" s="10"/>
      <c r="G473" s="10"/>
    </row>
    <row r="474" spans="1:7" ht="14.25" customHeight="1" x14ac:dyDescent="0.35">
      <c r="A474" s="10"/>
      <c r="B474" s="10"/>
      <c r="C474" s="10"/>
      <c r="D474" s="10"/>
      <c r="E474" s="10"/>
      <c r="F474" s="10"/>
      <c r="G474" s="10"/>
    </row>
    <row r="475" spans="1:7" ht="14.25" customHeight="1" x14ac:dyDescent="0.35">
      <c r="A475" s="10"/>
      <c r="B475" s="10"/>
      <c r="C475" s="10"/>
      <c r="D475" s="10"/>
      <c r="E475" s="10"/>
      <c r="F475" s="10"/>
      <c r="G475" s="10"/>
    </row>
    <row r="476" spans="1:7" ht="14.25" customHeight="1" x14ac:dyDescent="0.35">
      <c r="A476" s="10"/>
      <c r="B476" s="10"/>
      <c r="C476" s="10"/>
      <c r="D476" s="10"/>
      <c r="E476" s="10"/>
      <c r="F476" s="10"/>
      <c r="G476" s="10"/>
    </row>
    <row r="477" spans="1:7" ht="14.25" customHeight="1" x14ac:dyDescent="0.35">
      <c r="A477" s="10"/>
      <c r="B477" s="10"/>
      <c r="C477" s="10"/>
      <c r="D477" s="10"/>
      <c r="E477" s="10"/>
      <c r="F477" s="10"/>
      <c r="G477" s="10"/>
    </row>
    <row r="478" spans="1:7" ht="14.25" customHeight="1" x14ac:dyDescent="0.35">
      <c r="A478" s="10"/>
      <c r="B478" s="10"/>
      <c r="C478" s="10"/>
      <c r="D478" s="10"/>
      <c r="E478" s="10"/>
      <c r="F478" s="10"/>
      <c r="G478" s="10"/>
    </row>
    <row r="479" spans="1:7" ht="14.25" customHeight="1" x14ac:dyDescent="0.35">
      <c r="A479" s="10"/>
      <c r="B479" s="10"/>
      <c r="C479" s="10"/>
      <c r="D479" s="10"/>
      <c r="E479" s="10"/>
      <c r="F479" s="10"/>
      <c r="G479" s="10"/>
    </row>
    <row r="480" spans="1:7" ht="14.25" customHeight="1" x14ac:dyDescent="0.35">
      <c r="A480" s="10"/>
      <c r="B480" s="10"/>
      <c r="C480" s="10"/>
      <c r="D480" s="10"/>
      <c r="E480" s="10"/>
      <c r="F480" s="10"/>
      <c r="G480" s="10"/>
    </row>
    <row r="481" spans="1:7" ht="14.25" customHeight="1" x14ac:dyDescent="0.35">
      <c r="A481" s="10"/>
      <c r="B481" s="10"/>
      <c r="C481" s="10"/>
      <c r="D481" s="10"/>
      <c r="E481" s="10"/>
      <c r="F481" s="10"/>
      <c r="G481" s="10"/>
    </row>
    <row r="482" spans="1:7" ht="14.25" customHeight="1" x14ac:dyDescent="0.35">
      <c r="A482" s="10"/>
      <c r="B482" s="10"/>
      <c r="C482" s="10"/>
      <c r="D482" s="10"/>
      <c r="E482" s="10"/>
      <c r="F482" s="10"/>
      <c r="G482" s="10"/>
    </row>
    <row r="483" spans="1:7" ht="14.25" customHeight="1" x14ac:dyDescent="0.35">
      <c r="A483" s="10"/>
      <c r="B483" s="10"/>
      <c r="C483" s="10"/>
      <c r="D483" s="10"/>
      <c r="E483" s="10"/>
      <c r="F483" s="10"/>
      <c r="G483" s="10"/>
    </row>
    <row r="484" spans="1:7" ht="14.25" customHeight="1" x14ac:dyDescent="0.35">
      <c r="A484" s="10"/>
      <c r="B484" s="10"/>
      <c r="C484" s="10"/>
      <c r="D484" s="10"/>
      <c r="E484" s="10"/>
      <c r="F484" s="10"/>
      <c r="G484" s="10"/>
    </row>
    <row r="485" spans="1:7" ht="14.25" customHeight="1" x14ac:dyDescent="0.35">
      <c r="A485" s="10"/>
      <c r="B485" s="10"/>
      <c r="C485" s="10"/>
      <c r="D485" s="10"/>
      <c r="E485" s="10"/>
      <c r="F485" s="10"/>
      <c r="G485" s="10"/>
    </row>
    <row r="486" spans="1:7" ht="14.25" customHeight="1" x14ac:dyDescent="0.35">
      <c r="A486" s="10"/>
      <c r="B486" s="10"/>
      <c r="C486" s="10"/>
      <c r="D486" s="10"/>
      <c r="E486" s="10"/>
      <c r="F486" s="10"/>
      <c r="G486" s="10"/>
    </row>
    <row r="487" spans="1:7" ht="14.25" customHeight="1" x14ac:dyDescent="0.35">
      <c r="A487" s="10"/>
      <c r="B487" s="10"/>
      <c r="C487" s="10"/>
      <c r="D487" s="10"/>
      <c r="E487" s="10"/>
      <c r="F487" s="10"/>
      <c r="G487" s="10"/>
    </row>
    <row r="488" spans="1:7" ht="14.25" customHeight="1" x14ac:dyDescent="0.35">
      <c r="A488" s="10"/>
      <c r="B488" s="10"/>
      <c r="C488" s="10"/>
      <c r="D488" s="10"/>
      <c r="E488" s="10"/>
      <c r="F488" s="10"/>
      <c r="G488" s="10"/>
    </row>
    <row r="489" spans="1:7" ht="14.25" customHeight="1" x14ac:dyDescent="0.35">
      <c r="A489" s="10"/>
      <c r="B489" s="10"/>
      <c r="C489" s="10"/>
      <c r="D489" s="10"/>
      <c r="E489" s="10"/>
      <c r="F489" s="10"/>
      <c r="G489" s="10"/>
    </row>
    <row r="490" spans="1:7" ht="14.25" customHeight="1" x14ac:dyDescent="0.35">
      <c r="A490" s="10"/>
      <c r="B490" s="10"/>
      <c r="C490" s="10"/>
      <c r="D490" s="10"/>
      <c r="E490" s="10"/>
      <c r="F490" s="10"/>
      <c r="G490" s="10"/>
    </row>
    <row r="491" spans="1:7" ht="14.25" customHeight="1" x14ac:dyDescent="0.35">
      <c r="A491" s="10"/>
      <c r="B491" s="10"/>
      <c r="C491" s="10"/>
      <c r="D491" s="10"/>
      <c r="E491" s="10"/>
      <c r="F491" s="10"/>
      <c r="G491" s="10"/>
    </row>
    <row r="492" spans="1:7" ht="14.25" customHeight="1" x14ac:dyDescent="0.35">
      <c r="A492" s="10"/>
      <c r="B492" s="10"/>
      <c r="C492" s="10"/>
      <c r="D492" s="10"/>
      <c r="E492" s="10"/>
      <c r="F492" s="10"/>
      <c r="G492" s="10"/>
    </row>
    <row r="493" spans="1:7" ht="14.25" customHeight="1" x14ac:dyDescent="0.35">
      <c r="A493" s="10"/>
      <c r="B493" s="10"/>
      <c r="C493" s="10"/>
      <c r="D493" s="10"/>
      <c r="E493" s="10"/>
      <c r="F493" s="10"/>
      <c r="G493" s="10"/>
    </row>
    <row r="494" spans="1:7" ht="14.25" customHeight="1" x14ac:dyDescent="0.35">
      <c r="A494" s="10"/>
      <c r="B494" s="10"/>
      <c r="C494" s="10"/>
      <c r="D494" s="10"/>
      <c r="E494" s="10"/>
      <c r="F494" s="10"/>
      <c r="G494" s="10"/>
    </row>
    <row r="495" spans="1:7" ht="14.25" customHeight="1" x14ac:dyDescent="0.35">
      <c r="A495" s="10"/>
      <c r="B495" s="10"/>
      <c r="C495" s="10"/>
      <c r="D495" s="10"/>
      <c r="E495" s="10"/>
      <c r="F495" s="10"/>
      <c r="G495" s="10"/>
    </row>
    <row r="496" spans="1:7" ht="14.25" customHeight="1" x14ac:dyDescent="0.35">
      <c r="A496" s="10"/>
      <c r="B496" s="10"/>
      <c r="C496" s="10"/>
      <c r="D496" s="10"/>
      <c r="E496" s="10"/>
      <c r="F496" s="10"/>
      <c r="G496" s="10"/>
    </row>
    <row r="497" spans="1:7" ht="14.25" customHeight="1" x14ac:dyDescent="0.35">
      <c r="A497" s="10"/>
      <c r="B497" s="10"/>
      <c r="C497" s="10"/>
      <c r="D497" s="10"/>
      <c r="E497" s="10"/>
      <c r="F497" s="10"/>
      <c r="G497" s="10"/>
    </row>
    <row r="498" spans="1:7" ht="14.25" customHeight="1" x14ac:dyDescent="0.35">
      <c r="A498" s="10"/>
      <c r="B498" s="10"/>
      <c r="C498" s="10"/>
      <c r="D498" s="10"/>
      <c r="E498" s="10"/>
      <c r="F498" s="10"/>
      <c r="G498" s="10"/>
    </row>
    <row r="499" spans="1:7" ht="14.25" customHeight="1" x14ac:dyDescent="0.35">
      <c r="A499" s="10"/>
      <c r="B499" s="10"/>
      <c r="C499" s="10"/>
      <c r="D499" s="10"/>
      <c r="E499" s="10"/>
      <c r="F499" s="10"/>
      <c r="G499" s="10"/>
    </row>
    <row r="500" spans="1:7" ht="14.25" customHeight="1" x14ac:dyDescent="0.35">
      <c r="A500" s="10"/>
      <c r="B500" s="10"/>
      <c r="C500" s="10"/>
      <c r="D500" s="10"/>
      <c r="E500" s="10"/>
      <c r="F500" s="10"/>
      <c r="G500" s="10"/>
    </row>
    <row r="501" spans="1:7" ht="14.25" customHeight="1" x14ac:dyDescent="0.35">
      <c r="A501" s="10"/>
      <c r="B501" s="10"/>
      <c r="C501" s="10"/>
      <c r="D501" s="10"/>
      <c r="E501" s="10"/>
      <c r="F501" s="10"/>
      <c r="G501" s="10"/>
    </row>
    <row r="502" spans="1:7" ht="14.25" customHeight="1" x14ac:dyDescent="0.35">
      <c r="A502" s="10"/>
      <c r="B502" s="10"/>
      <c r="C502" s="10"/>
      <c r="D502" s="10"/>
      <c r="E502" s="10"/>
      <c r="F502" s="10"/>
      <c r="G502" s="10"/>
    </row>
    <row r="503" spans="1:7" ht="14.25" customHeight="1" x14ac:dyDescent="0.35">
      <c r="A503" s="10"/>
      <c r="B503" s="10"/>
      <c r="C503" s="10"/>
      <c r="D503" s="10"/>
      <c r="E503" s="10"/>
      <c r="F503" s="10"/>
      <c r="G503" s="10"/>
    </row>
    <row r="504" spans="1:7" ht="14.25" customHeight="1" x14ac:dyDescent="0.35">
      <c r="A504" s="10"/>
      <c r="B504" s="10"/>
      <c r="C504" s="10"/>
      <c r="D504" s="10"/>
      <c r="E504" s="10"/>
      <c r="F504" s="10"/>
      <c r="G504" s="10"/>
    </row>
    <row r="505" spans="1:7" ht="14.25" customHeight="1" x14ac:dyDescent="0.35">
      <c r="A505" s="10"/>
      <c r="B505" s="10"/>
      <c r="C505" s="10"/>
      <c r="D505" s="10"/>
      <c r="E505" s="10"/>
      <c r="F505" s="10"/>
      <c r="G505" s="10"/>
    </row>
    <row r="506" spans="1:7" ht="14.25" customHeight="1" x14ac:dyDescent="0.35">
      <c r="A506" s="10"/>
      <c r="B506" s="10"/>
      <c r="C506" s="10"/>
      <c r="D506" s="10"/>
      <c r="E506" s="10"/>
      <c r="F506" s="10"/>
      <c r="G506" s="10"/>
    </row>
    <row r="507" spans="1:7" ht="14.25" customHeight="1" x14ac:dyDescent="0.35">
      <c r="A507" s="10"/>
      <c r="B507" s="10"/>
      <c r="C507" s="10"/>
      <c r="D507" s="10"/>
      <c r="E507" s="10"/>
      <c r="F507" s="10"/>
      <c r="G507" s="10"/>
    </row>
    <row r="508" spans="1:7" ht="14.25" customHeight="1" x14ac:dyDescent="0.35">
      <c r="A508" s="10"/>
      <c r="B508" s="10"/>
      <c r="C508" s="10"/>
      <c r="D508" s="10"/>
      <c r="E508" s="10"/>
      <c r="F508" s="10"/>
      <c r="G508" s="10"/>
    </row>
    <row r="509" spans="1:7" ht="14.25" customHeight="1" x14ac:dyDescent="0.35">
      <c r="A509" s="10"/>
      <c r="B509" s="10"/>
      <c r="C509" s="10"/>
      <c r="D509" s="10"/>
      <c r="E509" s="10"/>
      <c r="F509" s="10"/>
      <c r="G509" s="10"/>
    </row>
    <row r="510" spans="1:7" ht="14.25" customHeight="1" x14ac:dyDescent="0.35">
      <c r="A510" s="10"/>
      <c r="B510" s="10"/>
      <c r="C510" s="10"/>
      <c r="D510" s="10"/>
      <c r="E510" s="10"/>
      <c r="F510" s="10"/>
      <c r="G510" s="10"/>
    </row>
    <row r="511" spans="1:7" ht="14.25" customHeight="1" x14ac:dyDescent="0.35">
      <c r="A511" s="10"/>
      <c r="B511" s="10"/>
      <c r="C511" s="10"/>
      <c r="D511" s="10"/>
      <c r="E511" s="10"/>
      <c r="F511" s="10"/>
      <c r="G511" s="10"/>
    </row>
    <row r="512" spans="1:7" ht="14.25" customHeight="1" x14ac:dyDescent="0.35">
      <c r="A512" s="10"/>
      <c r="B512" s="10"/>
      <c r="C512" s="10"/>
      <c r="D512" s="10"/>
      <c r="E512" s="10"/>
      <c r="F512" s="10"/>
      <c r="G512" s="10"/>
    </row>
    <row r="513" spans="1:7" ht="14.25" customHeight="1" x14ac:dyDescent="0.35">
      <c r="A513" s="10"/>
      <c r="B513" s="10"/>
      <c r="C513" s="10"/>
      <c r="D513" s="10"/>
      <c r="E513" s="10"/>
      <c r="F513" s="10"/>
      <c r="G513" s="10"/>
    </row>
    <row r="514" spans="1:7" ht="14.25" customHeight="1" x14ac:dyDescent="0.35">
      <c r="A514" s="10"/>
      <c r="B514" s="10"/>
      <c r="C514" s="10"/>
      <c r="D514" s="10"/>
      <c r="E514" s="10"/>
      <c r="F514" s="10"/>
      <c r="G514" s="10"/>
    </row>
    <row r="515" spans="1:7" ht="14.25" customHeight="1" x14ac:dyDescent="0.35">
      <c r="A515" s="10"/>
      <c r="B515" s="10"/>
      <c r="C515" s="10"/>
      <c r="D515" s="10"/>
      <c r="E515" s="10"/>
      <c r="F515" s="10"/>
      <c r="G515" s="10"/>
    </row>
    <row r="516" spans="1:7" ht="14.25" customHeight="1" x14ac:dyDescent="0.35">
      <c r="A516" s="10"/>
      <c r="B516" s="10"/>
      <c r="C516" s="10"/>
      <c r="D516" s="10"/>
      <c r="E516" s="10"/>
      <c r="F516" s="10"/>
      <c r="G516" s="10"/>
    </row>
    <row r="517" spans="1:7" ht="14.25" customHeight="1" x14ac:dyDescent="0.35">
      <c r="A517" s="10"/>
      <c r="B517" s="10"/>
      <c r="C517" s="10"/>
      <c r="D517" s="10"/>
      <c r="E517" s="10"/>
      <c r="F517" s="10"/>
      <c r="G517" s="10"/>
    </row>
    <row r="518" spans="1:7" ht="14.25" customHeight="1" x14ac:dyDescent="0.35">
      <c r="A518" s="10"/>
      <c r="B518" s="10"/>
      <c r="C518" s="10"/>
      <c r="D518" s="10"/>
      <c r="E518" s="10"/>
      <c r="F518" s="10"/>
      <c r="G518" s="10"/>
    </row>
    <row r="519" spans="1:7" ht="14.25" customHeight="1" x14ac:dyDescent="0.35">
      <c r="A519" s="10"/>
      <c r="B519" s="10"/>
      <c r="C519" s="10"/>
      <c r="D519" s="10"/>
      <c r="E519" s="10"/>
      <c r="F519" s="10"/>
      <c r="G519" s="10"/>
    </row>
    <row r="520" spans="1:7" ht="14.25" customHeight="1" x14ac:dyDescent="0.35">
      <c r="A520" s="10"/>
      <c r="B520" s="10"/>
      <c r="C520" s="10"/>
      <c r="D520" s="10"/>
      <c r="E520" s="10"/>
      <c r="F520" s="10"/>
      <c r="G520" s="10"/>
    </row>
    <row r="521" spans="1:7" ht="14.25" customHeight="1" x14ac:dyDescent="0.35">
      <c r="A521" s="10"/>
      <c r="B521" s="10"/>
      <c r="C521" s="10"/>
      <c r="D521" s="10"/>
      <c r="E521" s="10"/>
      <c r="F521" s="10"/>
      <c r="G521" s="10"/>
    </row>
    <row r="522" spans="1:7" ht="14.25" customHeight="1" x14ac:dyDescent="0.35">
      <c r="A522" s="10"/>
      <c r="B522" s="10"/>
      <c r="C522" s="10"/>
      <c r="D522" s="10"/>
      <c r="E522" s="10"/>
      <c r="F522" s="10"/>
      <c r="G522" s="10"/>
    </row>
    <row r="523" spans="1:7" ht="14.25" customHeight="1" x14ac:dyDescent="0.35">
      <c r="A523" s="10"/>
      <c r="B523" s="10"/>
      <c r="C523" s="10"/>
      <c r="D523" s="10"/>
      <c r="E523" s="10"/>
      <c r="F523" s="10"/>
      <c r="G523" s="10"/>
    </row>
    <row r="524" spans="1:7" ht="14.25" customHeight="1" x14ac:dyDescent="0.35">
      <c r="A524" s="10"/>
      <c r="B524" s="10"/>
      <c r="C524" s="10"/>
      <c r="D524" s="10"/>
      <c r="E524" s="10"/>
      <c r="F524" s="10"/>
      <c r="G524" s="10"/>
    </row>
    <row r="525" spans="1:7" ht="14.25" customHeight="1" x14ac:dyDescent="0.35">
      <c r="A525" s="10"/>
      <c r="B525" s="10"/>
      <c r="C525" s="10"/>
      <c r="D525" s="10"/>
      <c r="E525" s="10"/>
      <c r="F525" s="10"/>
      <c r="G525" s="10"/>
    </row>
    <row r="526" spans="1:7" ht="14.25" customHeight="1" x14ac:dyDescent="0.35">
      <c r="A526" s="10"/>
      <c r="B526" s="10"/>
      <c r="C526" s="10"/>
      <c r="D526" s="10"/>
      <c r="E526" s="10"/>
      <c r="F526" s="10"/>
      <c r="G526" s="10"/>
    </row>
    <row r="527" spans="1:7" ht="14.25" customHeight="1" x14ac:dyDescent="0.35">
      <c r="A527" s="10"/>
      <c r="B527" s="10"/>
      <c r="C527" s="10"/>
      <c r="D527" s="10"/>
      <c r="E527" s="10"/>
      <c r="F527" s="10"/>
      <c r="G527" s="10"/>
    </row>
    <row r="528" spans="1:7" ht="14.25" customHeight="1" x14ac:dyDescent="0.35">
      <c r="A528" s="10"/>
      <c r="B528" s="10"/>
      <c r="C528" s="10"/>
      <c r="D528" s="10"/>
      <c r="E528" s="10"/>
      <c r="F528" s="10"/>
      <c r="G528" s="10"/>
    </row>
    <row r="529" spans="1:7" ht="14.25" customHeight="1" x14ac:dyDescent="0.35">
      <c r="A529" s="10"/>
      <c r="B529" s="10"/>
      <c r="C529" s="10"/>
      <c r="D529" s="10"/>
      <c r="E529" s="10"/>
      <c r="F529" s="10"/>
      <c r="G529" s="10"/>
    </row>
    <row r="530" spans="1:7" ht="14.25" customHeight="1" x14ac:dyDescent="0.35">
      <c r="A530" s="10"/>
      <c r="B530" s="10"/>
      <c r="C530" s="10"/>
      <c r="D530" s="10"/>
      <c r="E530" s="10"/>
      <c r="F530" s="10"/>
      <c r="G530" s="10"/>
    </row>
    <row r="531" spans="1:7" ht="14.25" customHeight="1" x14ac:dyDescent="0.35">
      <c r="A531" s="10"/>
      <c r="B531" s="10"/>
      <c r="C531" s="10"/>
      <c r="D531" s="10"/>
      <c r="E531" s="10"/>
      <c r="F531" s="10"/>
      <c r="G531" s="10"/>
    </row>
    <row r="532" spans="1:7" ht="14.25" customHeight="1" x14ac:dyDescent="0.35">
      <c r="A532" s="10"/>
      <c r="B532" s="10"/>
      <c r="C532" s="10"/>
      <c r="D532" s="10"/>
      <c r="E532" s="10"/>
      <c r="F532" s="10"/>
      <c r="G532" s="10"/>
    </row>
    <row r="533" spans="1:7" ht="14.25" customHeight="1" x14ac:dyDescent="0.35">
      <c r="A533" s="10"/>
      <c r="B533" s="10"/>
      <c r="C533" s="10"/>
      <c r="D533" s="10"/>
      <c r="E533" s="10"/>
      <c r="F533" s="10"/>
      <c r="G533" s="10"/>
    </row>
    <row r="534" spans="1:7" ht="14.25" customHeight="1" x14ac:dyDescent="0.35">
      <c r="A534" s="10"/>
      <c r="B534" s="10"/>
      <c r="C534" s="10"/>
      <c r="D534" s="10"/>
      <c r="E534" s="10"/>
      <c r="F534" s="10"/>
      <c r="G534" s="10"/>
    </row>
    <row r="535" spans="1:7" ht="14.25" customHeight="1" x14ac:dyDescent="0.35">
      <c r="A535" s="10"/>
      <c r="B535" s="10"/>
      <c r="C535" s="10"/>
      <c r="D535" s="10"/>
      <c r="E535" s="10"/>
      <c r="F535" s="10"/>
      <c r="G535" s="10"/>
    </row>
    <row r="536" spans="1:7" ht="14.25" customHeight="1" x14ac:dyDescent="0.35">
      <c r="A536" s="10"/>
      <c r="B536" s="10"/>
      <c r="C536" s="10"/>
      <c r="D536" s="10"/>
      <c r="E536" s="10"/>
      <c r="F536" s="10"/>
      <c r="G536" s="10"/>
    </row>
    <row r="537" spans="1:7" ht="14.25" customHeight="1" x14ac:dyDescent="0.35">
      <c r="A537" s="10"/>
      <c r="B537" s="10"/>
      <c r="C537" s="10"/>
      <c r="D537" s="10"/>
      <c r="E537" s="10"/>
      <c r="F537" s="10"/>
      <c r="G537" s="10"/>
    </row>
    <row r="538" spans="1:7" ht="14.25" customHeight="1" x14ac:dyDescent="0.35">
      <c r="A538" s="10"/>
      <c r="B538" s="10"/>
      <c r="C538" s="10"/>
      <c r="D538" s="10"/>
      <c r="E538" s="10"/>
      <c r="F538" s="10"/>
      <c r="G538" s="10"/>
    </row>
    <row r="539" spans="1:7" ht="14.25" customHeight="1" x14ac:dyDescent="0.35">
      <c r="A539" s="10"/>
      <c r="B539" s="10"/>
      <c r="C539" s="10"/>
      <c r="D539" s="10"/>
      <c r="E539" s="10"/>
      <c r="F539" s="10"/>
      <c r="G539" s="10"/>
    </row>
    <row r="540" spans="1:7" ht="14.25" customHeight="1" x14ac:dyDescent="0.35">
      <c r="A540" s="10"/>
      <c r="B540" s="10"/>
      <c r="C540" s="10"/>
      <c r="D540" s="10"/>
      <c r="E540" s="10"/>
      <c r="F540" s="10"/>
      <c r="G540" s="10"/>
    </row>
    <row r="541" spans="1:7" ht="14.25" customHeight="1" x14ac:dyDescent="0.35">
      <c r="A541" s="10"/>
      <c r="B541" s="10"/>
      <c r="C541" s="10"/>
      <c r="D541" s="10"/>
      <c r="E541" s="10"/>
      <c r="F541" s="10"/>
      <c r="G541" s="10"/>
    </row>
    <row r="542" spans="1:7" ht="14.25" customHeight="1" x14ac:dyDescent="0.35">
      <c r="A542" s="10"/>
      <c r="B542" s="10"/>
      <c r="C542" s="10"/>
      <c r="D542" s="10"/>
      <c r="E542" s="10"/>
      <c r="F542" s="10"/>
      <c r="G542" s="10"/>
    </row>
    <row r="543" spans="1:7" ht="14.25" customHeight="1" x14ac:dyDescent="0.35">
      <c r="A543" s="10"/>
      <c r="B543" s="10"/>
      <c r="C543" s="10"/>
      <c r="D543" s="10"/>
      <c r="E543" s="10"/>
      <c r="F543" s="10"/>
      <c r="G543" s="10"/>
    </row>
    <row r="544" spans="1:7" ht="14.25" customHeight="1" x14ac:dyDescent="0.35">
      <c r="A544" s="10"/>
      <c r="B544" s="10"/>
      <c r="C544" s="10"/>
      <c r="D544" s="10"/>
      <c r="E544" s="10"/>
      <c r="F544" s="10"/>
      <c r="G544" s="10"/>
    </row>
    <row r="545" spans="1:7" ht="14.25" customHeight="1" x14ac:dyDescent="0.35">
      <c r="A545" s="10"/>
      <c r="B545" s="10"/>
      <c r="C545" s="10"/>
      <c r="D545" s="10"/>
      <c r="E545" s="10"/>
      <c r="F545" s="10"/>
      <c r="G545" s="10"/>
    </row>
    <row r="546" spans="1:7" ht="14.25" customHeight="1" x14ac:dyDescent="0.35">
      <c r="A546" s="10"/>
      <c r="B546" s="10"/>
      <c r="C546" s="10"/>
      <c r="D546" s="10"/>
      <c r="E546" s="10"/>
      <c r="F546" s="10"/>
      <c r="G546" s="10"/>
    </row>
    <row r="547" spans="1:7" ht="14.25" customHeight="1" x14ac:dyDescent="0.35">
      <c r="A547" s="10"/>
      <c r="B547" s="10"/>
      <c r="C547" s="10"/>
      <c r="D547" s="10"/>
      <c r="E547" s="10"/>
      <c r="F547" s="10"/>
      <c r="G547" s="10"/>
    </row>
    <row r="548" spans="1:7" ht="14.25" customHeight="1" x14ac:dyDescent="0.35">
      <c r="A548" s="10"/>
      <c r="B548" s="10"/>
      <c r="C548" s="10"/>
      <c r="D548" s="10"/>
      <c r="E548" s="10"/>
      <c r="F548" s="10"/>
      <c r="G548" s="10"/>
    </row>
    <row r="549" spans="1:7" ht="14.25" customHeight="1" x14ac:dyDescent="0.35">
      <c r="A549" s="10"/>
      <c r="B549" s="10"/>
      <c r="C549" s="10"/>
      <c r="D549" s="10"/>
      <c r="E549" s="10"/>
      <c r="F549" s="10"/>
      <c r="G549" s="10"/>
    </row>
    <row r="550" spans="1:7" ht="14.25" customHeight="1" x14ac:dyDescent="0.35">
      <c r="A550" s="10"/>
      <c r="B550" s="10"/>
      <c r="C550" s="10"/>
      <c r="D550" s="10"/>
      <c r="E550" s="10"/>
      <c r="F550" s="10"/>
      <c r="G550" s="10"/>
    </row>
    <row r="551" spans="1:7" ht="14.25" customHeight="1" x14ac:dyDescent="0.35">
      <c r="A551" s="10"/>
      <c r="B551" s="10"/>
      <c r="C551" s="10"/>
      <c r="D551" s="10"/>
      <c r="E551" s="10"/>
      <c r="F551" s="10"/>
      <c r="G551" s="10"/>
    </row>
    <row r="552" spans="1:7" ht="14.25" customHeight="1" x14ac:dyDescent="0.35">
      <c r="A552" s="10"/>
      <c r="B552" s="10"/>
      <c r="C552" s="10"/>
      <c r="D552" s="10"/>
      <c r="E552" s="10"/>
      <c r="F552" s="10"/>
      <c r="G552" s="10"/>
    </row>
    <row r="553" spans="1:7" ht="14.25" customHeight="1" x14ac:dyDescent="0.35">
      <c r="A553" s="10"/>
      <c r="B553" s="10"/>
      <c r="C553" s="10"/>
      <c r="D553" s="10"/>
      <c r="E553" s="10"/>
      <c r="F553" s="10"/>
      <c r="G553" s="10"/>
    </row>
    <row r="554" spans="1:7" ht="14.25" customHeight="1" x14ac:dyDescent="0.35">
      <c r="A554" s="10"/>
      <c r="B554" s="10"/>
      <c r="C554" s="10"/>
      <c r="D554" s="10"/>
      <c r="E554" s="10"/>
      <c r="F554" s="10"/>
      <c r="G554" s="10"/>
    </row>
    <row r="555" spans="1:7" ht="14.25" customHeight="1" x14ac:dyDescent="0.35">
      <c r="A555" s="10"/>
      <c r="B555" s="10"/>
      <c r="C555" s="10"/>
      <c r="D555" s="10"/>
      <c r="E555" s="10"/>
      <c r="F555" s="10"/>
      <c r="G555" s="10"/>
    </row>
    <row r="556" spans="1:7" ht="14.25" customHeight="1" x14ac:dyDescent="0.35">
      <c r="A556" s="10"/>
      <c r="B556" s="10"/>
      <c r="C556" s="10"/>
      <c r="D556" s="10"/>
      <c r="E556" s="10"/>
      <c r="F556" s="10"/>
      <c r="G556" s="10"/>
    </row>
    <row r="557" spans="1:7" ht="14.25" customHeight="1" x14ac:dyDescent="0.35">
      <c r="A557" s="10"/>
      <c r="B557" s="10"/>
      <c r="C557" s="10"/>
      <c r="D557" s="10"/>
      <c r="E557" s="10"/>
      <c r="F557" s="10"/>
      <c r="G557" s="10"/>
    </row>
    <row r="558" spans="1:7" ht="14.25" customHeight="1" x14ac:dyDescent="0.35">
      <c r="A558" s="10"/>
      <c r="B558" s="10"/>
      <c r="C558" s="10"/>
      <c r="D558" s="10"/>
      <c r="E558" s="10"/>
      <c r="F558" s="10"/>
      <c r="G558" s="10"/>
    </row>
    <row r="559" spans="1:7" ht="14.25" customHeight="1" x14ac:dyDescent="0.35">
      <c r="A559" s="10"/>
      <c r="B559" s="10"/>
      <c r="C559" s="10"/>
      <c r="D559" s="10"/>
      <c r="E559" s="10"/>
      <c r="F559" s="10"/>
      <c r="G559" s="10"/>
    </row>
    <row r="560" spans="1:7" ht="14.25" customHeight="1" x14ac:dyDescent="0.35">
      <c r="A560" s="10"/>
      <c r="B560" s="10"/>
      <c r="C560" s="10"/>
      <c r="D560" s="10"/>
      <c r="E560" s="10"/>
      <c r="F560" s="10"/>
      <c r="G560" s="10"/>
    </row>
    <row r="561" spans="1:7" ht="14.25" customHeight="1" x14ac:dyDescent="0.35">
      <c r="A561" s="10"/>
      <c r="B561" s="10"/>
      <c r="C561" s="10"/>
      <c r="D561" s="10"/>
      <c r="E561" s="10"/>
      <c r="F561" s="10"/>
      <c r="G561" s="10"/>
    </row>
    <row r="562" spans="1:7" ht="14.25" customHeight="1" x14ac:dyDescent="0.35">
      <c r="A562" s="10"/>
      <c r="B562" s="10"/>
      <c r="C562" s="10"/>
      <c r="D562" s="10"/>
      <c r="E562" s="10"/>
      <c r="F562" s="10"/>
      <c r="G562" s="10"/>
    </row>
    <row r="563" spans="1:7" ht="14.25" customHeight="1" x14ac:dyDescent="0.35">
      <c r="A563" s="10"/>
      <c r="B563" s="10"/>
      <c r="C563" s="10"/>
      <c r="D563" s="10"/>
      <c r="E563" s="10"/>
      <c r="F563" s="10"/>
      <c r="G563" s="10"/>
    </row>
    <row r="564" spans="1:7" ht="14.25" customHeight="1" x14ac:dyDescent="0.35">
      <c r="A564" s="10"/>
      <c r="B564" s="10"/>
      <c r="C564" s="10"/>
      <c r="D564" s="10"/>
      <c r="E564" s="10"/>
      <c r="F564" s="10"/>
      <c r="G564" s="10"/>
    </row>
    <row r="565" spans="1:7" ht="14.25" customHeight="1" x14ac:dyDescent="0.35">
      <c r="A565" s="10"/>
      <c r="B565" s="10"/>
      <c r="C565" s="10"/>
      <c r="D565" s="10"/>
      <c r="E565" s="10"/>
      <c r="F565" s="10"/>
      <c r="G565" s="10"/>
    </row>
    <row r="566" spans="1:7" ht="14.25" customHeight="1" x14ac:dyDescent="0.35">
      <c r="A566" s="10"/>
      <c r="B566" s="10"/>
      <c r="C566" s="10"/>
      <c r="D566" s="10"/>
      <c r="E566" s="10"/>
      <c r="F566" s="10"/>
      <c r="G566" s="10"/>
    </row>
    <row r="567" spans="1:7" ht="14.25" customHeight="1" x14ac:dyDescent="0.35">
      <c r="A567" s="10"/>
      <c r="B567" s="10"/>
      <c r="C567" s="10"/>
      <c r="D567" s="10"/>
      <c r="E567" s="10"/>
      <c r="F567" s="10"/>
      <c r="G567" s="10"/>
    </row>
    <row r="568" spans="1:7" ht="14.25" customHeight="1" x14ac:dyDescent="0.35">
      <c r="A568" s="10"/>
      <c r="B568" s="10"/>
      <c r="C568" s="10"/>
      <c r="D568" s="10"/>
      <c r="E568" s="10"/>
      <c r="F568" s="10"/>
      <c r="G568" s="10"/>
    </row>
    <row r="569" spans="1:7" ht="14.25" customHeight="1" x14ac:dyDescent="0.35">
      <c r="A569" s="10"/>
      <c r="B569" s="10"/>
      <c r="C569" s="10"/>
      <c r="D569" s="10"/>
      <c r="E569" s="10"/>
      <c r="F569" s="10"/>
      <c r="G569" s="10"/>
    </row>
    <row r="570" spans="1:7" ht="14.25" customHeight="1" x14ac:dyDescent="0.35">
      <c r="A570" s="10"/>
      <c r="B570" s="10"/>
      <c r="C570" s="10"/>
      <c r="D570" s="10"/>
      <c r="E570" s="10"/>
      <c r="F570" s="10"/>
      <c r="G570" s="10"/>
    </row>
    <row r="571" spans="1:7" ht="14.25" customHeight="1" x14ac:dyDescent="0.35">
      <c r="A571" s="10"/>
      <c r="B571" s="10"/>
      <c r="C571" s="10"/>
      <c r="D571" s="10"/>
      <c r="E571" s="10"/>
      <c r="F571" s="10"/>
      <c r="G571" s="10"/>
    </row>
    <row r="572" spans="1:7" ht="14.25" customHeight="1" x14ac:dyDescent="0.35">
      <c r="A572" s="10"/>
      <c r="B572" s="10"/>
      <c r="C572" s="10"/>
      <c r="D572" s="10"/>
      <c r="E572" s="10"/>
      <c r="F572" s="10"/>
      <c r="G572" s="10"/>
    </row>
    <row r="573" spans="1:7" ht="14.25" customHeight="1" x14ac:dyDescent="0.35">
      <c r="A573" s="10"/>
      <c r="B573" s="10"/>
      <c r="C573" s="10"/>
      <c r="D573" s="10"/>
      <c r="E573" s="10"/>
      <c r="F573" s="10"/>
      <c r="G573" s="10"/>
    </row>
    <row r="574" spans="1:7" ht="14.25" customHeight="1" x14ac:dyDescent="0.35">
      <c r="A574" s="10"/>
      <c r="B574" s="10"/>
      <c r="C574" s="10"/>
      <c r="D574" s="10"/>
      <c r="E574" s="10"/>
      <c r="F574" s="10"/>
      <c r="G574" s="10"/>
    </row>
    <row r="575" spans="1:7" ht="14.25" customHeight="1" x14ac:dyDescent="0.35">
      <c r="A575" s="10"/>
      <c r="B575" s="10"/>
      <c r="C575" s="10"/>
      <c r="D575" s="10"/>
      <c r="E575" s="10"/>
      <c r="F575" s="10"/>
      <c r="G575" s="10"/>
    </row>
    <row r="576" spans="1:7" ht="14.25" customHeight="1" x14ac:dyDescent="0.35">
      <c r="A576" s="10"/>
      <c r="B576" s="10"/>
      <c r="C576" s="10"/>
      <c r="D576" s="10"/>
      <c r="E576" s="10"/>
      <c r="F576" s="10"/>
      <c r="G576" s="10"/>
    </row>
    <row r="577" spans="1:7" ht="14.25" customHeight="1" x14ac:dyDescent="0.35">
      <c r="A577" s="10"/>
      <c r="B577" s="10"/>
      <c r="C577" s="10"/>
      <c r="D577" s="10"/>
      <c r="E577" s="10"/>
      <c r="F577" s="10"/>
      <c r="G577" s="10"/>
    </row>
    <row r="578" spans="1:7" ht="14.25" customHeight="1" x14ac:dyDescent="0.35">
      <c r="A578" s="10"/>
      <c r="B578" s="10"/>
      <c r="C578" s="10"/>
      <c r="D578" s="10"/>
      <c r="E578" s="10"/>
      <c r="F578" s="10"/>
      <c r="G578" s="10"/>
    </row>
    <row r="579" spans="1:7" ht="14.25" customHeight="1" x14ac:dyDescent="0.35">
      <c r="A579" s="10"/>
      <c r="B579" s="10"/>
      <c r="C579" s="10"/>
      <c r="D579" s="10"/>
      <c r="E579" s="10"/>
      <c r="F579" s="10"/>
      <c r="G579" s="10"/>
    </row>
    <row r="580" spans="1:7" ht="14.25" customHeight="1" x14ac:dyDescent="0.35">
      <c r="A580" s="10"/>
      <c r="B580" s="10"/>
      <c r="C580" s="10"/>
      <c r="D580" s="10"/>
      <c r="E580" s="10"/>
      <c r="F580" s="10"/>
      <c r="G580" s="10"/>
    </row>
    <row r="581" spans="1:7" ht="14.25" customHeight="1" x14ac:dyDescent="0.35">
      <c r="A581" s="10"/>
      <c r="B581" s="10"/>
      <c r="C581" s="10"/>
      <c r="D581" s="10"/>
      <c r="E581" s="10"/>
      <c r="F581" s="10"/>
      <c r="G581" s="10"/>
    </row>
    <row r="582" spans="1:7" ht="14.25" customHeight="1" x14ac:dyDescent="0.35">
      <c r="A582" s="10"/>
      <c r="B582" s="10"/>
      <c r="C582" s="10"/>
      <c r="D582" s="10"/>
      <c r="E582" s="10"/>
      <c r="F582" s="10"/>
      <c r="G582" s="10"/>
    </row>
    <row r="583" spans="1:7" ht="14.25" customHeight="1" x14ac:dyDescent="0.35">
      <c r="A583" s="10"/>
      <c r="B583" s="10"/>
      <c r="C583" s="10"/>
      <c r="D583" s="10"/>
      <c r="E583" s="10"/>
      <c r="F583" s="10"/>
      <c r="G583" s="10"/>
    </row>
    <row r="584" spans="1:7" ht="14.25" customHeight="1" x14ac:dyDescent="0.35">
      <c r="A584" s="10"/>
      <c r="B584" s="10"/>
      <c r="C584" s="10"/>
      <c r="D584" s="10"/>
      <c r="E584" s="10"/>
      <c r="F584" s="10"/>
      <c r="G584" s="10"/>
    </row>
    <row r="585" spans="1:7" ht="14.25" customHeight="1" x14ac:dyDescent="0.35">
      <c r="A585" s="10"/>
      <c r="B585" s="10"/>
      <c r="C585" s="10"/>
      <c r="D585" s="10"/>
      <c r="E585" s="10"/>
      <c r="F585" s="10"/>
      <c r="G585" s="10"/>
    </row>
    <row r="586" spans="1:7" ht="14.25" customHeight="1" x14ac:dyDescent="0.35">
      <c r="A586" s="10"/>
      <c r="B586" s="10"/>
      <c r="C586" s="10"/>
      <c r="D586" s="10"/>
      <c r="E586" s="10"/>
      <c r="F586" s="10"/>
      <c r="G586" s="10"/>
    </row>
    <row r="587" spans="1:7" ht="14.25" customHeight="1" x14ac:dyDescent="0.35">
      <c r="A587" s="10"/>
      <c r="B587" s="10"/>
      <c r="C587" s="10"/>
      <c r="D587" s="10"/>
      <c r="E587" s="10"/>
      <c r="F587" s="10"/>
      <c r="G587" s="10"/>
    </row>
    <row r="588" spans="1:7" ht="14.25" customHeight="1" x14ac:dyDescent="0.35">
      <c r="A588" s="10"/>
      <c r="B588" s="10"/>
      <c r="C588" s="10"/>
      <c r="D588" s="10"/>
      <c r="E588" s="10"/>
      <c r="F588" s="10"/>
      <c r="G588" s="10"/>
    </row>
    <row r="589" spans="1:7" ht="14.25" customHeight="1" x14ac:dyDescent="0.35">
      <c r="A589" s="10"/>
      <c r="B589" s="10"/>
      <c r="C589" s="10"/>
      <c r="D589" s="10"/>
      <c r="E589" s="10"/>
      <c r="F589" s="10"/>
      <c r="G589" s="10"/>
    </row>
    <row r="590" spans="1:7" ht="14.25" customHeight="1" x14ac:dyDescent="0.35">
      <c r="A590" s="10"/>
      <c r="B590" s="10"/>
      <c r="C590" s="10"/>
      <c r="D590" s="10"/>
      <c r="E590" s="10"/>
      <c r="F590" s="10"/>
      <c r="G590" s="10"/>
    </row>
    <row r="591" spans="1:7" ht="14.25" customHeight="1" x14ac:dyDescent="0.35">
      <c r="A591" s="10"/>
      <c r="B591" s="10"/>
      <c r="C591" s="10"/>
      <c r="D591" s="10"/>
      <c r="E591" s="10"/>
      <c r="F591" s="10"/>
      <c r="G591" s="10"/>
    </row>
    <row r="592" spans="1:7" ht="14.25" customHeight="1" x14ac:dyDescent="0.35">
      <c r="A592" s="10"/>
      <c r="B592" s="10"/>
      <c r="C592" s="10"/>
      <c r="D592" s="10"/>
      <c r="E592" s="10"/>
      <c r="F592" s="10"/>
      <c r="G592" s="10"/>
    </row>
    <row r="593" spans="1:7" ht="14.25" customHeight="1" x14ac:dyDescent="0.35">
      <c r="A593" s="10"/>
      <c r="B593" s="10"/>
      <c r="C593" s="10"/>
      <c r="D593" s="10"/>
      <c r="E593" s="10"/>
      <c r="F593" s="10"/>
      <c r="G593" s="10"/>
    </row>
    <row r="594" spans="1:7" ht="14.25" customHeight="1" x14ac:dyDescent="0.35">
      <c r="A594" s="10"/>
      <c r="B594" s="10"/>
      <c r="C594" s="10"/>
      <c r="D594" s="10"/>
      <c r="E594" s="10"/>
      <c r="F594" s="10"/>
      <c r="G594" s="10"/>
    </row>
    <row r="595" spans="1:7" ht="14.25" customHeight="1" x14ac:dyDescent="0.35">
      <c r="A595" s="10"/>
      <c r="B595" s="10"/>
      <c r="C595" s="10"/>
      <c r="D595" s="10"/>
      <c r="E595" s="10"/>
      <c r="F595" s="10"/>
      <c r="G595" s="10"/>
    </row>
    <row r="596" spans="1:7" ht="14.25" customHeight="1" x14ac:dyDescent="0.35">
      <c r="A596" s="10"/>
      <c r="B596" s="10"/>
      <c r="C596" s="10"/>
      <c r="D596" s="10"/>
      <c r="E596" s="10"/>
      <c r="F596" s="10"/>
      <c r="G596" s="10"/>
    </row>
    <row r="597" spans="1:7" ht="14.25" customHeight="1" x14ac:dyDescent="0.35">
      <c r="A597" s="10"/>
      <c r="B597" s="10"/>
      <c r="C597" s="10"/>
      <c r="D597" s="10"/>
      <c r="E597" s="10"/>
      <c r="F597" s="10"/>
      <c r="G597" s="10"/>
    </row>
    <row r="598" spans="1:7" ht="14.25" customHeight="1" x14ac:dyDescent="0.35">
      <c r="A598" s="10"/>
      <c r="B598" s="10"/>
      <c r="C598" s="10"/>
      <c r="D598" s="10"/>
      <c r="E598" s="10"/>
      <c r="F598" s="10"/>
      <c r="G598" s="10"/>
    </row>
    <row r="599" spans="1:7" ht="14.25" customHeight="1" x14ac:dyDescent="0.35">
      <c r="A599" s="10"/>
      <c r="B599" s="10"/>
      <c r="C599" s="10"/>
      <c r="D599" s="10"/>
      <c r="E599" s="10"/>
      <c r="F599" s="10"/>
      <c r="G599" s="10"/>
    </row>
    <row r="600" spans="1:7" ht="14.25" customHeight="1" x14ac:dyDescent="0.35">
      <c r="A600" s="10"/>
      <c r="B600" s="10"/>
      <c r="C600" s="10"/>
      <c r="D600" s="10"/>
      <c r="E600" s="10"/>
      <c r="F600" s="10"/>
      <c r="G600" s="10"/>
    </row>
    <row r="601" spans="1:7" ht="14.25" customHeight="1" x14ac:dyDescent="0.35">
      <c r="A601" s="10"/>
      <c r="B601" s="10"/>
      <c r="C601" s="10"/>
      <c r="D601" s="10"/>
      <c r="E601" s="10"/>
      <c r="F601" s="10"/>
      <c r="G601" s="10"/>
    </row>
    <row r="602" spans="1:7" ht="14.25" customHeight="1" x14ac:dyDescent="0.35">
      <c r="A602" s="10"/>
      <c r="B602" s="10"/>
      <c r="C602" s="10"/>
      <c r="D602" s="10"/>
      <c r="E602" s="10"/>
      <c r="F602" s="10"/>
      <c r="G602" s="10"/>
    </row>
    <row r="603" spans="1:7" ht="14.25" customHeight="1" x14ac:dyDescent="0.35">
      <c r="A603" s="10"/>
      <c r="B603" s="10"/>
      <c r="C603" s="10"/>
      <c r="D603" s="10"/>
      <c r="E603" s="10"/>
      <c r="F603" s="10"/>
      <c r="G603" s="10"/>
    </row>
    <row r="604" spans="1:7" ht="14.25" customHeight="1" x14ac:dyDescent="0.35">
      <c r="A604" s="10"/>
      <c r="B604" s="10"/>
      <c r="C604" s="10"/>
      <c r="D604" s="10"/>
      <c r="E604" s="10"/>
      <c r="F604" s="10"/>
      <c r="G604" s="10"/>
    </row>
    <row r="605" spans="1:7" ht="14.25" customHeight="1" x14ac:dyDescent="0.35">
      <c r="A605" s="10"/>
      <c r="B605" s="10"/>
      <c r="C605" s="10"/>
      <c r="D605" s="10"/>
      <c r="E605" s="10"/>
      <c r="F605" s="10"/>
      <c r="G605" s="10"/>
    </row>
    <row r="606" spans="1:7" ht="14.25" customHeight="1" x14ac:dyDescent="0.35">
      <c r="A606" s="10"/>
      <c r="B606" s="10"/>
      <c r="C606" s="10"/>
      <c r="D606" s="10"/>
      <c r="E606" s="10"/>
      <c r="F606" s="10"/>
      <c r="G606" s="10"/>
    </row>
    <row r="607" spans="1:7" ht="14.25" customHeight="1" x14ac:dyDescent="0.35">
      <c r="A607" s="10"/>
      <c r="B607" s="10"/>
      <c r="C607" s="10"/>
      <c r="D607" s="10"/>
      <c r="E607" s="10"/>
      <c r="F607" s="10"/>
      <c r="G607" s="10"/>
    </row>
    <row r="608" spans="1:7" ht="14.25" customHeight="1" x14ac:dyDescent="0.35">
      <c r="A608" s="10"/>
      <c r="B608" s="10"/>
      <c r="C608" s="10"/>
      <c r="D608" s="10"/>
      <c r="E608" s="10"/>
      <c r="F608" s="10"/>
      <c r="G608" s="10"/>
    </row>
    <row r="609" spans="1:7" ht="14.25" customHeight="1" x14ac:dyDescent="0.35">
      <c r="A609" s="10"/>
      <c r="B609" s="10"/>
      <c r="C609" s="10"/>
      <c r="D609" s="10"/>
      <c r="E609" s="10"/>
      <c r="F609" s="10"/>
      <c r="G609" s="10"/>
    </row>
    <row r="610" spans="1:7" ht="14.25" customHeight="1" x14ac:dyDescent="0.35">
      <c r="A610" s="10"/>
      <c r="B610" s="10"/>
      <c r="C610" s="10"/>
      <c r="D610" s="10"/>
      <c r="E610" s="10"/>
      <c r="F610" s="10"/>
      <c r="G610" s="10"/>
    </row>
    <row r="611" spans="1:7" ht="14.25" customHeight="1" x14ac:dyDescent="0.35">
      <c r="A611" s="10"/>
      <c r="B611" s="10"/>
      <c r="C611" s="10"/>
      <c r="D611" s="10"/>
      <c r="E611" s="10"/>
      <c r="F611" s="10"/>
      <c r="G611" s="10"/>
    </row>
    <row r="612" spans="1:7" ht="14.25" customHeight="1" x14ac:dyDescent="0.35">
      <c r="A612" s="10"/>
      <c r="B612" s="10"/>
      <c r="C612" s="10"/>
      <c r="D612" s="10"/>
      <c r="E612" s="10"/>
      <c r="F612" s="10"/>
      <c r="G612" s="10"/>
    </row>
    <row r="613" spans="1:7" ht="14.25" customHeight="1" x14ac:dyDescent="0.35">
      <c r="A613" s="10"/>
      <c r="B613" s="10"/>
      <c r="C613" s="10"/>
      <c r="D613" s="10"/>
      <c r="E613" s="10"/>
      <c r="F613" s="10"/>
      <c r="G613" s="10"/>
    </row>
    <row r="614" spans="1:7" ht="14.25" customHeight="1" x14ac:dyDescent="0.35">
      <c r="A614" s="10"/>
      <c r="B614" s="10"/>
      <c r="C614" s="10"/>
      <c r="D614" s="10"/>
      <c r="E614" s="10"/>
      <c r="F614" s="10"/>
      <c r="G614" s="10"/>
    </row>
    <row r="615" spans="1:7" ht="14.25" customHeight="1" x14ac:dyDescent="0.35">
      <c r="A615" s="10"/>
      <c r="B615" s="10"/>
      <c r="C615" s="10"/>
      <c r="D615" s="10"/>
      <c r="E615" s="10"/>
      <c r="F615" s="10"/>
      <c r="G615" s="10"/>
    </row>
    <row r="616" spans="1:7" ht="14.25" customHeight="1" x14ac:dyDescent="0.35">
      <c r="A616" s="10"/>
      <c r="B616" s="10"/>
      <c r="C616" s="10"/>
      <c r="D616" s="10"/>
      <c r="E616" s="10"/>
      <c r="F616" s="10"/>
      <c r="G616" s="10"/>
    </row>
    <row r="617" spans="1:7" ht="14.25" customHeight="1" x14ac:dyDescent="0.35">
      <c r="A617" s="10"/>
      <c r="B617" s="10"/>
      <c r="C617" s="10"/>
      <c r="D617" s="10"/>
      <c r="E617" s="10"/>
      <c r="F617" s="10"/>
      <c r="G617" s="10"/>
    </row>
    <row r="618" spans="1:7" ht="14.25" customHeight="1" x14ac:dyDescent="0.35">
      <c r="A618" s="10"/>
      <c r="B618" s="10"/>
      <c r="C618" s="10"/>
      <c r="D618" s="10"/>
      <c r="E618" s="10"/>
      <c r="F618" s="10"/>
      <c r="G618" s="10"/>
    </row>
    <row r="619" spans="1:7" ht="14.25" customHeight="1" x14ac:dyDescent="0.35">
      <c r="A619" s="10"/>
      <c r="B619" s="10"/>
      <c r="C619" s="10"/>
      <c r="D619" s="10"/>
      <c r="E619" s="10"/>
      <c r="F619" s="10"/>
      <c r="G619" s="10"/>
    </row>
    <row r="620" spans="1:7" ht="14.25" customHeight="1" x14ac:dyDescent="0.35">
      <c r="A620" s="10"/>
      <c r="B620" s="10"/>
      <c r="C620" s="10"/>
      <c r="D620" s="10"/>
      <c r="E620" s="10"/>
      <c r="F620" s="10"/>
      <c r="G620" s="10"/>
    </row>
    <row r="621" spans="1:7" ht="14.25" customHeight="1" x14ac:dyDescent="0.35">
      <c r="A621" s="10"/>
      <c r="B621" s="10"/>
      <c r="C621" s="10"/>
      <c r="D621" s="10"/>
      <c r="E621" s="10"/>
      <c r="F621" s="10"/>
      <c r="G621" s="10"/>
    </row>
    <row r="622" spans="1:7" ht="14.25" customHeight="1" x14ac:dyDescent="0.35">
      <c r="A622" s="10"/>
      <c r="B622" s="10"/>
      <c r="C622" s="10"/>
      <c r="D622" s="10"/>
      <c r="E622" s="10"/>
      <c r="F622" s="10"/>
      <c r="G622" s="10"/>
    </row>
    <row r="623" spans="1:7" ht="14.25" customHeight="1" x14ac:dyDescent="0.35">
      <c r="A623" s="10"/>
      <c r="B623" s="10"/>
      <c r="C623" s="10"/>
      <c r="D623" s="10"/>
      <c r="E623" s="10"/>
      <c r="F623" s="10"/>
      <c r="G623" s="10"/>
    </row>
    <row r="624" spans="1:7" ht="14.25" customHeight="1" x14ac:dyDescent="0.35">
      <c r="A624" s="10"/>
      <c r="B624" s="10"/>
      <c r="C624" s="10"/>
      <c r="D624" s="10"/>
      <c r="E624" s="10"/>
      <c r="F624" s="10"/>
      <c r="G624" s="10"/>
    </row>
    <row r="625" spans="1:7" ht="14.25" customHeight="1" x14ac:dyDescent="0.35">
      <c r="A625" s="10"/>
      <c r="B625" s="10"/>
      <c r="C625" s="10"/>
      <c r="D625" s="10"/>
      <c r="E625" s="10"/>
      <c r="F625" s="10"/>
      <c r="G625" s="10"/>
    </row>
    <row r="626" spans="1:7" ht="14.25" customHeight="1" x14ac:dyDescent="0.35">
      <c r="A626" s="10"/>
      <c r="B626" s="10"/>
      <c r="C626" s="10"/>
      <c r="D626" s="10"/>
      <c r="E626" s="10"/>
      <c r="F626" s="10"/>
      <c r="G626" s="10"/>
    </row>
    <row r="627" spans="1:7" ht="14.25" customHeight="1" x14ac:dyDescent="0.35">
      <c r="A627" s="10"/>
      <c r="B627" s="10"/>
      <c r="C627" s="10"/>
      <c r="D627" s="10"/>
      <c r="E627" s="10"/>
      <c r="F627" s="10"/>
      <c r="G627" s="10"/>
    </row>
    <row r="628" spans="1:7" ht="14.25" customHeight="1" x14ac:dyDescent="0.35">
      <c r="A628" s="10"/>
      <c r="B628" s="10"/>
      <c r="C628" s="10"/>
      <c r="D628" s="10"/>
      <c r="E628" s="10"/>
      <c r="F628" s="10"/>
      <c r="G628" s="10"/>
    </row>
    <row r="629" spans="1:7" ht="14.25" customHeight="1" x14ac:dyDescent="0.35">
      <c r="A629" s="10"/>
      <c r="B629" s="10"/>
      <c r="C629" s="10"/>
      <c r="D629" s="10"/>
      <c r="E629" s="10"/>
      <c r="F629" s="10"/>
      <c r="G629" s="10"/>
    </row>
    <row r="630" spans="1:7" ht="14.25" customHeight="1" x14ac:dyDescent="0.35">
      <c r="A630" s="10"/>
      <c r="B630" s="10"/>
      <c r="C630" s="10"/>
      <c r="D630" s="10"/>
      <c r="E630" s="10"/>
      <c r="F630" s="10"/>
      <c r="G630" s="10"/>
    </row>
    <row r="631" spans="1:7" ht="14.25" customHeight="1" x14ac:dyDescent="0.35">
      <c r="A631" s="10"/>
      <c r="B631" s="10"/>
      <c r="C631" s="10"/>
      <c r="D631" s="10"/>
      <c r="E631" s="10"/>
      <c r="F631" s="10"/>
      <c r="G631" s="10"/>
    </row>
    <row r="632" spans="1:7" ht="14.25" customHeight="1" x14ac:dyDescent="0.35">
      <c r="A632" s="10"/>
      <c r="B632" s="10"/>
      <c r="C632" s="10"/>
      <c r="D632" s="10"/>
      <c r="E632" s="10"/>
      <c r="F632" s="10"/>
      <c r="G632" s="10"/>
    </row>
    <row r="633" spans="1:7" ht="14.25" customHeight="1" x14ac:dyDescent="0.35">
      <c r="A633" s="10"/>
      <c r="B633" s="10"/>
      <c r="C633" s="10"/>
      <c r="D633" s="10"/>
      <c r="E633" s="10"/>
      <c r="F633" s="10"/>
      <c r="G633" s="10"/>
    </row>
    <row r="634" spans="1:7" ht="14.25" customHeight="1" x14ac:dyDescent="0.35">
      <c r="A634" s="10"/>
      <c r="B634" s="10"/>
      <c r="C634" s="10"/>
      <c r="D634" s="10"/>
      <c r="E634" s="10"/>
      <c r="F634" s="10"/>
      <c r="G634" s="10"/>
    </row>
    <row r="635" spans="1:7" ht="14.25" customHeight="1" x14ac:dyDescent="0.35">
      <c r="A635" s="10"/>
      <c r="B635" s="10"/>
      <c r="C635" s="10"/>
      <c r="D635" s="10"/>
      <c r="E635" s="10"/>
      <c r="F635" s="10"/>
      <c r="G635" s="10"/>
    </row>
    <row r="636" spans="1:7" ht="14.25" customHeight="1" x14ac:dyDescent="0.35">
      <c r="A636" s="10"/>
      <c r="B636" s="10"/>
      <c r="C636" s="10"/>
      <c r="D636" s="10"/>
      <c r="E636" s="10"/>
      <c r="F636" s="10"/>
      <c r="G636" s="10"/>
    </row>
    <row r="637" spans="1:7" ht="14.25" customHeight="1" x14ac:dyDescent="0.35">
      <c r="A637" s="10"/>
      <c r="B637" s="10"/>
      <c r="C637" s="10"/>
      <c r="D637" s="10"/>
      <c r="E637" s="10"/>
      <c r="F637" s="10"/>
      <c r="G637" s="10"/>
    </row>
    <row r="638" spans="1:7" ht="14.25" customHeight="1" x14ac:dyDescent="0.35">
      <c r="A638" s="10"/>
      <c r="B638" s="10"/>
      <c r="C638" s="10"/>
      <c r="D638" s="10"/>
      <c r="E638" s="10"/>
      <c r="F638" s="10"/>
      <c r="G638" s="10"/>
    </row>
    <row r="639" spans="1:7" ht="14.25" customHeight="1" x14ac:dyDescent="0.35">
      <c r="A639" s="10"/>
      <c r="B639" s="10"/>
      <c r="C639" s="10"/>
      <c r="D639" s="10"/>
      <c r="E639" s="10"/>
      <c r="F639" s="10"/>
      <c r="G639" s="10"/>
    </row>
    <row r="640" spans="1:7" ht="14.25" customHeight="1" x14ac:dyDescent="0.35">
      <c r="A640" s="10"/>
      <c r="B640" s="10"/>
      <c r="C640" s="10"/>
      <c r="D640" s="10"/>
      <c r="E640" s="10"/>
      <c r="F640" s="10"/>
      <c r="G640" s="10"/>
    </row>
    <row r="641" spans="1:7" ht="14.25" customHeight="1" x14ac:dyDescent="0.35">
      <c r="A641" s="10"/>
      <c r="B641" s="10"/>
      <c r="C641" s="10"/>
      <c r="D641" s="10"/>
      <c r="E641" s="10"/>
      <c r="F641" s="10"/>
      <c r="G641" s="10"/>
    </row>
    <row r="642" spans="1:7" ht="14.25" customHeight="1" x14ac:dyDescent="0.35">
      <c r="A642" s="10"/>
      <c r="B642" s="10"/>
      <c r="C642" s="10"/>
      <c r="D642" s="10"/>
      <c r="E642" s="10"/>
      <c r="F642" s="10"/>
      <c r="G642" s="10"/>
    </row>
    <row r="643" spans="1:7" ht="14.25" customHeight="1" x14ac:dyDescent="0.35">
      <c r="A643" s="10"/>
      <c r="B643" s="10"/>
      <c r="C643" s="10"/>
      <c r="D643" s="10"/>
      <c r="E643" s="10"/>
      <c r="F643" s="10"/>
      <c r="G643" s="10"/>
    </row>
    <row r="644" spans="1:7" ht="14.25" customHeight="1" x14ac:dyDescent="0.35">
      <c r="A644" s="10"/>
      <c r="B644" s="10"/>
      <c r="C644" s="10"/>
      <c r="D644" s="10"/>
      <c r="E644" s="10"/>
      <c r="F644" s="10"/>
      <c r="G644" s="10"/>
    </row>
    <row r="645" spans="1:7" ht="14.25" customHeight="1" x14ac:dyDescent="0.35">
      <c r="A645" s="10"/>
      <c r="B645" s="10"/>
      <c r="C645" s="10"/>
      <c r="D645" s="10"/>
      <c r="E645" s="10"/>
      <c r="F645" s="10"/>
      <c r="G645" s="10"/>
    </row>
    <row r="646" spans="1:7" ht="14.25" customHeight="1" x14ac:dyDescent="0.35">
      <c r="A646" s="10"/>
      <c r="B646" s="10"/>
      <c r="C646" s="10"/>
      <c r="D646" s="10"/>
      <c r="E646" s="10"/>
      <c r="F646" s="10"/>
      <c r="G646" s="10"/>
    </row>
    <row r="647" spans="1:7" ht="14.25" customHeight="1" x14ac:dyDescent="0.35">
      <c r="A647" s="10"/>
      <c r="B647" s="10"/>
      <c r="C647" s="10"/>
      <c r="D647" s="10"/>
      <c r="E647" s="10"/>
      <c r="F647" s="10"/>
      <c r="G647" s="10"/>
    </row>
    <row r="648" spans="1:7" ht="14.25" customHeight="1" x14ac:dyDescent="0.35">
      <c r="A648" s="10"/>
      <c r="B648" s="10"/>
      <c r="C648" s="10"/>
      <c r="D648" s="10"/>
      <c r="E648" s="10"/>
      <c r="F648" s="10"/>
      <c r="G648" s="10"/>
    </row>
    <row r="649" spans="1:7" ht="14.25" customHeight="1" x14ac:dyDescent="0.35">
      <c r="A649" s="10"/>
      <c r="B649" s="10"/>
      <c r="C649" s="10"/>
      <c r="D649" s="10"/>
      <c r="E649" s="10"/>
      <c r="F649" s="10"/>
      <c r="G649" s="10"/>
    </row>
    <row r="650" spans="1:7" ht="14.25" customHeight="1" x14ac:dyDescent="0.35">
      <c r="A650" s="10"/>
      <c r="B650" s="10"/>
      <c r="C650" s="10"/>
      <c r="D650" s="10"/>
      <c r="E650" s="10"/>
      <c r="F650" s="10"/>
      <c r="G650" s="10"/>
    </row>
    <row r="651" spans="1:7" ht="14.25" customHeight="1" x14ac:dyDescent="0.35">
      <c r="A651" s="10"/>
      <c r="B651" s="10"/>
      <c r="C651" s="10"/>
      <c r="D651" s="10"/>
      <c r="E651" s="10"/>
      <c r="F651" s="10"/>
      <c r="G651" s="10"/>
    </row>
    <row r="652" spans="1:7" ht="14.25" customHeight="1" x14ac:dyDescent="0.35">
      <c r="A652" s="10"/>
      <c r="B652" s="10"/>
      <c r="C652" s="10"/>
      <c r="D652" s="10"/>
      <c r="E652" s="10"/>
      <c r="F652" s="10"/>
      <c r="G652" s="10"/>
    </row>
    <row r="653" spans="1:7" ht="14.25" customHeight="1" x14ac:dyDescent="0.35">
      <c r="A653" s="10"/>
      <c r="B653" s="10"/>
      <c r="C653" s="10"/>
      <c r="D653" s="10"/>
      <c r="E653" s="10"/>
      <c r="F653" s="10"/>
      <c r="G653" s="10"/>
    </row>
    <row r="654" spans="1:7" ht="14.25" customHeight="1" x14ac:dyDescent="0.35">
      <c r="A654" s="10"/>
      <c r="B654" s="10"/>
      <c r="C654" s="10"/>
      <c r="D654" s="10"/>
      <c r="E654" s="10"/>
      <c r="F654" s="10"/>
      <c r="G654" s="10"/>
    </row>
    <row r="655" spans="1:7" ht="14.25" customHeight="1" x14ac:dyDescent="0.35">
      <c r="A655" s="10"/>
      <c r="B655" s="10"/>
      <c r="C655" s="10"/>
      <c r="D655" s="10"/>
      <c r="E655" s="10"/>
      <c r="F655" s="10"/>
      <c r="G655" s="10"/>
    </row>
    <row r="656" spans="1:7" ht="14.25" customHeight="1" x14ac:dyDescent="0.35">
      <c r="A656" s="10"/>
      <c r="B656" s="10"/>
      <c r="C656" s="10"/>
      <c r="D656" s="10"/>
      <c r="E656" s="10"/>
      <c r="F656" s="10"/>
      <c r="G656" s="10"/>
    </row>
    <row r="657" spans="1:7" ht="14.25" customHeight="1" x14ac:dyDescent="0.35">
      <c r="A657" s="10"/>
      <c r="B657" s="10"/>
      <c r="C657" s="10"/>
      <c r="D657" s="10"/>
      <c r="E657" s="10"/>
      <c r="F657" s="10"/>
      <c r="G657" s="10"/>
    </row>
    <row r="658" spans="1:7" ht="14.25" customHeight="1" x14ac:dyDescent="0.35">
      <c r="A658" s="10"/>
      <c r="B658" s="10"/>
      <c r="C658" s="10"/>
      <c r="D658" s="10"/>
      <c r="E658" s="10"/>
      <c r="F658" s="10"/>
      <c r="G658" s="10"/>
    </row>
    <row r="659" spans="1:7" ht="14.25" customHeight="1" x14ac:dyDescent="0.35">
      <c r="A659" s="10"/>
      <c r="B659" s="10"/>
      <c r="C659" s="10"/>
      <c r="D659" s="10"/>
      <c r="E659" s="10"/>
      <c r="F659" s="10"/>
      <c r="G659" s="10"/>
    </row>
    <row r="660" spans="1:7" ht="14.25" customHeight="1" x14ac:dyDescent="0.35">
      <c r="A660" s="10"/>
      <c r="B660" s="10"/>
      <c r="C660" s="10"/>
      <c r="D660" s="10"/>
      <c r="E660" s="10"/>
      <c r="F660" s="10"/>
      <c r="G660" s="10"/>
    </row>
    <row r="661" spans="1:7" ht="14.25" customHeight="1" x14ac:dyDescent="0.35">
      <c r="A661" s="10"/>
      <c r="B661" s="10"/>
      <c r="C661" s="10"/>
      <c r="D661" s="10"/>
      <c r="E661" s="10"/>
      <c r="F661" s="10"/>
      <c r="G661" s="10"/>
    </row>
    <row r="662" spans="1:7" ht="14.25" customHeight="1" x14ac:dyDescent="0.35">
      <c r="A662" s="10"/>
      <c r="B662" s="10"/>
      <c r="C662" s="10"/>
      <c r="D662" s="10"/>
      <c r="E662" s="10"/>
      <c r="F662" s="10"/>
      <c r="G662" s="10"/>
    </row>
    <row r="663" spans="1:7" ht="14.25" customHeight="1" x14ac:dyDescent="0.35">
      <c r="A663" s="10"/>
      <c r="B663" s="10"/>
      <c r="C663" s="10"/>
      <c r="D663" s="10"/>
      <c r="E663" s="10"/>
      <c r="F663" s="10"/>
      <c r="G663" s="10"/>
    </row>
    <row r="664" spans="1:7" ht="14.25" customHeight="1" x14ac:dyDescent="0.35">
      <c r="A664" s="10"/>
      <c r="B664" s="10"/>
      <c r="C664" s="10"/>
      <c r="D664" s="10"/>
      <c r="E664" s="10"/>
      <c r="F664" s="10"/>
      <c r="G664" s="10"/>
    </row>
    <row r="665" spans="1:7" ht="14.25" customHeight="1" x14ac:dyDescent="0.35">
      <c r="A665" s="10"/>
      <c r="B665" s="10"/>
      <c r="C665" s="10"/>
      <c r="D665" s="10"/>
      <c r="E665" s="10"/>
      <c r="F665" s="10"/>
      <c r="G665" s="10"/>
    </row>
    <row r="666" spans="1:7" ht="14.25" customHeight="1" x14ac:dyDescent="0.35">
      <c r="A666" s="10"/>
      <c r="B666" s="10"/>
      <c r="C666" s="10"/>
      <c r="D666" s="10"/>
      <c r="E666" s="10"/>
      <c r="F666" s="10"/>
      <c r="G666" s="10"/>
    </row>
    <row r="667" spans="1:7" ht="14.25" customHeight="1" x14ac:dyDescent="0.35">
      <c r="A667" s="10"/>
      <c r="B667" s="10"/>
      <c r="C667" s="10"/>
      <c r="D667" s="10"/>
      <c r="E667" s="10"/>
      <c r="F667" s="10"/>
      <c r="G667" s="10"/>
    </row>
    <row r="668" spans="1:7" ht="14.25" customHeight="1" x14ac:dyDescent="0.35">
      <c r="A668" s="10"/>
      <c r="B668" s="10"/>
      <c r="C668" s="10"/>
      <c r="D668" s="10"/>
      <c r="E668" s="10"/>
      <c r="F668" s="10"/>
      <c r="G668" s="10"/>
    </row>
    <row r="669" spans="1:7" ht="14.25" customHeight="1" x14ac:dyDescent="0.35">
      <c r="A669" s="10"/>
      <c r="B669" s="10"/>
      <c r="C669" s="10"/>
      <c r="D669" s="10"/>
      <c r="E669" s="10"/>
      <c r="F669" s="10"/>
      <c r="G669" s="10"/>
    </row>
    <row r="670" spans="1:7" ht="14.25" customHeight="1" x14ac:dyDescent="0.35">
      <c r="A670" s="10"/>
      <c r="B670" s="10"/>
      <c r="C670" s="10"/>
      <c r="D670" s="10"/>
      <c r="E670" s="10"/>
      <c r="F670" s="10"/>
      <c r="G670" s="10"/>
    </row>
    <row r="671" spans="1:7" ht="14.25" customHeight="1" x14ac:dyDescent="0.35">
      <c r="A671" s="10"/>
      <c r="B671" s="10"/>
      <c r="C671" s="10"/>
      <c r="D671" s="10"/>
      <c r="E671" s="10"/>
      <c r="F671" s="10"/>
      <c r="G671" s="10"/>
    </row>
    <row r="672" spans="1:7" ht="14.25" customHeight="1" x14ac:dyDescent="0.35">
      <c r="A672" s="10"/>
      <c r="B672" s="10"/>
      <c r="C672" s="10"/>
      <c r="D672" s="10"/>
      <c r="E672" s="10"/>
      <c r="F672" s="10"/>
      <c r="G672" s="10"/>
    </row>
    <row r="673" spans="1:7" ht="14.25" customHeight="1" x14ac:dyDescent="0.35">
      <c r="A673" s="10"/>
      <c r="B673" s="10"/>
      <c r="C673" s="10"/>
      <c r="D673" s="10"/>
      <c r="E673" s="10"/>
      <c r="F673" s="10"/>
      <c r="G673" s="10"/>
    </row>
    <row r="674" spans="1:7" ht="14.25" customHeight="1" x14ac:dyDescent="0.35">
      <c r="A674" s="10"/>
      <c r="B674" s="10"/>
      <c r="C674" s="10"/>
      <c r="D674" s="10"/>
      <c r="E674" s="10"/>
      <c r="F674" s="10"/>
      <c r="G674" s="10"/>
    </row>
    <row r="675" spans="1:7" ht="14.25" customHeight="1" x14ac:dyDescent="0.35">
      <c r="A675" s="10"/>
      <c r="B675" s="10"/>
      <c r="C675" s="10"/>
      <c r="D675" s="10"/>
      <c r="E675" s="10"/>
      <c r="F675" s="10"/>
      <c r="G675" s="10"/>
    </row>
    <row r="676" spans="1:7" ht="14.25" customHeight="1" x14ac:dyDescent="0.35">
      <c r="A676" s="10"/>
      <c r="B676" s="10"/>
      <c r="C676" s="10"/>
      <c r="D676" s="10"/>
      <c r="E676" s="10"/>
      <c r="F676" s="10"/>
      <c r="G676" s="10"/>
    </row>
    <row r="677" spans="1:7" ht="14.25" customHeight="1" x14ac:dyDescent="0.35">
      <c r="A677" s="10"/>
      <c r="B677" s="10"/>
      <c r="C677" s="10"/>
      <c r="D677" s="10"/>
      <c r="E677" s="10"/>
      <c r="F677" s="10"/>
      <c r="G677" s="10"/>
    </row>
    <row r="678" spans="1:7" ht="14.25" customHeight="1" x14ac:dyDescent="0.35">
      <c r="A678" s="10"/>
      <c r="B678" s="10"/>
      <c r="C678" s="10"/>
      <c r="D678" s="10"/>
      <c r="E678" s="10"/>
      <c r="F678" s="10"/>
      <c r="G678" s="10"/>
    </row>
    <row r="679" spans="1:7" ht="14.25" customHeight="1" x14ac:dyDescent="0.35">
      <c r="A679" s="10"/>
      <c r="B679" s="10"/>
      <c r="C679" s="10"/>
      <c r="D679" s="10"/>
      <c r="E679" s="10"/>
      <c r="F679" s="10"/>
      <c r="G679" s="10"/>
    </row>
    <row r="680" spans="1:7" ht="14.25" customHeight="1" x14ac:dyDescent="0.35">
      <c r="A680" s="10"/>
      <c r="B680" s="10"/>
      <c r="C680" s="10"/>
      <c r="D680" s="10"/>
      <c r="E680" s="10"/>
      <c r="F680" s="10"/>
      <c r="G680" s="10"/>
    </row>
    <row r="681" spans="1:7" ht="14.25" customHeight="1" x14ac:dyDescent="0.35">
      <c r="A681" s="10"/>
      <c r="B681" s="10"/>
      <c r="C681" s="10"/>
      <c r="D681" s="10"/>
      <c r="E681" s="10"/>
      <c r="F681" s="10"/>
      <c r="G681" s="10"/>
    </row>
    <row r="682" spans="1:7" ht="14.25" customHeight="1" x14ac:dyDescent="0.35">
      <c r="A682" s="10"/>
      <c r="B682" s="10"/>
      <c r="C682" s="10"/>
      <c r="D682" s="10"/>
      <c r="E682" s="10"/>
      <c r="F682" s="10"/>
      <c r="G682" s="10"/>
    </row>
    <row r="683" spans="1:7" ht="14.25" customHeight="1" x14ac:dyDescent="0.35">
      <c r="A683" s="10"/>
      <c r="B683" s="10"/>
      <c r="C683" s="10"/>
      <c r="D683" s="10"/>
      <c r="E683" s="10"/>
      <c r="F683" s="10"/>
      <c r="G683" s="10"/>
    </row>
    <row r="684" spans="1:7" ht="14.25" customHeight="1" x14ac:dyDescent="0.35">
      <c r="A684" s="10"/>
      <c r="B684" s="10"/>
      <c r="C684" s="10"/>
      <c r="D684" s="10"/>
      <c r="E684" s="10"/>
      <c r="F684" s="10"/>
      <c r="G684" s="10"/>
    </row>
    <row r="685" spans="1:7" ht="14.25" customHeight="1" x14ac:dyDescent="0.35">
      <c r="A685" s="10"/>
      <c r="B685" s="10"/>
      <c r="C685" s="10"/>
      <c r="D685" s="10"/>
      <c r="E685" s="10"/>
      <c r="F685" s="10"/>
      <c r="G685" s="10"/>
    </row>
    <row r="686" spans="1:7" ht="14.25" customHeight="1" x14ac:dyDescent="0.35">
      <c r="A686" s="10"/>
      <c r="B686" s="10"/>
      <c r="C686" s="10"/>
      <c r="D686" s="10"/>
      <c r="E686" s="10"/>
      <c r="F686" s="10"/>
      <c r="G686" s="10"/>
    </row>
    <row r="687" spans="1:7" ht="14.25" customHeight="1" x14ac:dyDescent="0.35">
      <c r="A687" s="10"/>
      <c r="B687" s="10"/>
      <c r="C687" s="10"/>
      <c r="D687" s="10"/>
      <c r="E687" s="10"/>
      <c r="F687" s="10"/>
      <c r="G687" s="10"/>
    </row>
    <row r="688" spans="1:7" ht="14.25" customHeight="1" x14ac:dyDescent="0.35">
      <c r="A688" s="10"/>
      <c r="B688" s="10"/>
      <c r="C688" s="10"/>
      <c r="D688" s="10"/>
      <c r="E688" s="10"/>
      <c r="F688" s="10"/>
      <c r="G688" s="10"/>
    </row>
    <row r="689" spans="1:7" ht="14.25" customHeight="1" x14ac:dyDescent="0.35">
      <c r="A689" s="10"/>
      <c r="B689" s="10"/>
      <c r="C689" s="10"/>
      <c r="D689" s="10"/>
      <c r="E689" s="10"/>
      <c r="F689" s="10"/>
      <c r="G689" s="10"/>
    </row>
    <row r="690" spans="1:7" ht="14.25" customHeight="1" x14ac:dyDescent="0.35">
      <c r="A690" s="10"/>
      <c r="B690" s="10"/>
      <c r="C690" s="10"/>
      <c r="D690" s="10"/>
      <c r="E690" s="10"/>
      <c r="F690" s="10"/>
      <c r="G690" s="10"/>
    </row>
    <row r="691" spans="1:7" ht="14.25" customHeight="1" x14ac:dyDescent="0.35">
      <c r="A691" s="10"/>
      <c r="B691" s="10"/>
      <c r="C691" s="10"/>
      <c r="D691" s="10"/>
      <c r="E691" s="10"/>
      <c r="F691" s="10"/>
      <c r="G691" s="10"/>
    </row>
    <row r="692" spans="1:7" ht="14.25" customHeight="1" x14ac:dyDescent="0.35">
      <c r="A692" s="10"/>
      <c r="B692" s="10"/>
      <c r="C692" s="10"/>
      <c r="D692" s="10"/>
      <c r="E692" s="10"/>
      <c r="F692" s="10"/>
      <c r="G692" s="10"/>
    </row>
    <row r="693" spans="1:7" ht="14.25" customHeight="1" x14ac:dyDescent="0.35">
      <c r="A693" s="10"/>
      <c r="B693" s="10"/>
      <c r="C693" s="10"/>
      <c r="D693" s="10"/>
      <c r="E693" s="10"/>
      <c r="F693" s="10"/>
      <c r="G693" s="10"/>
    </row>
    <row r="694" spans="1:7" ht="14.25" customHeight="1" x14ac:dyDescent="0.35">
      <c r="A694" s="10"/>
      <c r="B694" s="10"/>
      <c r="C694" s="10"/>
      <c r="D694" s="10"/>
      <c r="E694" s="10"/>
      <c r="F694" s="10"/>
      <c r="G694" s="10"/>
    </row>
    <row r="695" spans="1:7" ht="14.25" customHeight="1" x14ac:dyDescent="0.35">
      <c r="A695" s="10"/>
      <c r="B695" s="10"/>
      <c r="C695" s="10"/>
      <c r="D695" s="10"/>
      <c r="E695" s="10"/>
      <c r="F695" s="10"/>
      <c r="G695" s="10"/>
    </row>
    <row r="696" spans="1:7" ht="14.25" customHeight="1" x14ac:dyDescent="0.35">
      <c r="A696" s="10"/>
      <c r="B696" s="10"/>
      <c r="C696" s="10"/>
      <c r="D696" s="10"/>
      <c r="E696" s="10"/>
      <c r="F696" s="10"/>
      <c r="G696" s="10"/>
    </row>
    <row r="697" spans="1:7" ht="14.25" customHeight="1" x14ac:dyDescent="0.35">
      <c r="A697" s="10"/>
      <c r="B697" s="10"/>
      <c r="C697" s="10"/>
      <c r="D697" s="10"/>
      <c r="E697" s="10"/>
      <c r="F697" s="10"/>
      <c r="G697" s="10"/>
    </row>
    <row r="698" spans="1:7" ht="14.25" customHeight="1" x14ac:dyDescent="0.35">
      <c r="A698" s="10"/>
      <c r="B698" s="10"/>
      <c r="C698" s="10"/>
      <c r="D698" s="10"/>
      <c r="E698" s="10"/>
      <c r="F698" s="10"/>
      <c r="G698" s="10"/>
    </row>
    <row r="699" spans="1:7" ht="14.25" customHeight="1" x14ac:dyDescent="0.35">
      <c r="A699" s="10"/>
      <c r="B699" s="10"/>
      <c r="C699" s="10"/>
      <c r="D699" s="10"/>
      <c r="E699" s="10"/>
      <c r="F699" s="10"/>
      <c r="G699" s="10"/>
    </row>
    <row r="700" spans="1:7" ht="14.25" customHeight="1" x14ac:dyDescent="0.35">
      <c r="A700" s="10"/>
      <c r="B700" s="10"/>
      <c r="C700" s="10"/>
      <c r="D700" s="10"/>
      <c r="E700" s="10"/>
      <c r="F700" s="10"/>
      <c r="G700" s="10"/>
    </row>
    <row r="701" spans="1:7" ht="14.25" customHeight="1" x14ac:dyDescent="0.35">
      <c r="A701" s="10"/>
      <c r="B701" s="10"/>
      <c r="C701" s="10"/>
      <c r="D701" s="10"/>
      <c r="E701" s="10"/>
      <c r="F701" s="10"/>
      <c r="G701" s="10"/>
    </row>
    <row r="702" spans="1:7" ht="14.25" customHeight="1" x14ac:dyDescent="0.35">
      <c r="A702" s="10"/>
      <c r="B702" s="10"/>
      <c r="C702" s="10"/>
      <c r="D702" s="10"/>
      <c r="E702" s="10"/>
      <c r="F702" s="10"/>
      <c r="G702" s="10"/>
    </row>
    <row r="703" spans="1:7" ht="14.25" customHeight="1" x14ac:dyDescent="0.35">
      <c r="A703" s="10"/>
      <c r="B703" s="10"/>
      <c r="C703" s="10"/>
      <c r="D703" s="10"/>
      <c r="E703" s="10"/>
      <c r="F703" s="10"/>
      <c r="G703" s="10"/>
    </row>
    <row r="704" spans="1:7" ht="14.25" customHeight="1" x14ac:dyDescent="0.35">
      <c r="A704" s="10"/>
      <c r="B704" s="10"/>
      <c r="C704" s="10"/>
      <c r="D704" s="10"/>
      <c r="E704" s="10"/>
      <c r="F704" s="10"/>
      <c r="G704" s="10"/>
    </row>
    <row r="705" spans="1:7" ht="14.25" customHeight="1" x14ac:dyDescent="0.35">
      <c r="A705" s="10"/>
      <c r="B705" s="10"/>
      <c r="C705" s="10"/>
      <c r="D705" s="10"/>
      <c r="E705" s="10"/>
      <c r="F705" s="10"/>
      <c r="G705" s="10"/>
    </row>
    <row r="706" spans="1:7" ht="14.25" customHeight="1" x14ac:dyDescent="0.35">
      <c r="A706" s="10"/>
      <c r="B706" s="10"/>
      <c r="C706" s="10"/>
      <c r="D706" s="10"/>
      <c r="E706" s="10"/>
      <c r="F706" s="10"/>
      <c r="G706" s="10"/>
    </row>
    <row r="707" spans="1:7" ht="14.25" customHeight="1" x14ac:dyDescent="0.35">
      <c r="A707" s="10"/>
      <c r="B707" s="10"/>
      <c r="C707" s="10"/>
      <c r="D707" s="10"/>
      <c r="E707" s="10"/>
      <c r="F707" s="10"/>
      <c r="G707" s="10"/>
    </row>
    <row r="708" spans="1:7" ht="14.25" customHeight="1" x14ac:dyDescent="0.35">
      <c r="A708" s="10"/>
      <c r="B708" s="10"/>
      <c r="C708" s="10"/>
      <c r="D708" s="10"/>
      <c r="E708" s="10"/>
      <c r="F708" s="10"/>
      <c r="G708" s="10"/>
    </row>
    <row r="709" spans="1:7" ht="14.25" customHeight="1" x14ac:dyDescent="0.35">
      <c r="A709" s="10"/>
      <c r="B709" s="10"/>
      <c r="C709" s="10"/>
      <c r="D709" s="10"/>
      <c r="E709" s="10"/>
      <c r="F709" s="10"/>
      <c r="G709" s="10"/>
    </row>
    <row r="710" spans="1:7" ht="14.25" customHeight="1" x14ac:dyDescent="0.35">
      <c r="A710" s="10"/>
      <c r="B710" s="10"/>
      <c r="C710" s="10"/>
      <c r="D710" s="10"/>
      <c r="E710" s="10"/>
      <c r="F710" s="10"/>
      <c r="G710" s="10"/>
    </row>
    <row r="711" spans="1:7" ht="14.25" customHeight="1" x14ac:dyDescent="0.35">
      <c r="A711" s="10"/>
      <c r="B711" s="10"/>
      <c r="C711" s="10"/>
      <c r="D711" s="10"/>
      <c r="E711" s="10"/>
      <c r="F711" s="10"/>
      <c r="G711" s="10"/>
    </row>
    <row r="712" spans="1:7" ht="14.25" customHeight="1" x14ac:dyDescent="0.35">
      <c r="A712" s="10"/>
      <c r="B712" s="10"/>
      <c r="C712" s="10"/>
      <c r="D712" s="10"/>
      <c r="E712" s="10"/>
      <c r="F712" s="10"/>
      <c r="G712" s="10"/>
    </row>
    <row r="713" spans="1:7" ht="14.25" customHeight="1" x14ac:dyDescent="0.35">
      <c r="A713" s="10"/>
      <c r="B713" s="10"/>
      <c r="C713" s="10"/>
      <c r="D713" s="10"/>
      <c r="E713" s="10"/>
      <c r="F713" s="10"/>
      <c r="G713" s="10"/>
    </row>
    <row r="714" spans="1:7" ht="14.25" customHeight="1" x14ac:dyDescent="0.35">
      <c r="A714" s="10"/>
      <c r="B714" s="10"/>
      <c r="C714" s="10"/>
      <c r="D714" s="10"/>
      <c r="E714" s="10"/>
      <c r="F714" s="10"/>
      <c r="G714" s="10"/>
    </row>
    <row r="715" spans="1:7" ht="14.25" customHeight="1" x14ac:dyDescent="0.35">
      <c r="A715" s="10"/>
      <c r="B715" s="10"/>
      <c r="C715" s="10"/>
      <c r="D715" s="10"/>
      <c r="E715" s="10"/>
      <c r="F715" s="10"/>
      <c r="G715" s="10"/>
    </row>
    <row r="716" spans="1:7" ht="14.25" customHeight="1" x14ac:dyDescent="0.35">
      <c r="A716" s="10"/>
      <c r="B716" s="10"/>
      <c r="C716" s="10"/>
      <c r="D716" s="10"/>
      <c r="E716" s="10"/>
      <c r="F716" s="10"/>
      <c r="G716" s="10"/>
    </row>
    <row r="717" spans="1:7" ht="14.25" customHeight="1" x14ac:dyDescent="0.35">
      <c r="A717" s="10"/>
      <c r="B717" s="10"/>
      <c r="C717" s="10"/>
      <c r="D717" s="10"/>
      <c r="E717" s="10"/>
      <c r="F717" s="10"/>
      <c r="G717" s="10"/>
    </row>
    <row r="718" spans="1:7" ht="14.25" customHeight="1" x14ac:dyDescent="0.35">
      <c r="A718" s="10"/>
      <c r="B718" s="10"/>
      <c r="C718" s="10"/>
      <c r="D718" s="10"/>
      <c r="E718" s="10"/>
      <c r="F718" s="10"/>
      <c r="G718" s="10"/>
    </row>
    <row r="719" spans="1:7" ht="14.25" customHeight="1" x14ac:dyDescent="0.35">
      <c r="A719" s="10"/>
      <c r="B719" s="10"/>
      <c r="C719" s="10"/>
      <c r="D719" s="10"/>
      <c r="E719" s="10"/>
      <c r="F719" s="10"/>
      <c r="G719" s="10"/>
    </row>
    <row r="720" spans="1:7" ht="14.25" customHeight="1" x14ac:dyDescent="0.35">
      <c r="A720" s="10"/>
      <c r="B720" s="10"/>
      <c r="C720" s="10"/>
      <c r="D720" s="10"/>
      <c r="E720" s="10"/>
      <c r="F720" s="10"/>
      <c r="G720" s="10"/>
    </row>
    <row r="721" spans="1:7" ht="14.25" customHeight="1" x14ac:dyDescent="0.35">
      <c r="A721" s="10"/>
      <c r="B721" s="10"/>
      <c r="C721" s="10"/>
      <c r="D721" s="10"/>
      <c r="E721" s="10"/>
      <c r="F721" s="10"/>
      <c r="G721" s="10"/>
    </row>
    <row r="722" spans="1:7" ht="14.25" customHeight="1" x14ac:dyDescent="0.35">
      <c r="A722" s="10"/>
      <c r="B722" s="10"/>
      <c r="C722" s="10"/>
      <c r="D722" s="10"/>
      <c r="E722" s="10"/>
      <c r="F722" s="10"/>
      <c r="G722" s="10"/>
    </row>
    <row r="723" spans="1:7" ht="14.25" customHeight="1" x14ac:dyDescent="0.35">
      <c r="A723" s="10"/>
      <c r="B723" s="10"/>
      <c r="C723" s="10"/>
      <c r="D723" s="10"/>
      <c r="E723" s="10"/>
      <c r="F723" s="10"/>
      <c r="G723" s="10"/>
    </row>
    <row r="724" spans="1:7" ht="14.25" customHeight="1" x14ac:dyDescent="0.35">
      <c r="A724" s="10"/>
      <c r="B724" s="10"/>
      <c r="C724" s="10"/>
      <c r="D724" s="10"/>
      <c r="E724" s="10"/>
      <c r="F724" s="10"/>
      <c r="G724" s="10"/>
    </row>
    <row r="725" spans="1:7" ht="14.25" customHeight="1" x14ac:dyDescent="0.35">
      <c r="A725" s="10"/>
      <c r="B725" s="10"/>
      <c r="C725" s="10"/>
      <c r="D725" s="10"/>
      <c r="E725" s="10"/>
      <c r="F725" s="10"/>
      <c r="G725" s="10"/>
    </row>
    <row r="726" spans="1:7" ht="14.25" customHeight="1" x14ac:dyDescent="0.35">
      <c r="A726" s="10"/>
      <c r="B726" s="10"/>
      <c r="C726" s="10"/>
      <c r="D726" s="10"/>
      <c r="E726" s="10"/>
      <c r="F726" s="10"/>
      <c r="G726" s="10"/>
    </row>
    <row r="727" spans="1:7" ht="14.25" customHeight="1" x14ac:dyDescent="0.35">
      <c r="A727" s="10"/>
      <c r="B727" s="10"/>
      <c r="C727" s="10"/>
      <c r="D727" s="10"/>
      <c r="E727" s="10"/>
      <c r="F727" s="10"/>
      <c r="G727" s="10"/>
    </row>
    <row r="728" spans="1:7" ht="14.25" customHeight="1" x14ac:dyDescent="0.35">
      <c r="A728" s="10"/>
      <c r="B728" s="10"/>
      <c r="C728" s="10"/>
      <c r="D728" s="10"/>
      <c r="E728" s="10"/>
      <c r="F728" s="10"/>
      <c r="G728" s="10"/>
    </row>
    <row r="729" spans="1:7" ht="14.25" customHeight="1" x14ac:dyDescent="0.35">
      <c r="A729" s="10"/>
      <c r="B729" s="10"/>
      <c r="C729" s="10"/>
      <c r="D729" s="10"/>
      <c r="E729" s="10"/>
      <c r="F729" s="10"/>
      <c r="G729" s="10"/>
    </row>
    <row r="730" spans="1:7" ht="14.25" customHeight="1" x14ac:dyDescent="0.35">
      <c r="A730" s="10"/>
      <c r="B730" s="10"/>
      <c r="C730" s="10"/>
      <c r="D730" s="10"/>
      <c r="E730" s="10"/>
      <c r="F730" s="10"/>
      <c r="G730" s="10"/>
    </row>
    <row r="731" spans="1:7" ht="14.25" customHeight="1" x14ac:dyDescent="0.35">
      <c r="A731" s="10"/>
      <c r="B731" s="10"/>
      <c r="C731" s="10"/>
      <c r="D731" s="10"/>
      <c r="E731" s="10"/>
      <c r="F731" s="10"/>
      <c r="G731" s="10"/>
    </row>
    <row r="732" spans="1:7" ht="14.25" customHeight="1" x14ac:dyDescent="0.35">
      <c r="A732" s="10"/>
      <c r="B732" s="10"/>
      <c r="C732" s="10"/>
      <c r="D732" s="10"/>
      <c r="E732" s="10"/>
      <c r="F732" s="10"/>
      <c r="G732" s="10"/>
    </row>
    <row r="733" spans="1:7" ht="14.25" customHeight="1" x14ac:dyDescent="0.35">
      <c r="A733" s="10"/>
      <c r="B733" s="10"/>
      <c r="C733" s="10"/>
      <c r="D733" s="10"/>
      <c r="E733" s="10"/>
      <c r="F733" s="10"/>
      <c r="G733" s="10"/>
    </row>
    <row r="734" spans="1:7" ht="14.25" customHeight="1" x14ac:dyDescent="0.35">
      <c r="A734" s="10"/>
      <c r="B734" s="10"/>
      <c r="C734" s="10"/>
      <c r="D734" s="10"/>
      <c r="E734" s="10"/>
      <c r="F734" s="10"/>
      <c r="G734" s="10"/>
    </row>
    <row r="735" spans="1:7" ht="14.25" customHeight="1" x14ac:dyDescent="0.35">
      <c r="A735" s="10"/>
      <c r="B735" s="10"/>
      <c r="C735" s="10"/>
      <c r="D735" s="10"/>
      <c r="E735" s="10"/>
      <c r="F735" s="10"/>
      <c r="G735" s="10"/>
    </row>
    <row r="736" spans="1:7" ht="14.25" customHeight="1" x14ac:dyDescent="0.35">
      <c r="A736" s="10"/>
      <c r="B736" s="10"/>
      <c r="C736" s="10"/>
      <c r="D736" s="10"/>
      <c r="E736" s="10"/>
      <c r="F736" s="10"/>
      <c r="G736" s="10"/>
    </row>
    <row r="737" spans="1:7" ht="14.25" customHeight="1" x14ac:dyDescent="0.35">
      <c r="A737" s="10"/>
      <c r="B737" s="10"/>
      <c r="C737" s="10"/>
      <c r="D737" s="10"/>
      <c r="E737" s="10"/>
      <c r="F737" s="10"/>
      <c r="G737" s="10"/>
    </row>
    <row r="738" spans="1:7" ht="14.25" customHeight="1" x14ac:dyDescent="0.35">
      <c r="A738" s="10"/>
      <c r="B738" s="10"/>
      <c r="C738" s="10"/>
      <c r="D738" s="10"/>
      <c r="E738" s="10"/>
      <c r="F738" s="10"/>
      <c r="G738" s="10"/>
    </row>
    <row r="739" spans="1:7" ht="14.25" customHeight="1" x14ac:dyDescent="0.35">
      <c r="A739" s="10"/>
      <c r="B739" s="10"/>
      <c r="C739" s="10"/>
      <c r="D739" s="10"/>
      <c r="E739" s="10"/>
      <c r="F739" s="10"/>
      <c r="G739" s="10"/>
    </row>
    <row r="740" spans="1:7" ht="14.25" customHeight="1" x14ac:dyDescent="0.35">
      <c r="A740" s="10"/>
      <c r="B740" s="10"/>
      <c r="C740" s="10"/>
      <c r="D740" s="10"/>
      <c r="E740" s="10"/>
      <c r="F740" s="10"/>
      <c r="G740" s="10"/>
    </row>
    <row r="741" spans="1:7" ht="14.25" customHeight="1" x14ac:dyDescent="0.35">
      <c r="A741" s="10"/>
      <c r="B741" s="10"/>
      <c r="C741" s="10"/>
      <c r="D741" s="10"/>
      <c r="E741" s="10"/>
      <c r="F741" s="10"/>
      <c r="G741" s="10"/>
    </row>
    <row r="742" spans="1:7" ht="14.25" customHeight="1" x14ac:dyDescent="0.35">
      <c r="A742" s="10"/>
      <c r="B742" s="10"/>
      <c r="C742" s="10"/>
      <c r="D742" s="10"/>
      <c r="E742" s="10"/>
      <c r="F742" s="10"/>
      <c r="G742" s="10"/>
    </row>
    <row r="743" spans="1:7" ht="14.25" customHeight="1" x14ac:dyDescent="0.35">
      <c r="A743" s="10"/>
      <c r="B743" s="10"/>
      <c r="C743" s="10"/>
      <c r="D743" s="10"/>
      <c r="E743" s="10"/>
      <c r="F743" s="10"/>
      <c r="G743" s="10"/>
    </row>
    <row r="744" spans="1:7" ht="14.25" customHeight="1" x14ac:dyDescent="0.35">
      <c r="A744" s="10"/>
      <c r="B744" s="10"/>
      <c r="C744" s="10"/>
      <c r="D744" s="10"/>
      <c r="E744" s="10"/>
      <c r="F744" s="10"/>
      <c r="G744" s="10"/>
    </row>
    <row r="745" spans="1:7" ht="14.25" customHeight="1" x14ac:dyDescent="0.35">
      <c r="A745" s="10"/>
      <c r="B745" s="10"/>
      <c r="C745" s="10"/>
      <c r="D745" s="10"/>
      <c r="E745" s="10"/>
      <c r="F745" s="10"/>
      <c r="G745" s="10"/>
    </row>
    <row r="746" spans="1:7" ht="14.25" customHeight="1" x14ac:dyDescent="0.35">
      <c r="A746" s="10"/>
      <c r="B746" s="10"/>
      <c r="C746" s="10"/>
      <c r="D746" s="10"/>
      <c r="E746" s="10"/>
      <c r="F746" s="10"/>
      <c r="G746" s="10"/>
    </row>
    <row r="747" spans="1:7" ht="14.25" customHeight="1" x14ac:dyDescent="0.35">
      <c r="A747" s="10"/>
      <c r="B747" s="10"/>
      <c r="C747" s="10"/>
      <c r="D747" s="10"/>
      <c r="E747" s="10"/>
      <c r="F747" s="10"/>
      <c r="G747" s="10"/>
    </row>
    <row r="748" spans="1:7" ht="14.25" customHeight="1" x14ac:dyDescent="0.35">
      <c r="A748" s="10"/>
      <c r="B748" s="10"/>
      <c r="C748" s="10"/>
      <c r="D748" s="10"/>
      <c r="E748" s="10"/>
      <c r="F748" s="10"/>
      <c r="G748" s="10"/>
    </row>
    <row r="749" spans="1:7" ht="14.25" customHeight="1" x14ac:dyDescent="0.35">
      <c r="A749" s="10"/>
      <c r="B749" s="10"/>
      <c r="C749" s="10"/>
      <c r="D749" s="10"/>
      <c r="E749" s="10"/>
      <c r="F749" s="10"/>
      <c r="G749" s="10"/>
    </row>
    <row r="750" spans="1:7" ht="14.25" customHeight="1" x14ac:dyDescent="0.35">
      <c r="A750" s="10"/>
      <c r="B750" s="10"/>
      <c r="C750" s="10"/>
      <c r="D750" s="10"/>
      <c r="E750" s="10"/>
      <c r="F750" s="10"/>
      <c r="G750" s="10"/>
    </row>
    <row r="751" spans="1:7" ht="14.25" customHeight="1" x14ac:dyDescent="0.35">
      <c r="A751" s="10"/>
      <c r="B751" s="10"/>
      <c r="C751" s="10"/>
      <c r="D751" s="10"/>
      <c r="E751" s="10"/>
      <c r="F751" s="10"/>
      <c r="G751" s="10"/>
    </row>
    <row r="752" spans="1:7" ht="14.25" customHeight="1" x14ac:dyDescent="0.35">
      <c r="A752" s="10"/>
      <c r="B752" s="10"/>
      <c r="C752" s="10"/>
      <c r="D752" s="10"/>
      <c r="E752" s="10"/>
      <c r="F752" s="10"/>
      <c r="G752" s="10"/>
    </row>
    <row r="753" spans="1:7" ht="14.25" customHeight="1" x14ac:dyDescent="0.35">
      <c r="A753" s="10"/>
      <c r="B753" s="10"/>
      <c r="C753" s="10"/>
      <c r="D753" s="10"/>
      <c r="E753" s="10"/>
      <c r="F753" s="10"/>
      <c r="G753" s="10"/>
    </row>
    <row r="754" spans="1:7" ht="14.25" customHeight="1" x14ac:dyDescent="0.35">
      <c r="A754" s="10"/>
      <c r="B754" s="10"/>
      <c r="C754" s="10"/>
      <c r="D754" s="10"/>
      <c r="E754" s="10"/>
      <c r="F754" s="10"/>
      <c r="G754" s="10"/>
    </row>
    <row r="755" spans="1:7" ht="14.25" customHeight="1" x14ac:dyDescent="0.35">
      <c r="A755" s="10"/>
      <c r="B755" s="10"/>
      <c r="C755" s="10"/>
      <c r="D755" s="10"/>
      <c r="E755" s="10"/>
      <c r="F755" s="10"/>
      <c r="G755" s="10"/>
    </row>
    <row r="756" spans="1:7" ht="14.25" customHeight="1" x14ac:dyDescent="0.35">
      <c r="A756" s="10"/>
      <c r="B756" s="10"/>
      <c r="C756" s="10"/>
      <c r="D756" s="10"/>
      <c r="E756" s="10"/>
      <c r="F756" s="10"/>
      <c r="G756" s="10"/>
    </row>
    <row r="757" spans="1:7" ht="14.25" customHeight="1" x14ac:dyDescent="0.35">
      <c r="A757" s="10"/>
      <c r="B757" s="10"/>
      <c r="C757" s="10"/>
      <c r="D757" s="10"/>
      <c r="E757" s="10"/>
      <c r="F757" s="10"/>
      <c r="G757" s="10"/>
    </row>
    <row r="758" spans="1:7" ht="14.25" customHeight="1" x14ac:dyDescent="0.35">
      <c r="A758" s="10"/>
      <c r="B758" s="10"/>
      <c r="C758" s="10"/>
      <c r="D758" s="10"/>
      <c r="E758" s="10"/>
      <c r="F758" s="10"/>
      <c r="G758" s="10"/>
    </row>
    <row r="759" spans="1:7" ht="14.25" customHeight="1" x14ac:dyDescent="0.35">
      <c r="A759" s="10"/>
      <c r="B759" s="10"/>
      <c r="C759" s="10"/>
      <c r="D759" s="10"/>
      <c r="E759" s="10"/>
      <c r="F759" s="10"/>
      <c r="G759" s="10"/>
    </row>
    <row r="760" spans="1:7" ht="14.25" customHeight="1" x14ac:dyDescent="0.35">
      <c r="A760" s="10"/>
      <c r="B760" s="10"/>
      <c r="C760" s="10"/>
      <c r="D760" s="10"/>
      <c r="E760" s="10"/>
      <c r="F760" s="10"/>
      <c r="G760" s="10"/>
    </row>
    <row r="761" spans="1:7" ht="14.25" customHeight="1" x14ac:dyDescent="0.35">
      <c r="A761" s="10"/>
      <c r="B761" s="10"/>
      <c r="C761" s="10"/>
      <c r="D761" s="10"/>
      <c r="E761" s="10"/>
      <c r="F761" s="10"/>
      <c r="G761" s="10"/>
    </row>
    <row r="762" spans="1:7" ht="14.25" customHeight="1" x14ac:dyDescent="0.35">
      <c r="A762" s="10"/>
      <c r="B762" s="10"/>
      <c r="C762" s="10"/>
      <c r="D762" s="10"/>
      <c r="E762" s="10"/>
      <c r="F762" s="10"/>
      <c r="G762" s="10"/>
    </row>
    <row r="763" spans="1:7" ht="14.25" customHeight="1" x14ac:dyDescent="0.35">
      <c r="A763" s="10"/>
      <c r="B763" s="10"/>
      <c r="C763" s="10"/>
      <c r="D763" s="10"/>
      <c r="E763" s="10"/>
      <c r="F763" s="10"/>
      <c r="G763" s="10"/>
    </row>
    <row r="764" spans="1:7" ht="14.25" customHeight="1" x14ac:dyDescent="0.35">
      <c r="A764" s="10"/>
      <c r="B764" s="10"/>
      <c r="C764" s="10"/>
      <c r="D764" s="10"/>
      <c r="E764" s="10"/>
      <c r="F764" s="10"/>
      <c r="G764" s="10"/>
    </row>
    <row r="765" spans="1:7" ht="14.25" customHeight="1" x14ac:dyDescent="0.35">
      <c r="A765" s="10"/>
      <c r="B765" s="10"/>
      <c r="C765" s="10"/>
      <c r="D765" s="10"/>
      <c r="E765" s="10"/>
      <c r="F765" s="10"/>
      <c r="G765" s="10"/>
    </row>
    <row r="766" spans="1:7" ht="14.25" customHeight="1" x14ac:dyDescent="0.35">
      <c r="A766" s="10"/>
      <c r="B766" s="10"/>
      <c r="C766" s="10"/>
      <c r="D766" s="10"/>
      <c r="E766" s="10"/>
      <c r="F766" s="10"/>
      <c r="G766" s="10"/>
    </row>
    <row r="767" spans="1:7" ht="14.25" customHeight="1" x14ac:dyDescent="0.35">
      <c r="A767" s="10"/>
      <c r="B767" s="10"/>
      <c r="C767" s="10"/>
      <c r="D767" s="10"/>
      <c r="E767" s="10"/>
      <c r="F767" s="10"/>
      <c r="G767" s="10"/>
    </row>
    <row r="768" spans="1:7" ht="14.25" customHeight="1" x14ac:dyDescent="0.35">
      <c r="A768" s="10"/>
      <c r="B768" s="10"/>
      <c r="C768" s="10"/>
      <c r="D768" s="10"/>
      <c r="E768" s="10"/>
      <c r="F768" s="10"/>
      <c r="G768" s="10"/>
    </row>
    <row r="769" spans="1:7" ht="14.25" customHeight="1" x14ac:dyDescent="0.35">
      <c r="A769" s="10"/>
      <c r="B769" s="10"/>
      <c r="C769" s="10"/>
      <c r="D769" s="10"/>
      <c r="E769" s="10"/>
      <c r="F769" s="10"/>
      <c r="G769" s="10"/>
    </row>
    <row r="770" spans="1:7" ht="14.25" customHeight="1" x14ac:dyDescent="0.35">
      <c r="A770" s="10"/>
      <c r="B770" s="10"/>
      <c r="C770" s="10"/>
      <c r="D770" s="10"/>
      <c r="E770" s="10"/>
      <c r="F770" s="10"/>
      <c r="G770" s="10"/>
    </row>
    <row r="771" spans="1:7" ht="14.25" customHeight="1" x14ac:dyDescent="0.35">
      <c r="A771" s="10"/>
      <c r="B771" s="10"/>
      <c r="C771" s="10"/>
      <c r="D771" s="10"/>
      <c r="E771" s="10"/>
      <c r="F771" s="10"/>
      <c r="G771" s="10"/>
    </row>
    <row r="772" spans="1:7" ht="14.25" customHeight="1" x14ac:dyDescent="0.35">
      <c r="A772" s="10"/>
      <c r="B772" s="10"/>
      <c r="C772" s="10"/>
      <c r="D772" s="10"/>
      <c r="E772" s="10"/>
      <c r="F772" s="10"/>
      <c r="G772" s="10"/>
    </row>
    <row r="773" spans="1:7" ht="14.25" customHeight="1" x14ac:dyDescent="0.35">
      <c r="A773" s="10"/>
      <c r="B773" s="10"/>
      <c r="C773" s="10"/>
      <c r="D773" s="10"/>
      <c r="E773" s="10"/>
      <c r="F773" s="10"/>
      <c r="G773" s="10"/>
    </row>
    <row r="774" spans="1:7" ht="14.25" customHeight="1" x14ac:dyDescent="0.35">
      <c r="A774" s="10"/>
      <c r="B774" s="10"/>
      <c r="C774" s="10"/>
      <c r="D774" s="10"/>
      <c r="E774" s="10"/>
      <c r="F774" s="10"/>
      <c r="G774" s="10"/>
    </row>
    <row r="775" spans="1:7" ht="14.25" customHeight="1" x14ac:dyDescent="0.35">
      <c r="A775" s="10"/>
      <c r="B775" s="10"/>
      <c r="C775" s="10"/>
      <c r="D775" s="10"/>
      <c r="E775" s="10"/>
      <c r="F775" s="10"/>
      <c r="G775" s="10"/>
    </row>
    <row r="776" spans="1:7" ht="14.25" customHeight="1" x14ac:dyDescent="0.35">
      <c r="A776" s="10"/>
      <c r="B776" s="10"/>
      <c r="C776" s="10"/>
      <c r="D776" s="10"/>
      <c r="E776" s="10"/>
      <c r="F776" s="10"/>
      <c r="G776" s="10"/>
    </row>
    <row r="777" spans="1:7" ht="14.25" customHeight="1" x14ac:dyDescent="0.35">
      <c r="A777" s="10"/>
      <c r="B777" s="10"/>
      <c r="C777" s="10"/>
      <c r="D777" s="10"/>
      <c r="E777" s="10"/>
      <c r="F777" s="10"/>
      <c r="G777" s="10"/>
    </row>
    <row r="778" spans="1:7" ht="14.25" customHeight="1" x14ac:dyDescent="0.35">
      <c r="A778" s="10"/>
      <c r="B778" s="10"/>
      <c r="C778" s="10"/>
      <c r="D778" s="10"/>
      <c r="E778" s="10"/>
      <c r="F778" s="10"/>
      <c r="G778" s="10"/>
    </row>
    <row r="779" spans="1:7" ht="14.25" customHeight="1" x14ac:dyDescent="0.35">
      <c r="A779" s="10"/>
      <c r="B779" s="10"/>
      <c r="C779" s="10"/>
      <c r="D779" s="10"/>
      <c r="E779" s="10"/>
      <c r="F779" s="10"/>
      <c r="G779" s="10"/>
    </row>
    <row r="780" spans="1:7" ht="14.25" customHeight="1" x14ac:dyDescent="0.35">
      <c r="A780" s="10"/>
      <c r="B780" s="10"/>
      <c r="C780" s="10"/>
      <c r="D780" s="10"/>
      <c r="E780" s="10"/>
      <c r="F780" s="10"/>
      <c r="G780" s="10"/>
    </row>
    <row r="781" spans="1:7" ht="14.25" customHeight="1" x14ac:dyDescent="0.35">
      <c r="A781" s="10"/>
      <c r="B781" s="10"/>
      <c r="C781" s="10"/>
      <c r="D781" s="10"/>
      <c r="E781" s="10"/>
      <c r="F781" s="10"/>
      <c r="G781" s="10"/>
    </row>
    <row r="782" spans="1:7" ht="14.25" customHeight="1" x14ac:dyDescent="0.35">
      <c r="A782" s="10"/>
      <c r="B782" s="10"/>
      <c r="C782" s="10"/>
      <c r="D782" s="10"/>
      <c r="E782" s="10"/>
      <c r="F782" s="10"/>
      <c r="G782" s="10"/>
    </row>
    <row r="783" spans="1:7" ht="14.25" customHeight="1" x14ac:dyDescent="0.35">
      <c r="A783" s="10"/>
      <c r="B783" s="10"/>
      <c r="C783" s="10"/>
      <c r="D783" s="10"/>
      <c r="E783" s="10"/>
      <c r="F783" s="10"/>
      <c r="G783" s="10"/>
    </row>
    <row r="784" spans="1:7" ht="14.25" customHeight="1" x14ac:dyDescent="0.35">
      <c r="A784" s="10"/>
      <c r="B784" s="10"/>
      <c r="C784" s="10"/>
      <c r="D784" s="10"/>
      <c r="E784" s="10"/>
      <c r="F784" s="10"/>
      <c r="G784" s="10"/>
    </row>
    <row r="785" spans="1:7" ht="14.25" customHeight="1" x14ac:dyDescent="0.35">
      <c r="A785" s="10"/>
      <c r="B785" s="10"/>
      <c r="C785" s="10"/>
      <c r="D785" s="10"/>
      <c r="E785" s="10"/>
      <c r="F785" s="10"/>
      <c r="G785" s="10"/>
    </row>
    <row r="786" spans="1:7" ht="14.25" customHeight="1" x14ac:dyDescent="0.35">
      <c r="A786" s="10"/>
      <c r="B786" s="10"/>
      <c r="C786" s="10"/>
      <c r="D786" s="10"/>
      <c r="E786" s="10"/>
      <c r="F786" s="10"/>
      <c r="G786" s="10"/>
    </row>
    <row r="787" spans="1:7" ht="14.25" customHeight="1" x14ac:dyDescent="0.35">
      <c r="A787" s="10"/>
      <c r="B787" s="10"/>
      <c r="C787" s="10"/>
      <c r="D787" s="10"/>
      <c r="E787" s="10"/>
      <c r="F787" s="10"/>
      <c r="G787" s="10"/>
    </row>
    <row r="788" spans="1:7" ht="14.25" customHeight="1" x14ac:dyDescent="0.35">
      <c r="A788" s="10"/>
      <c r="B788" s="10"/>
      <c r="C788" s="10"/>
      <c r="D788" s="10"/>
      <c r="E788" s="10"/>
      <c r="F788" s="10"/>
      <c r="G788" s="10"/>
    </row>
    <row r="789" spans="1:7" ht="14.25" customHeight="1" x14ac:dyDescent="0.35">
      <c r="A789" s="10"/>
      <c r="B789" s="10"/>
      <c r="C789" s="10"/>
      <c r="D789" s="10"/>
      <c r="E789" s="10"/>
      <c r="F789" s="10"/>
      <c r="G789" s="10"/>
    </row>
    <row r="790" spans="1:7" ht="14.25" customHeight="1" x14ac:dyDescent="0.35">
      <c r="A790" s="10"/>
      <c r="B790" s="10"/>
      <c r="C790" s="10"/>
      <c r="D790" s="10"/>
      <c r="E790" s="10"/>
      <c r="F790" s="10"/>
      <c r="G790" s="10"/>
    </row>
    <row r="791" spans="1:7" ht="14.25" customHeight="1" x14ac:dyDescent="0.35">
      <c r="A791" s="10"/>
      <c r="B791" s="10"/>
      <c r="C791" s="10"/>
      <c r="D791" s="10"/>
      <c r="E791" s="10"/>
      <c r="F791" s="10"/>
      <c r="G791" s="10"/>
    </row>
    <row r="792" spans="1:7" ht="14.25" customHeight="1" x14ac:dyDescent="0.35">
      <c r="A792" s="10"/>
      <c r="B792" s="10"/>
      <c r="C792" s="10"/>
      <c r="D792" s="10"/>
      <c r="E792" s="10"/>
      <c r="F792" s="10"/>
      <c r="G792" s="10"/>
    </row>
    <row r="793" spans="1:7" ht="14.25" customHeight="1" x14ac:dyDescent="0.35">
      <c r="A793" s="10"/>
      <c r="B793" s="10"/>
      <c r="C793" s="10"/>
      <c r="D793" s="10"/>
      <c r="E793" s="10"/>
      <c r="F793" s="10"/>
      <c r="G793" s="10"/>
    </row>
    <row r="794" spans="1:7" ht="14.25" customHeight="1" x14ac:dyDescent="0.35">
      <c r="A794" s="10"/>
      <c r="B794" s="10"/>
      <c r="C794" s="10"/>
      <c r="D794" s="10"/>
      <c r="E794" s="10"/>
      <c r="F794" s="10"/>
      <c r="G794" s="10"/>
    </row>
    <row r="795" spans="1:7" ht="14.25" customHeight="1" x14ac:dyDescent="0.35">
      <c r="A795" s="10"/>
      <c r="B795" s="10"/>
      <c r="C795" s="10"/>
      <c r="D795" s="10"/>
      <c r="E795" s="10"/>
      <c r="F795" s="10"/>
      <c r="G795" s="10"/>
    </row>
    <row r="796" spans="1:7" ht="14.25" customHeight="1" x14ac:dyDescent="0.35">
      <c r="A796" s="10"/>
      <c r="B796" s="10"/>
      <c r="C796" s="10"/>
      <c r="D796" s="10"/>
      <c r="E796" s="10"/>
      <c r="F796" s="10"/>
      <c r="G796" s="10"/>
    </row>
    <row r="797" spans="1:7" ht="14.25" customHeight="1" x14ac:dyDescent="0.35">
      <c r="A797" s="10"/>
      <c r="B797" s="10"/>
      <c r="C797" s="10"/>
      <c r="D797" s="10"/>
      <c r="E797" s="10"/>
      <c r="F797" s="10"/>
      <c r="G797" s="10"/>
    </row>
    <row r="798" spans="1:7" ht="14.25" customHeight="1" x14ac:dyDescent="0.35">
      <c r="A798" s="10"/>
      <c r="B798" s="10"/>
      <c r="C798" s="10"/>
      <c r="D798" s="10"/>
      <c r="E798" s="10"/>
      <c r="F798" s="10"/>
      <c r="G798" s="10"/>
    </row>
    <row r="799" spans="1:7" ht="14.25" customHeight="1" x14ac:dyDescent="0.35">
      <c r="A799" s="10"/>
      <c r="B799" s="10"/>
      <c r="C799" s="10"/>
      <c r="D799" s="10"/>
      <c r="E799" s="10"/>
      <c r="F799" s="10"/>
      <c r="G799" s="10"/>
    </row>
    <row r="800" spans="1:7" ht="14.25" customHeight="1" x14ac:dyDescent="0.35">
      <c r="A800" s="10"/>
      <c r="B800" s="10"/>
      <c r="C800" s="10"/>
      <c r="D800" s="10"/>
      <c r="E800" s="10"/>
      <c r="F800" s="10"/>
      <c r="G800" s="10"/>
    </row>
    <row r="801" spans="1:7" ht="14.25" customHeight="1" x14ac:dyDescent="0.35">
      <c r="A801" s="10"/>
      <c r="B801" s="10"/>
      <c r="C801" s="10"/>
      <c r="D801" s="10"/>
      <c r="E801" s="10"/>
      <c r="F801" s="10"/>
      <c r="G801" s="10"/>
    </row>
    <row r="802" spans="1:7" ht="14.25" customHeight="1" x14ac:dyDescent="0.35">
      <c r="A802" s="10"/>
      <c r="B802" s="10"/>
      <c r="C802" s="10"/>
      <c r="D802" s="10"/>
      <c r="E802" s="10"/>
      <c r="F802" s="10"/>
      <c r="G802" s="10"/>
    </row>
    <row r="803" spans="1:7" ht="14.25" customHeight="1" x14ac:dyDescent="0.35">
      <c r="A803" s="10"/>
      <c r="B803" s="10"/>
      <c r="C803" s="10"/>
      <c r="D803" s="10"/>
      <c r="E803" s="10"/>
      <c r="F803" s="10"/>
      <c r="G803" s="10"/>
    </row>
    <row r="804" spans="1:7" ht="14.25" customHeight="1" x14ac:dyDescent="0.35">
      <c r="A804" s="10"/>
      <c r="B804" s="10"/>
      <c r="C804" s="10"/>
      <c r="D804" s="10"/>
      <c r="E804" s="10"/>
      <c r="F804" s="10"/>
      <c r="G804" s="10"/>
    </row>
    <row r="805" spans="1:7" ht="14.25" customHeight="1" x14ac:dyDescent="0.35">
      <c r="A805" s="10"/>
      <c r="B805" s="10"/>
      <c r="C805" s="10"/>
      <c r="D805" s="10"/>
      <c r="E805" s="10"/>
      <c r="F805" s="10"/>
      <c r="G805" s="10"/>
    </row>
    <row r="806" spans="1:7" ht="14.25" customHeight="1" x14ac:dyDescent="0.35">
      <c r="A806" s="10"/>
      <c r="B806" s="10"/>
      <c r="C806" s="10"/>
      <c r="D806" s="10"/>
      <c r="E806" s="10"/>
      <c r="F806" s="10"/>
      <c r="G806" s="10"/>
    </row>
    <row r="807" spans="1:7" ht="14.25" customHeight="1" x14ac:dyDescent="0.35">
      <c r="A807" s="10"/>
      <c r="B807" s="10"/>
      <c r="C807" s="10"/>
      <c r="D807" s="10"/>
      <c r="E807" s="10"/>
      <c r="F807" s="10"/>
      <c r="G807" s="10"/>
    </row>
    <row r="808" spans="1:7" ht="14.25" customHeight="1" x14ac:dyDescent="0.35">
      <c r="A808" s="10"/>
      <c r="B808" s="10"/>
      <c r="C808" s="10"/>
      <c r="D808" s="10"/>
      <c r="E808" s="10"/>
      <c r="F808" s="10"/>
      <c r="G808" s="10"/>
    </row>
    <row r="809" spans="1:7" ht="14.25" customHeight="1" x14ac:dyDescent="0.35">
      <c r="A809" s="10"/>
      <c r="B809" s="10"/>
      <c r="C809" s="10"/>
      <c r="D809" s="10"/>
      <c r="E809" s="10"/>
      <c r="F809" s="10"/>
      <c r="G809" s="10"/>
    </row>
    <row r="810" spans="1:7" ht="14.25" customHeight="1" x14ac:dyDescent="0.35">
      <c r="A810" s="10"/>
      <c r="B810" s="10"/>
      <c r="C810" s="10"/>
      <c r="D810" s="10"/>
      <c r="E810" s="10"/>
      <c r="F810" s="10"/>
      <c r="G810" s="10"/>
    </row>
    <row r="811" spans="1:7" ht="14.25" customHeight="1" x14ac:dyDescent="0.35">
      <c r="A811" s="10"/>
      <c r="B811" s="10"/>
      <c r="C811" s="10"/>
      <c r="D811" s="10"/>
      <c r="E811" s="10"/>
      <c r="F811" s="10"/>
      <c r="G811" s="10"/>
    </row>
    <row r="812" spans="1:7" ht="14.25" customHeight="1" x14ac:dyDescent="0.35">
      <c r="A812" s="10"/>
      <c r="B812" s="10"/>
      <c r="C812" s="10"/>
      <c r="D812" s="10"/>
      <c r="E812" s="10"/>
      <c r="F812" s="10"/>
      <c r="G812" s="10"/>
    </row>
    <row r="813" spans="1:7" ht="14.25" customHeight="1" x14ac:dyDescent="0.35">
      <c r="A813" s="10"/>
      <c r="B813" s="10"/>
      <c r="C813" s="10"/>
      <c r="D813" s="10"/>
      <c r="E813" s="10"/>
      <c r="F813" s="10"/>
      <c r="G813" s="10"/>
    </row>
    <row r="814" spans="1:7" ht="14.25" customHeight="1" x14ac:dyDescent="0.35">
      <c r="A814" s="10"/>
      <c r="B814" s="10"/>
      <c r="C814" s="10"/>
      <c r="D814" s="10"/>
      <c r="E814" s="10"/>
      <c r="F814" s="10"/>
      <c r="G814" s="10"/>
    </row>
    <row r="815" spans="1:7" ht="14.25" customHeight="1" x14ac:dyDescent="0.35">
      <c r="A815" s="10"/>
      <c r="B815" s="10"/>
      <c r="C815" s="10"/>
      <c r="D815" s="10"/>
      <c r="E815" s="10"/>
      <c r="F815" s="10"/>
      <c r="G815" s="10"/>
    </row>
    <row r="816" spans="1:7" ht="14.25" customHeight="1" x14ac:dyDescent="0.35">
      <c r="A816" s="10"/>
      <c r="B816" s="10"/>
      <c r="C816" s="10"/>
      <c r="D816" s="10"/>
      <c r="E816" s="10"/>
      <c r="F816" s="10"/>
      <c r="G816" s="10"/>
    </row>
    <row r="817" spans="1:7" ht="14.25" customHeight="1" x14ac:dyDescent="0.35">
      <c r="A817" s="10"/>
      <c r="B817" s="10"/>
      <c r="C817" s="10"/>
      <c r="D817" s="10"/>
      <c r="E817" s="10"/>
      <c r="F817" s="10"/>
      <c r="G817" s="10"/>
    </row>
    <row r="818" spans="1:7" ht="14.25" customHeight="1" x14ac:dyDescent="0.35">
      <c r="A818" s="10"/>
      <c r="B818" s="10"/>
      <c r="C818" s="10"/>
      <c r="D818" s="10"/>
      <c r="E818" s="10"/>
      <c r="F818" s="10"/>
      <c r="G818" s="10"/>
    </row>
    <row r="819" spans="1:7" ht="14.25" customHeight="1" x14ac:dyDescent="0.35">
      <c r="A819" s="10"/>
      <c r="B819" s="10"/>
      <c r="C819" s="10"/>
      <c r="D819" s="10"/>
      <c r="E819" s="10"/>
      <c r="F819" s="10"/>
      <c r="G819" s="10"/>
    </row>
    <row r="820" spans="1:7" ht="14.25" customHeight="1" x14ac:dyDescent="0.35">
      <c r="A820" s="10"/>
      <c r="B820" s="10"/>
      <c r="C820" s="10"/>
      <c r="D820" s="10"/>
      <c r="E820" s="10"/>
      <c r="F820" s="10"/>
      <c r="G820" s="10"/>
    </row>
    <row r="821" spans="1:7" ht="14.25" customHeight="1" x14ac:dyDescent="0.35">
      <c r="A821" s="10"/>
      <c r="B821" s="10"/>
      <c r="C821" s="10"/>
      <c r="D821" s="10"/>
      <c r="E821" s="10"/>
      <c r="F821" s="10"/>
      <c r="G821" s="10"/>
    </row>
    <row r="822" spans="1:7" ht="14.25" customHeight="1" x14ac:dyDescent="0.35">
      <c r="A822" s="10"/>
      <c r="B822" s="10"/>
      <c r="C822" s="10"/>
      <c r="D822" s="10"/>
      <c r="E822" s="10"/>
      <c r="F822" s="10"/>
      <c r="G822" s="10"/>
    </row>
    <row r="823" spans="1:7" ht="14.25" customHeight="1" x14ac:dyDescent="0.35">
      <c r="A823" s="10"/>
      <c r="B823" s="10"/>
      <c r="C823" s="10"/>
      <c r="D823" s="10"/>
      <c r="E823" s="10"/>
      <c r="F823" s="10"/>
      <c r="G823" s="10"/>
    </row>
    <row r="824" spans="1:7" ht="14.25" customHeight="1" x14ac:dyDescent="0.35">
      <c r="A824" s="10"/>
      <c r="B824" s="10"/>
      <c r="C824" s="10"/>
      <c r="D824" s="10"/>
      <c r="E824" s="10"/>
      <c r="F824" s="10"/>
      <c r="G824" s="10"/>
    </row>
    <row r="825" spans="1:7" ht="14.25" customHeight="1" x14ac:dyDescent="0.35">
      <c r="A825" s="10"/>
      <c r="B825" s="10"/>
      <c r="C825" s="10"/>
      <c r="D825" s="10"/>
      <c r="E825" s="10"/>
      <c r="F825" s="10"/>
      <c r="G825" s="10"/>
    </row>
    <row r="826" spans="1:7" ht="14.25" customHeight="1" x14ac:dyDescent="0.35">
      <c r="A826" s="10"/>
      <c r="B826" s="10"/>
      <c r="C826" s="10"/>
      <c r="D826" s="10"/>
      <c r="E826" s="10"/>
      <c r="F826" s="10"/>
      <c r="G826" s="10"/>
    </row>
    <row r="827" spans="1:7" ht="14.25" customHeight="1" x14ac:dyDescent="0.35">
      <c r="A827" s="10"/>
      <c r="B827" s="10"/>
      <c r="C827" s="10"/>
      <c r="D827" s="10"/>
      <c r="E827" s="10"/>
      <c r="F827" s="10"/>
      <c r="G827" s="10"/>
    </row>
    <row r="828" spans="1:7" ht="14.25" customHeight="1" x14ac:dyDescent="0.35">
      <c r="A828" s="10"/>
      <c r="B828" s="10"/>
      <c r="C828" s="10"/>
      <c r="D828" s="10"/>
      <c r="E828" s="10"/>
      <c r="F828" s="10"/>
      <c r="G828" s="10"/>
    </row>
    <row r="829" spans="1:7" ht="14.25" customHeight="1" x14ac:dyDescent="0.35">
      <c r="A829" s="10"/>
      <c r="B829" s="10"/>
      <c r="C829" s="10"/>
      <c r="D829" s="10"/>
      <c r="E829" s="10"/>
      <c r="F829" s="10"/>
      <c r="G829" s="10"/>
    </row>
    <row r="830" spans="1:7" ht="14.25" customHeight="1" x14ac:dyDescent="0.35">
      <c r="A830" s="10"/>
      <c r="B830" s="10"/>
      <c r="C830" s="10"/>
      <c r="D830" s="10"/>
      <c r="E830" s="10"/>
      <c r="F830" s="10"/>
      <c r="G830" s="10"/>
    </row>
    <row r="831" spans="1:7" ht="14.25" customHeight="1" x14ac:dyDescent="0.35">
      <c r="A831" s="10"/>
      <c r="B831" s="10"/>
      <c r="C831" s="10"/>
      <c r="D831" s="10"/>
      <c r="E831" s="10"/>
      <c r="F831" s="10"/>
      <c r="G831" s="10"/>
    </row>
    <row r="832" spans="1:7" ht="14.25" customHeight="1" x14ac:dyDescent="0.35">
      <c r="A832" s="10"/>
      <c r="B832" s="10"/>
      <c r="C832" s="10"/>
      <c r="D832" s="10"/>
      <c r="E832" s="10"/>
      <c r="F832" s="10"/>
      <c r="G832" s="10"/>
    </row>
    <row r="833" spans="1:7" ht="14.25" customHeight="1" x14ac:dyDescent="0.35">
      <c r="A833" s="10"/>
      <c r="B833" s="10"/>
      <c r="C833" s="10"/>
      <c r="D833" s="10"/>
      <c r="E833" s="10"/>
      <c r="F833" s="10"/>
      <c r="G833" s="10"/>
    </row>
    <row r="834" spans="1:7" ht="14.25" customHeight="1" x14ac:dyDescent="0.35">
      <c r="A834" s="10"/>
      <c r="B834" s="10"/>
      <c r="C834" s="10"/>
      <c r="D834" s="10"/>
      <c r="E834" s="10"/>
      <c r="F834" s="10"/>
      <c r="G834" s="10"/>
    </row>
    <row r="835" spans="1:7" ht="14.25" customHeight="1" x14ac:dyDescent="0.35">
      <c r="A835" s="10"/>
      <c r="B835" s="10"/>
      <c r="C835" s="10"/>
      <c r="D835" s="10"/>
      <c r="E835" s="10"/>
      <c r="F835" s="10"/>
      <c r="G835" s="10"/>
    </row>
    <row r="836" spans="1:7" ht="14.25" customHeight="1" x14ac:dyDescent="0.35">
      <c r="A836" s="10"/>
      <c r="B836" s="10"/>
      <c r="C836" s="10"/>
      <c r="D836" s="10"/>
      <c r="E836" s="10"/>
      <c r="F836" s="10"/>
      <c r="G836" s="10"/>
    </row>
    <row r="837" spans="1:7" ht="14.25" customHeight="1" x14ac:dyDescent="0.35">
      <c r="A837" s="10"/>
      <c r="B837" s="10"/>
      <c r="C837" s="10"/>
      <c r="D837" s="10"/>
      <c r="E837" s="10"/>
      <c r="F837" s="10"/>
      <c r="G837" s="10"/>
    </row>
    <row r="838" spans="1:7" ht="14.25" customHeight="1" x14ac:dyDescent="0.35">
      <c r="A838" s="10"/>
      <c r="B838" s="10"/>
      <c r="C838" s="10"/>
      <c r="D838" s="10"/>
      <c r="E838" s="10"/>
      <c r="F838" s="10"/>
      <c r="G838" s="10"/>
    </row>
    <row r="839" spans="1:7" ht="14.25" customHeight="1" x14ac:dyDescent="0.35">
      <c r="A839" s="10"/>
      <c r="B839" s="10"/>
      <c r="C839" s="10"/>
      <c r="D839" s="10"/>
      <c r="E839" s="10"/>
      <c r="F839" s="10"/>
      <c r="G839" s="10"/>
    </row>
    <row r="840" spans="1:7" ht="14.25" customHeight="1" x14ac:dyDescent="0.35">
      <c r="A840" s="10"/>
      <c r="B840" s="10"/>
      <c r="C840" s="10"/>
      <c r="D840" s="10"/>
      <c r="E840" s="10"/>
      <c r="F840" s="10"/>
      <c r="G840" s="10"/>
    </row>
    <row r="841" spans="1:7" ht="14.25" customHeight="1" x14ac:dyDescent="0.35">
      <c r="A841" s="10"/>
      <c r="B841" s="10"/>
      <c r="C841" s="10"/>
      <c r="D841" s="10"/>
      <c r="E841" s="10"/>
      <c r="F841" s="10"/>
      <c r="G841" s="10"/>
    </row>
    <row r="842" spans="1:7" ht="14.25" customHeight="1" x14ac:dyDescent="0.35">
      <c r="A842" s="10"/>
      <c r="B842" s="10"/>
      <c r="C842" s="10"/>
      <c r="D842" s="10"/>
      <c r="E842" s="10"/>
      <c r="F842" s="10"/>
      <c r="G842" s="10"/>
    </row>
    <row r="843" spans="1:7" ht="14.25" customHeight="1" x14ac:dyDescent="0.35">
      <c r="A843" s="10"/>
      <c r="B843" s="10"/>
      <c r="C843" s="10"/>
      <c r="D843" s="10"/>
      <c r="E843" s="10"/>
      <c r="F843" s="10"/>
      <c r="G843" s="10"/>
    </row>
    <row r="844" spans="1:7" ht="14.25" customHeight="1" x14ac:dyDescent="0.35">
      <c r="A844" s="10"/>
      <c r="B844" s="10"/>
      <c r="C844" s="10"/>
      <c r="D844" s="10"/>
      <c r="E844" s="10"/>
      <c r="F844" s="10"/>
      <c r="G844" s="10"/>
    </row>
    <row r="845" spans="1:7" ht="14.25" customHeight="1" x14ac:dyDescent="0.35">
      <c r="A845" s="10"/>
      <c r="B845" s="10"/>
      <c r="C845" s="10"/>
      <c r="D845" s="10"/>
      <c r="E845" s="10"/>
      <c r="F845" s="10"/>
      <c r="G845" s="10"/>
    </row>
    <row r="846" spans="1:7" ht="14.25" customHeight="1" x14ac:dyDescent="0.35">
      <c r="A846" s="10"/>
      <c r="B846" s="10"/>
      <c r="C846" s="10"/>
      <c r="D846" s="10"/>
      <c r="E846" s="10"/>
      <c r="F846" s="10"/>
      <c r="G846" s="10"/>
    </row>
    <row r="847" spans="1:7" ht="14.25" customHeight="1" x14ac:dyDescent="0.35">
      <c r="A847" s="10"/>
      <c r="B847" s="10"/>
      <c r="C847" s="10"/>
      <c r="D847" s="10"/>
      <c r="E847" s="10"/>
      <c r="F847" s="10"/>
      <c r="G847" s="10"/>
    </row>
    <row r="848" spans="1:7" ht="14.25" customHeight="1" x14ac:dyDescent="0.35">
      <c r="A848" s="10"/>
      <c r="B848" s="10"/>
      <c r="C848" s="10"/>
      <c r="D848" s="10"/>
      <c r="E848" s="10"/>
      <c r="F848" s="10"/>
      <c r="G848" s="10"/>
    </row>
    <row r="849" spans="1:7" ht="14.25" customHeight="1" x14ac:dyDescent="0.35">
      <c r="A849" s="10"/>
      <c r="B849" s="10"/>
      <c r="C849" s="10"/>
      <c r="D849" s="10"/>
      <c r="E849" s="10"/>
      <c r="F849" s="10"/>
      <c r="G849" s="10"/>
    </row>
    <row r="850" spans="1:7" ht="14.25" customHeight="1" x14ac:dyDescent="0.35">
      <c r="A850" s="10"/>
      <c r="B850" s="10"/>
      <c r="C850" s="10"/>
      <c r="D850" s="10"/>
      <c r="E850" s="10"/>
      <c r="F850" s="10"/>
      <c r="G850" s="10"/>
    </row>
    <row r="851" spans="1:7" ht="14.25" customHeight="1" x14ac:dyDescent="0.35">
      <c r="A851" s="10"/>
      <c r="B851" s="10"/>
      <c r="C851" s="10"/>
      <c r="D851" s="10"/>
      <c r="E851" s="10"/>
      <c r="F851" s="10"/>
      <c r="G851" s="10"/>
    </row>
    <row r="852" spans="1:7" ht="14.25" customHeight="1" x14ac:dyDescent="0.35">
      <c r="A852" s="10"/>
      <c r="B852" s="10"/>
      <c r="C852" s="10"/>
      <c r="D852" s="10"/>
      <c r="E852" s="10"/>
      <c r="F852" s="10"/>
      <c r="G852" s="10"/>
    </row>
    <row r="853" spans="1:7" ht="14.25" customHeight="1" x14ac:dyDescent="0.35">
      <c r="A853" s="10"/>
      <c r="B853" s="10"/>
      <c r="C853" s="10"/>
      <c r="D853" s="10"/>
      <c r="E853" s="10"/>
      <c r="F853" s="10"/>
      <c r="G853" s="10"/>
    </row>
    <row r="854" spans="1:7" ht="14.25" customHeight="1" x14ac:dyDescent="0.35">
      <c r="A854" s="10"/>
      <c r="B854" s="10"/>
      <c r="C854" s="10"/>
      <c r="D854" s="10"/>
      <c r="E854" s="10"/>
      <c r="F854" s="10"/>
      <c r="G854" s="10"/>
    </row>
    <row r="855" spans="1:7" ht="14.25" customHeight="1" x14ac:dyDescent="0.35">
      <c r="A855" s="10"/>
      <c r="B855" s="10"/>
      <c r="C855" s="10"/>
      <c r="D855" s="10"/>
      <c r="E855" s="10"/>
      <c r="F855" s="10"/>
      <c r="G855" s="10"/>
    </row>
    <row r="856" spans="1:7" ht="14.25" customHeight="1" x14ac:dyDescent="0.35">
      <c r="A856" s="10"/>
      <c r="B856" s="10"/>
      <c r="C856" s="10"/>
      <c r="D856" s="10"/>
      <c r="E856" s="10"/>
      <c r="F856" s="10"/>
      <c r="G856" s="10"/>
    </row>
    <row r="857" spans="1:7" ht="14.25" customHeight="1" x14ac:dyDescent="0.35">
      <c r="A857" s="10"/>
      <c r="B857" s="10"/>
      <c r="C857" s="10"/>
      <c r="D857" s="10"/>
      <c r="E857" s="10"/>
      <c r="F857" s="10"/>
      <c r="G857" s="10"/>
    </row>
    <row r="858" spans="1:7" ht="14.25" customHeight="1" x14ac:dyDescent="0.35">
      <c r="A858" s="10"/>
      <c r="B858" s="10"/>
      <c r="C858" s="10"/>
      <c r="D858" s="10"/>
      <c r="E858" s="10"/>
      <c r="F858" s="10"/>
      <c r="G858" s="10"/>
    </row>
    <row r="859" spans="1:7" ht="14.25" customHeight="1" x14ac:dyDescent="0.35">
      <c r="A859" s="10"/>
      <c r="B859" s="10"/>
      <c r="C859" s="10"/>
      <c r="D859" s="10"/>
      <c r="E859" s="10"/>
      <c r="F859" s="10"/>
      <c r="G859" s="10"/>
    </row>
    <row r="860" spans="1:7" ht="14.25" customHeight="1" x14ac:dyDescent="0.35">
      <c r="A860" s="10"/>
      <c r="B860" s="10"/>
      <c r="C860" s="10"/>
      <c r="D860" s="10"/>
      <c r="E860" s="10"/>
      <c r="F860" s="10"/>
      <c r="G860" s="10"/>
    </row>
    <row r="861" spans="1:7" ht="14.25" customHeight="1" x14ac:dyDescent="0.35">
      <c r="A861" s="10"/>
      <c r="B861" s="10"/>
      <c r="C861" s="10"/>
      <c r="D861" s="10"/>
      <c r="E861" s="10"/>
      <c r="F861" s="10"/>
      <c r="G861" s="10"/>
    </row>
    <row r="862" spans="1:7" ht="14.25" customHeight="1" x14ac:dyDescent="0.35">
      <c r="A862" s="10"/>
      <c r="B862" s="10"/>
      <c r="C862" s="10"/>
      <c r="D862" s="10"/>
      <c r="E862" s="10"/>
      <c r="F862" s="10"/>
      <c r="G862" s="10"/>
    </row>
    <row r="863" spans="1:7" ht="14.25" customHeight="1" x14ac:dyDescent="0.35">
      <c r="A863" s="10"/>
      <c r="B863" s="10"/>
      <c r="C863" s="10"/>
      <c r="D863" s="10"/>
      <c r="E863" s="10"/>
      <c r="F863" s="10"/>
      <c r="G863" s="10"/>
    </row>
    <row r="864" spans="1:7" ht="14.25" customHeight="1" x14ac:dyDescent="0.35">
      <c r="A864" s="10"/>
      <c r="B864" s="10"/>
      <c r="C864" s="10"/>
      <c r="D864" s="10"/>
      <c r="E864" s="10"/>
      <c r="F864" s="10"/>
      <c r="G864" s="10"/>
    </row>
    <row r="865" spans="1:7" ht="14.25" customHeight="1" x14ac:dyDescent="0.35">
      <c r="A865" s="10"/>
      <c r="B865" s="10"/>
      <c r="C865" s="10"/>
      <c r="D865" s="10"/>
      <c r="E865" s="10"/>
      <c r="F865" s="10"/>
      <c r="G865" s="10"/>
    </row>
    <row r="866" spans="1:7" ht="14.25" customHeight="1" x14ac:dyDescent="0.35">
      <c r="A866" s="10"/>
      <c r="B866" s="10"/>
      <c r="C866" s="10"/>
      <c r="D866" s="10"/>
      <c r="E866" s="10"/>
      <c r="F866" s="10"/>
      <c r="G866" s="10"/>
    </row>
    <row r="867" spans="1:7" ht="14.25" customHeight="1" x14ac:dyDescent="0.35">
      <c r="A867" s="10"/>
      <c r="B867" s="10"/>
      <c r="C867" s="10"/>
      <c r="D867" s="10"/>
      <c r="E867" s="10"/>
      <c r="F867" s="10"/>
      <c r="G867" s="10"/>
    </row>
    <row r="868" spans="1:7" ht="14.25" customHeight="1" x14ac:dyDescent="0.35">
      <c r="A868" s="10"/>
      <c r="B868" s="10"/>
      <c r="C868" s="10"/>
      <c r="D868" s="10"/>
      <c r="E868" s="10"/>
      <c r="F868" s="10"/>
      <c r="G868" s="10"/>
    </row>
    <row r="869" spans="1:7" ht="14.25" customHeight="1" x14ac:dyDescent="0.35">
      <c r="A869" s="10"/>
      <c r="B869" s="10"/>
      <c r="C869" s="10"/>
      <c r="D869" s="10"/>
      <c r="E869" s="10"/>
      <c r="F869" s="10"/>
      <c r="G869" s="10"/>
    </row>
    <row r="870" spans="1:7" ht="14.25" customHeight="1" x14ac:dyDescent="0.35">
      <c r="A870" s="10"/>
      <c r="B870" s="10"/>
      <c r="C870" s="10"/>
      <c r="D870" s="10"/>
      <c r="E870" s="10"/>
      <c r="F870" s="10"/>
      <c r="G870" s="10"/>
    </row>
    <row r="871" spans="1:7" ht="14.25" customHeight="1" x14ac:dyDescent="0.35">
      <c r="A871" s="10"/>
      <c r="B871" s="10"/>
      <c r="C871" s="10"/>
      <c r="D871" s="10"/>
      <c r="E871" s="10"/>
      <c r="F871" s="10"/>
      <c r="G871" s="10"/>
    </row>
    <row r="872" spans="1:7" ht="14.25" customHeight="1" x14ac:dyDescent="0.35">
      <c r="A872" s="10"/>
      <c r="B872" s="10"/>
      <c r="C872" s="10"/>
      <c r="D872" s="10"/>
      <c r="E872" s="10"/>
      <c r="F872" s="10"/>
      <c r="G872" s="10"/>
    </row>
    <row r="873" spans="1:7" ht="14.25" customHeight="1" x14ac:dyDescent="0.35">
      <c r="A873" s="10"/>
      <c r="B873" s="10"/>
      <c r="C873" s="10"/>
      <c r="D873" s="10"/>
      <c r="E873" s="10"/>
      <c r="F873" s="10"/>
      <c r="G873" s="10"/>
    </row>
    <row r="874" spans="1:7" ht="14.25" customHeight="1" x14ac:dyDescent="0.35">
      <c r="A874" s="10"/>
      <c r="B874" s="10"/>
      <c r="C874" s="10"/>
      <c r="D874" s="10"/>
      <c r="E874" s="10"/>
      <c r="F874" s="10"/>
      <c r="G874" s="10"/>
    </row>
    <row r="875" spans="1:7" ht="14.25" customHeight="1" x14ac:dyDescent="0.35">
      <c r="A875" s="10"/>
      <c r="B875" s="10"/>
      <c r="C875" s="10"/>
      <c r="D875" s="10"/>
      <c r="E875" s="10"/>
      <c r="F875" s="10"/>
      <c r="G875" s="10"/>
    </row>
    <row r="876" spans="1:7" ht="14.25" customHeight="1" x14ac:dyDescent="0.35">
      <c r="A876" s="10"/>
      <c r="B876" s="10"/>
      <c r="C876" s="10"/>
      <c r="D876" s="10"/>
      <c r="E876" s="10"/>
      <c r="F876" s="10"/>
      <c r="G876" s="10"/>
    </row>
    <row r="877" spans="1:7" ht="14.25" customHeight="1" x14ac:dyDescent="0.35">
      <c r="A877" s="10"/>
      <c r="B877" s="10"/>
      <c r="C877" s="10"/>
      <c r="D877" s="10"/>
      <c r="E877" s="10"/>
      <c r="F877" s="10"/>
      <c r="G877" s="10"/>
    </row>
    <row r="878" spans="1:7" ht="14.25" customHeight="1" x14ac:dyDescent="0.35">
      <c r="A878" s="10"/>
      <c r="B878" s="10"/>
      <c r="C878" s="10"/>
      <c r="D878" s="10"/>
      <c r="E878" s="10"/>
      <c r="F878" s="10"/>
      <c r="G878" s="10"/>
    </row>
    <row r="879" spans="1:7" ht="14.25" customHeight="1" x14ac:dyDescent="0.35">
      <c r="A879" s="10"/>
      <c r="B879" s="10"/>
      <c r="C879" s="10"/>
      <c r="D879" s="10"/>
      <c r="E879" s="10"/>
      <c r="F879" s="10"/>
      <c r="G879" s="10"/>
    </row>
    <row r="880" spans="1:7" ht="14.25" customHeight="1" x14ac:dyDescent="0.35">
      <c r="A880" s="10"/>
      <c r="B880" s="10"/>
      <c r="C880" s="10"/>
      <c r="D880" s="10"/>
      <c r="E880" s="10"/>
      <c r="F880" s="10"/>
      <c r="G880" s="10"/>
    </row>
    <row r="881" spans="1:7" ht="14.25" customHeight="1" x14ac:dyDescent="0.35">
      <c r="A881" s="10"/>
      <c r="B881" s="10"/>
      <c r="C881" s="10"/>
      <c r="D881" s="10"/>
      <c r="E881" s="10"/>
      <c r="F881" s="10"/>
      <c r="G881" s="10"/>
    </row>
    <row r="882" spans="1:7" ht="14.25" customHeight="1" x14ac:dyDescent="0.35">
      <c r="A882" s="10"/>
      <c r="B882" s="10"/>
      <c r="C882" s="10"/>
      <c r="D882" s="10"/>
      <c r="E882" s="10"/>
      <c r="F882" s="10"/>
      <c r="G882" s="10"/>
    </row>
    <row r="883" spans="1:7" ht="14.25" customHeight="1" x14ac:dyDescent="0.35">
      <c r="A883" s="10"/>
      <c r="B883" s="10"/>
      <c r="C883" s="10"/>
      <c r="D883" s="10"/>
      <c r="E883" s="10"/>
      <c r="F883" s="10"/>
      <c r="G883" s="10"/>
    </row>
    <row r="884" spans="1:7" ht="14.25" customHeight="1" x14ac:dyDescent="0.35">
      <c r="A884" s="10"/>
      <c r="B884" s="10"/>
      <c r="C884" s="10"/>
      <c r="D884" s="10"/>
      <c r="E884" s="10"/>
      <c r="F884" s="10"/>
      <c r="G884" s="10"/>
    </row>
    <row r="885" spans="1:7" ht="14.25" customHeight="1" x14ac:dyDescent="0.35">
      <c r="A885" s="10"/>
      <c r="B885" s="10"/>
      <c r="C885" s="10"/>
      <c r="D885" s="10"/>
      <c r="E885" s="10"/>
      <c r="F885" s="10"/>
      <c r="G885" s="10"/>
    </row>
    <row r="886" spans="1:7" ht="14.25" customHeight="1" x14ac:dyDescent="0.35">
      <c r="A886" s="10"/>
      <c r="B886" s="10"/>
      <c r="C886" s="10"/>
      <c r="D886" s="10"/>
      <c r="E886" s="10"/>
      <c r="F886" s="10"/>
      <c r="G886" s="10"/>
    </row>
    <row r="887" spans="1:7" ht="14.25" customHeight="1" x14ac:dyDescent="0.35">
      <c r="A887" s="10"/>
      <c r="B887" s="10"/>
      <c r="C887" s="10"/>
      <c r="D887" s="10"/>
      <c r="E887" s="10"/>
      <c r="F887" s="10"/>
      <c r="G887" s="10"/>
    </row>
    <row r="888" spans="1:7" ht="14.25" customHeight="1" x14ac:dyDescent="0.35">
      <c r="A888" s="10"/>
      <c r="B888" s="10"/>
      <c r="C888" s="10"/>
      <c r="D888" s="10"/>
      <c r="E888" s="10"/>
      <c r="F888" s="10"/>
      <c r="G888" s="10"/>
    </row>
    <row r="889" spans="1:7" ht="14.25" customHeight="1" x14ac:dyDescent="0.35">
      <c r="A889" s="10"/>
      <c r="B889" s="10"/>
      <c r="C889" s="10"/>
      <c r="D889" s="10"/>
      <c r="E889" s="10"/>
      <c r="F889" s="10"/>
      <c r="G889" s="10"/>
    </row>
    <row r="890" spans="1:7" ht="14.25" customHeight="1" x14ac:dyDescent="0.35">
      <c r="A890" s="10"/>
      <c r="B890" s="10"/>
      <c r="C890" s="10"/>
      <c r="D890" s="10"/>
      <c r="E890" s="10"/>
      <c r="F890" s="10"/>
      <c r="G890" s="10"/>
    </row>
    <row r="891" spans="1:7" ht="14.25" customHeight="1" x14ac:dyDescent="0.35">
      <c r="A891" s="10"/>
      <c r="B891" s="10"/>
      <c r="C891" s="10"/>
      <c r="D891" s="10"/>
      <c r="E891" s="10"/>
      <c r="F891" s="10"/>
      <c r="G891" s="10"/>
    </row>
    <row r="892" spans="1:7" ht="14.25" customHeight="1" x14ac:dyDescent="0.35">
      <c r="A892" s="10"/>
      <c r="B892" s="10"/>
      <c r="C892" s="10"/>
      <c r="D892" s="10"/>
      <c r="E892" s="10"/>
      <c r="F892" s="10"/>
      <c r="G892" s="10"/>
    </row>
    <row r="893" spans="1:7" ht="14.25" customHeight="1" x14ac:dyDescent="0.35">
      <c r="A893" s="10"/>
      <c r="B893" s="10"/>
      <c r="C893" s="10"/>
      <c r="D893" s="10"/>
      <c r="E893" s="10"/>
      <c r="F893" s="10"/>
      <c r="G893" s="10"/>
    </row>
    <row r="894" spans="1:7" ht="14.25" customHeight="1" x14ac:dyDescent="0.35">
      <c r="A894" s="10"/>
      <c r="B894" s="10"/>
      <c r="C894" s="10"/>
      <c r="D894" s="10"/>
      <c r="E894" s="10"/>
      <c r="F894" s="10"/>
      <c r="G894" s="10"/>
    </row>
    <row r="895" spans="1:7" ht="14.25" customHeight="1" x14ac:dyDescent="0.35">
      <c r="A895" s="10"/>
      <c r="B895" s="10"/>
      <c r="C895" s="10"/>
      <c r="D895" s="10"/>
      <c r="E895" s="10"/>
      <c r="F895" s="10"/>
      <c r="G895" s="10"/>
    </row>
    <row r="896" spans="1:7" ht="14.25" customHeight="1" x14ac:dyDescent="0.35">
      <c r="A896" s="10"/>
      <c r="B896" s="10"/>
      <c r="C896" s="10"/>
      <c r="D896" s="10"/>
      <c r="E896" s="10"/>
      <c r="F896" s="10"/>
      <c r="G896" s="10"/>
    </row>
    <row r="897" spans="1:7" ht="14.25" customHeight="1" x14ac:dyDescent="0.35">
      <c r="A897" s="10"/>
      <c r="B897" s="10"/>
      <c r="C897" s="10"/>
      <c r="D897" s="10"/>
      <c r="E897" s="10"/>
      <c r="F897" s="10"/>
      <c r="G897" s="10"/>
    </row>
    <row r="898" spans="1:7" ht="14.25" customHeight="1" x14ac:dyDescent="0.35">
      <c r="A898" s="10"/>
      <c r="B898" s="10"/>
      <c r="C898" s="10"/>
      <c r="D898" s="10"/>
      <c r="E898" s="10"/>
      <c r="F898" s="10"/>
      <c r="G898" s="10"/>
    </row>
    <row r="899" spans="1:7" ht="14.25" customHeight="1" x14ac:dyDescent="0.35">
      <c r="A899" s="10"/>
      <c r="B899" s="10"/>
      <c r="C899" s="10"/>
      <c r="D899" s="10"/>
      <c r="E899" s="10"/>
      <c r="F899" s="10"/>
      <c r="G899" s="10"/>
    </row>
    <row r="900" spans="1:7" ht="14.25" customHeight="1" x14ac:dyDescent="0.35">
      <c r="A900" s="10"/>
      <c r="B900" s="10"/>
      <c r="C900" s="10"/>
      <c r="D900" s="10"/>
      <c r="E900" s="10"/>
      <c r="F900" s="10"/>
      <c r="G900" s="10"/>
    </row>
    <row r="901" spans="1:7" ht="14.25" customHeight="1" x14ac:dyDescent="0.35">
      <c r="A901" s="10"/>
      <c r="B901" s="10"/>
      <c r="C901" s="10"/>
      <c r="D901" s="10"/>
      <c r="E901" s="10"/>
      <c r="F901" s="10"/>
      <c r="G901" s="10"/>
    </row>
    <row r="902" spans="1:7" ht="14.25" customHeight="1" x14ac:dyDescent="0.35">
      <c r="A902" s="10"/>
      <c r="B902" s="10"/>
      <c r="C902" s="10"/>
      <c r="D902" s="10"/>
      <c r="E902" s="10"/>
      <c r="F902" s="10"/>
      <c r="G902" s="10"/>
    </row>
    <row r="903" spans="1:7" ht="14.25" customHeight="1" x14ac:dyDescent="0.35">
      <c r="A903" s="10"/>
      <c r="B903" s="10"/>
      <c r="C903" s="10"/>
      <c r="D903" s="10"/>
      <c r="E903" s="10"/>
      <c r="F903" s="10"/>
      <c r="G903" s="10"/>
    </row>
    <row r="904" spans="1:7" ht="14.25" customHeight="1" x14ac:dyDescent="0.35">
      <c r="A904" s="10"/>
      <c r="B904" s="10"/>
      <c r="C904" s="10"/>
      <c r="D904" s="10"/>
      <c r="E904" s="10"/>
      <c r="F904" s="10"/>
      <c r="G904" s="10"/>
    </row>
    <row r="905" spans="1:7" ht="14.25" customHeight="1" x14ac:dyDescent="0.35">
      <c r="A905" s="10"/>
      <c r="B905" s="10"/>
      <c r="C905" s="10"/>
      <c r="D905" s="10"/>
      <c r="E905" s="10"/>
      <c r="F905" s="10"/>
      <c r="G905" s="10"/>
    </row>
    <row r="906" spans="1:7" ht="14.25" customHeight="1" x14ac:dyDescent="0.35">
      <c r="A906" s="10"/>
      <c r="B906" s="10"/>
      <c r="C906" s="10"/>
      <c r="D906" s="10"/>
      <c r="E906" s="10"/>
      <c r="F906" s="10"/>
      <c r="G906" s="10"/>
    </row>
    <row r="907" spans="1:7" ht="14.25" customHeight="1" x14ac:dyDescent="0.35">
      <c r="A907" s="10"/>
      <c r="B907" s="10"/>
      <c r="C907" s="10"/>
      <c r="D907" s="10"/>
      <c r="E907" s="10"/>
      <c r="F907" s="10"/>
      <c r="G907" s="10"/>
    </row>
    <row r="908" spans="1:7" ht="14.25" customHeight="1" x14ac:dyDescent="0.35">
      <c r="A908" s="10"/>
      <c r="B908" s="10"/>
      <c r="C908" s="10"/>
      <c r="D908" s="10"/>
      <c r="E908" s="10"/>
      <c r="F908" s="10"/>
      <c r="G908" s="10"/>
    </row>
    <row r="909" spans="1:7" ht="14.25" customHeight="1" x14ac:dyDescent="0.35">
      <c r="A909" s="10"/>
      <c r="B909" s="10"/>
      <c r="C909" s="10"/>
      <c r="D909" s="10"/>
      <c r="E909" s="10"/>
      <c r="F909" s="10"/>
      <c r="G909" s="10"/>
    </row>
    <row r="910" spans="1:7" ht="14.25" customHeight="1" x14ac:dyDescent="0.35">
      <c r="A910" s="10"/>
      <c r="B910" s="10"/>
      <c r="C910" s="10"/>
      <c r="D910" s="10"/>
      <c r="E910" s="10"/>
      <c r="F910" s="10"/>
      <c r="G910" s="10"/>
    </row>
    <row r="911" spans="1:7" ht="14.25" customHeight="1" x14ac:dyDescent="0.35">
      <c r="A911" s="10"/>
      <c r="B911" s="10"/>
      <c r="C911" s="10"/>
      <c r="D911" s="10"/>
      <c r="E911" s="10"/>
      <c r="F911" s="10"/>
      <c r="G911" s="10"/>
    </row>
    <row r="912" spans="1:7" ht="14.25" customHeight="1" x14ac:dyDescent="0.35">
      <c r="A912" s="10"/>
      <c r="B912" s="10"/>
      <c r="C912" s="10"/>
      <c r="D912" s="10"/>
      <c r="E912" s="10"/>
      <c r="F912" s="10"/>
      <c r="G912" s="10"/>
    </row>
    <row r="913" spans="1:7" ht="14.25" customHeight="1" x14ac:dyDescent="0.35">
      <c r="A913" s="10"/>
      <c r="B913" s="10"/>
      <c r="C913" s="10"/>
      <c r="D913" s="10"/>
      <c r="E913" s="10"/>
      <c r="F913" s="10"/>
      <c r="G913" s="10"/>
    </row>
    <row r="914" spans="1:7" ht="14.25" customHeight="1" x14ac:dyDescent="0.35">
      <c r="A914" s="10"/>
      <c r="B914" s="10"/>
      <c r="C914" s="10"/>
      <c r="D914" s="10"/>
      <c r="E914" s="10"/>
      <c r="F914" s="10"/>
      <c r="G914" s="10"/>
    </row>
    <row r="915" spans="1:7" ht="14.25" customHeight="1" x14ac:dyDescent="0.35">
      <c r="A915" s="10"/>
      <c r="B915" s="10"/>
      <c r="C915" s="10"/>
      <c r="D915" s="10"/>
      <c r="E915" s="10"/>
      <c r="F915" s="10"/>
      <c r="G915" s="10"/>
    </row>
    <row r="916" spans="1:7" ht="14.25" customHeight="1" x14ac:dyDescent="0.35">
      <c r="A916" s="10"/>
      <c r="B916" s="10"/>
      <c r="C916" s="10"/>
      <c r="D916" s="10"/>
      <c r="E916" s="10"/>
      <c r="F916" s="10"/>
      <c r="G916" s="10"/>
    </row>
    <row r="917" spans="1:7" ht="14.25" customHeight="1" x14ac:dyDescent="0.35">
      <c r="A917" s="10"/>
      <c r="B917" s="10"/>
      <c r="C917" s="10"/>
      <c r="D917" s="10"/>
      <c r="E917" s="10"/>
      <c r="F917" s="10"/>
      <c r="G917" s="10"/>
    </row>
    <row r="918" spans="1:7" ht="14.25" customHeight="1" x14ac:dyDescent="0.35">
      <c r="A918" s="10"/>
      <c r="B918" s="10"/>
      <c r="C918" s="10"/>
      <c r="D918" s="10"/>
      <c r="E918" s="10"/>
      <c r="F918" s="10"/>
      <c r="G918" s="10"/>
    </row>
    <row r="919" spans="1:7" ht="14.25" customHeight="1" x14ac:dyDescent="0.35">
      <c r="A919" s="10"/>
      <c r="B919" s="10"/>
      <c r="C919" s="10"/>
      <c r="D919" s="10"/>
      <c r="E919" s="10"/>
      <c r="F919" s="10"/>
      <c r="G919" s="10"/>
    </row>
    <row r="920" spans="1:7" ht="14.25" customHeight="1" x14ac:dyDescent="0.35">
      <c r="A920" s="10"/>
      <c r="B920" s="10"/>
      <c r="C920" s="10"/>
      <c r="D920" s="10"/>
      <c r="E920" s="10"/>
      <c r="F920" s="10"/>
      <c r="G920" s="10"/>
    </row>
    <row r="921" spans="1:7" ht="14.25" customHeight="1" x14ac:dyDescent="0.35">
      <c r="A921" s="10"/>
      <c r="B921" s="10"/>
      <c r="C921" s="10"/>
      <c r="D921" s="10"/>
      <c r="E921" s="10"/>
      <c r="F921" s="10"/>
      <c r="G921" s="10"/>
    </row>
    <row r="922" spans="1:7" ht="14.25" customHeight="1" x14ac:dyDescent="0.35">
      <c r="A922" s="10"/>
      <c r="B922" s="10"/>
      <c r="C922" s="10"/>
      <c r="D922" s="10"/>
      <c r="E922" s="10"/>
      <c r="F922" s="10"/>
      <c r="G922" s="10"/>
    </row>
    <row r="923" spans="1:7" ht="14.25" customHeight="1" x14ac:dyDescent="0.35">
      <c r="A923" s="10"/>
      <c r="B923" s="10"/>
      <c r="C923" s="10"/>
      <c r="D923" s="10"/>
      <c r="E923" s="10"/>
      <c r="F923" s="10"/>
      <c r="G923" s="10"/>
    </row>
    <row r="924" spans="1:7" ht="14.25" customHeight="1" x14ac:dyDescent="0.35">
      <c r="A924" s="10"/>
      <c r="B924" s="10"/>
      <c r="C924" s="10"/>
      <c r="D924" s="10"/>
      <c r="E924" s="10"/>
      <c r="F924" s="10"/>
      <c r="G924" s="10"/>
    </row>
    <row r="925" spans="1:7" ht="14.25" customHeight="1" x14ac:dyDescent="0.35">
      <c r="A925" s="10"/>
      <c r="B925" s="10"/>
      <c r="C925" s="10"/>
      <c r="D925" s="10"/>
      <c r="E925" s="10"/>
      <c r="F925" s="10"/>
      <c r="G925" s="10"/>
    </row>
    <row r="926" spans="1:7" ht="14.25" customHeight="1" x14ac:dyDescent="0.35">
      <c r="A926" s="10"/>
      <c r="B926" s="10"/>
      <c r="C926" s="10"/>
      <c r="D926" s="10"/>
      <c r="E926" s="10"/>
      <c r="F926" s="10"/>
      <c r="G926" s="10"/>
    </row>
    <row r="927" spans="1:7" ht="14.25" customHeight="1" x14ac:dyDescent="0.35">
      <c r="A927" s="10"/>
      <c r="B927" s="10"/>
      <c r="C927" s="10"/>
      <c r="D927" s="10"/>
      <c r="E927" s="10"/>
      <c r="F927" s="10"/>
      <c r="G927" s="10"/>
    </row>
    <row r="928" spans="1:7" ht="14.25" customHeight="1" x14ac:dyDescent="0.35">
      <c r="A928" s="10"/>
      <c r="B928" s="10"/>
      <c r="C928" s="10"/>
      <c r="D928" s="10"/>
      <c r="E928" s="10"/>
      <c r="F928" s="10"/>
      <c r="G928" s="10"/>
    </row>
    <row r="929" spans="1:7" ht="14.25" customHeight="1" x14ac:dyDescent="0.35">
      <c r="A929" s="10"/>
      <c r="B929" s="10"/>
      <c r="C929" s="10"/>
      <c r="D929" s="10"/>
      <c r="E929" s="10"/>
      <c r="F929" s="10"/>
      <c r="G929" s="10"/>
    </row>
    <row r="930" spans="1:7" ht="14.25" customHeight="1" x14ac:dyDescent="0.35">
      <c r="A930" s="10"/>
      <c r="B930" s="10"/>
      <c r="C930" s="10"/>
      <c r="D930" s="10"/>
      <c r="E930" s="10"/>
      <c r="F930" s="10"/>
      <c r="G930" s="10"/>
    </row>
    <row r="931" spans="1:7" ht="14.25" customHeight="1" x14ac:dyDescent="0.35">
      <c r="A931" s="10"/>
      <c r="B931" s="10"/>
      <c r="C931" s="10"/>
      <c r="D931" s="10"/>
      <c r="E931" s="10"/>
      <c r="F931" s="10"/>
      <c r="G931" s="10"/>
    </row>
    <row r="932" spans="1:7" ht="14.25" customHeight="1" x14ac:dyDescent="0.35">
      <c r="A932" s="10"/>
      <c r="B932" s="10"/>
      <c r="C932" s="10"/>
      <c r="D932" s="10"/>
      <c r="E932" s="10"/>
      <c r="F932" s="10"/>
      <c r="G932" s="10"/>
    </row>
    <row r="933" spans="1:7" ht="14.25" customHeight="1" x14ac:dyDescent="0.35">
      <c r="A933" s="10"/>
      <c r="B933" s="10"/>
      <c r="C933" s="10"/>
      <c r="D933" s="10"/>
      <c r="E933" s="10"/>
      <c r="F933" s="10"/>
      <c r="G933" s="10"/>
    </row>
    <row r="934" spans="1:7" ht="14.25" customHeight="1" x14ac:dyDescent="0.35">
      <c r="A934" s="10"/>
      <c r="B934" s="10"/>
      <c r="C934" s="10"/>
      <c r="D934" s="10"/>
      <c r="E934" s="10"/>
      <c r="F934" s="10"/>
      <c r="G934" s="10"/>
    </row>
    <row r="935" spans="1:7" ht="14.25" customHeight="1" x14ac:dyDescent="0.35">
      <c r="A935" s="10"/>
      <c r="B935" s="10"/>
      <c r="C935" s="10"/>
      <c r="D935" s="10"/>
      <c r="E935" s="10"/>
      <c r="F935" s="10"/>
      <c r="G935" s="10"/>
    </row>
    <row r="936" spans="1:7" ht="14.25" customHeight="1" x14ac:dyDescent="0.35">
      <c r="A936" s="10"/>
      <c r="B936" s="10"/>
      <c r="C936" s="10"/>
      <c r="D936" s="10"/>
      <c r="E936" s="10"/>
      <c r="F936" s="10"/>
      <c r="G936" s="10"/>
    </row>
    <row r="937" spans="1:7" ht="14.25" customHeight="1" x14ac:dyDescent="0.35">
      <c r="A937" s="10"/>
      <c r="B937" s="10"/>
      <c r="C937" s="10"/>
      <c r="D937" s="10"/>
      <c r="E937" s="10"/>
      <c r="F937" s="10"/>
      <c r="G937" s="10"/>
    </row>
    <row r="938" spans="1:7" ht="14.25" customHeight="1" x14ac:dyDescent="0.35">
      <c r="A938" s="10"/>
      <c r="B938" s="10"/>
      <c r="C938" s="10"/>
      <c r="D938" s="10"/>
      <c r="E938" s="10"/>
      <c r="F938" s="10"/>
      <c r="G938" s="10"/>
    </row>
    <row r="939" spans="1:7" ht="14.25" customHeight="1" x14ac:dyDescent="0.35">
      <c r="A939" s="10"/>
      <c r="B939" s="10"/>
      <c r="C939" s="10"/>
      <c r="D939" s="10"/>
      <c r="E939" s="10"/>
      <c r="F939" s="10"/>
      <c r="G939" s="10"/>
    </row>
    <row r="940" spans="1:7" ht="14.25" customHeight="1" x14ac:dyDescent="0.35">
      <c r="A940" s="10"/>
      <c r="B940" s="10"/>
      <c r="C940" s="10"/>
      <c r="D940" s="10"/>
      <c r="E940" s="10"/>
      <c r="F940" s="10"/>
      <c r="G940" s="10"/>
    </row>
    <row r="941" spans="1:7" ht="14.25" customHeight="1" x14ac:dyDescent="0.35">
      <c r="A941" s="10"/>
      <c r="B941" s="10"/>
      <c r="C941" s="10"/>
      <c r="D941" s="10"/>
      <c r="E941" s="10"/>
      <c r="F941" s="10"/>
      <c r="G941" s="10"/>
    </row>
    <row r="942" spans="1:7" ht="14.25" customHeight="1" x14ac:dyDescent="0.35">
      <c r="A942" s="10"/>
      <c r="B942" s="10"/>
      <c r="C942" s="10"/>
      <c r="D942" s="10"/>
      <c r="E942" s="10"/>
      <c r="F942" s="10"/>
      <c r="G942" s="10"/>
    </row>
    <row r="943" spans="1:7" ht="14.25" customHeight="1" x14ac:dyDescent="0.35">
      <c r="A943" s="10"/>
      <c r="B943" s="10"/>
      <c r="C943" s="10"/>
      <c r="D943" s="10"/>
      <c r="E943" s="10"/>
      <c r="F943" s="10"/>
      <c r="G943" s="10"/>
    </row>
    <row r="944" spans="1:7" ht="14.25" customHeight="1" x14ac:dyDescent="0.35">
      <c r="A944" s="10"/>
      <c r="B944" s="10"/>
      <c r="C944" s="10"/>
      <c r="D944" s="10"/>
      <c r="E944" s="10"/>
      <c r="F944" s="10"/>
      <c r="G944" s="10"/>
    </row>
    <row r="945" spans="1:7" ht="14.25" customHeight="1" x14ac:dyDescent="0.35">
      <c r="A945" s="10"/>
      <c r="B945" s="10"/>
      <c r="C945" s="10"/>
      <c r="D945" s="10"/>
      <c r="E945" s="10"/>
      <c r="F945" s="10"/>
      <c r="G945" s="10"/>
    </row>
    <row r="946" spans="1:7" ht="14.25" customHeight="1" x14ac:dyDescent="0.35">
      <c r="A946" s="10"/>
      <c r="B946" s="10"/>
      <c r="C946" s="10"/>
      <c r="D946" s="10"/>
      <c r="E946" s="10"/>
      <c r="F946" s="10"/>
      <c r="G946" s="10"/>
    </row>
    <row r="947" spans="1:7" ht="14.25" customHeight="1" x14ac:dyDescent="0.35">
      <c r="A947" s="10"/>
      <c r="B947" s="10"/>
      <c r="C947" s="10"/>
      <c r="D947" s="10"/>
      <c r="E947" s="10"/>
      <c r="F947" s="10"/>
      <c r="G947" s="10"/>
    </row>
    <row r="948" spans="1:7" ht="14.25" customHeight="1" x14ac:dyDescent="0.35">
      <c r="A948" s="10"/>
      <c r="B948" s="10"/>
      <c r="C948" s="10"/>
      <c r="D948" s="10"/>
      <c r="E948" s="10"/>
      <c r="F948" s="10"/>
      <c r="G948" s="10"/>
    </row>
    <row r="949" spans="1:7" ht="14.25" customHeight="1" x14ac:dyDescent="0.35">
      <c r="A949" s="10"/>
      <c r="B949" s="10"/>
      <c r="C949" s="10"/>
      <c r="D949" s="10"/>
      <c r="E949" s="10"/>
      <c r="F949" s="10"/>
      <c r="G949" s="10"/>
    </row>
    <row r="950" spans="1:7" ht="14.25" customHeight="1" x14ac:dyDescent="0.35">
      <c r="A950" s="10"/>
      <c r="B950" s="10"/>
      <c r="C950" s="10"/>
      <c r="D950" s="10"/>
      <c r="E950" s="10"/>
      <c r="F950" s="10"/>
      <c r="G950" s="10"/>
    </row>
    <row r="951" spans="1:7" ht="14.25" customHeight="1" x14ac:dyDescent="0.35">
      <c r="A951" s="10"/>
      <c r="B951" s="10"/>
      <c r="C951" s="10"/>
      <c r="D951" s="10"/>
      <c r="E951" s="10"/>
      <c r="F951" s="10"/>
      <c r="G951" s="10"/>
    </row>
    <row r="952" spans="1:7" ht="14.25" customHeight="1" x14ac:dyDescent="0.35">
      <c r="A952" s="10"/>
      <c r="B952" s="10"/>
      <c r="C952" s="10"/>
      <c r="D952" s="10"/>
      <c r="E952" s="10"/>
      <c r="F952" s="10"/>
      <c r="G952" s="10"/>
    </row>
    <row r="953" spans="1:7" ht="14.25" customHeight="1" x14ac:dyDescent="0.35">
      <c r="A953" s="10"/>
      <c r="B953" s="10"/>
      <c r="C953" s="10"/>
      <c r="D953" s="10"/>
      <c r="E953" s="10"/>
      <c r="F953" s="10"/>
      <c r="G953" s="10"/>
    </row>
    <row r="954" spans="1:7" ht="14.25" customHeight="1" x14ac:dyDescent="0.35">
      <c r="A954" s="10"/>
      <c r="B954" s="10"/>
      <c r="C954" s="10"/>
      <c r="D954" s="10"/>
      <c r="E954" s="10"/>
      <c r="F954" s="10"/>
      <c r="G954" s="10"/>
    </row>
    <row r="955" spans="1:7" ht="14.25" customHeight="1" x14ac:dyDescent="0.35">
      <c r="A955" s="10"/>
      <c r="B955" s="10"/>
      <c r="C955" s="10"/>
      <c r="D955" s="10"/>
      <c r="E955" s="10"/>
      <c r="F955" s="10"/>
      <c r="G955" s="10"/>
    </row>
    <row r="956" spans="1:7" ht="14.25" customHeight="1" x14ac:dyDescent="0.35">
      <c r="A956" s="10"/>
      <c r="B956" s="10"/>
      <c r="C956" s="10"/>
      <c r="D956" s="10"/>
      <c r="E956" s="10"/>
      <c r="F956" s="10"/>
      <c r="G956" s="10"/>
    </row>
    <row r="957" spans="1:7" ht="14.25" customHeight="1" x14ac:dyDescent="0.35">
      <c r="A957" s="10"/>
      <c r="B957" s="10"/>
      <c r="C957" s="10"/>
      <c r="D957" s="10"/>
      <c r="E957" s="10"/>
      <c r="F957" s="10"/>
      <c r="G957" s="10"/>
    </row>
    <row r="958" spans="1:7" ht="14.25" customHeight="1" x14ac:dyDescent="0.35">
      <c r="A958" s="10"/>
      <c r="B958" s="10"/>
      <c r="C958" s="10"/>
      <c r="D958" s="10"/>
      <c r="E958" s="10"/>
      <c r="F958" s="10"/>
      <c r="G958" s="10"/>
    </row>
    <row r="959" spans="1:7" ht="14.25" customHeight="1" x14ac:dyDescent="0.35">
      <c r="A959" s="10"/>
      <c r="B959" s="10"/>
      <c r="C959" s="10"/>
      <c r="D959" s="10"/>
      <c r="E959" s="10"/>
      <c r="F959" s="10"/>
      <c r="G959" s="10"/>
    </row>
    <row r="960" spans="1:7" ht="14.25" customHeight="1" x14ac:dyDescent="0.35">
      <c r="A960" s="10"/>
      <c r="B960" s="10"/>
      <c r="C960" s="10"/>
      <c r="D960" s="10"/>
      <c r="E960" s="10"/>
      <c r="F960" s="10"/>
      <c r="G960" s="10"/>
    </row>
    <row r="961" spans="1:7" ht="14.25" customHeight="1" x14ac:dyDescent="0.35">
      <c r="A961" s="10"/>
      <c r="B961" s="10"/>
      <c r="C961" s="10"/>
      <c r="D961" s="10"/>
      <c r="E961" s="10"/>
      <c r="F961" s="10"/>
      <c r="G961" s="10"/>
    </row>
    <row r="962" spans="1:7" ht="14.25" customHeight="1" x14ac:dyDescent="0.35">
      <c r="A962" s="10"/>
      <c r="B962" s="10"/>
      <c r="C962" s="10"/>
      <c r="D962" s="10"/>
      <c r="E962" s="10"/>
      <c r="F962" s="10"/>
      <c r="G962" s="10"/>
    </row>
    <row r="963" spans="1:7" ht="14.25" customHeight="1" x14ac:dyDescent="0.35">
      <c r="A963" s="10"/>
      <c r="B963" s="10"/>
      <c r="C963" s="10"/>
      <c r="D963" s="10"/>
      <c r="E963" s="10"/>
      <c r="F963" s="10"/>
      <c r="G963" s="10"/>
    </row>
    <row r="964" spans="1:7" ht="14.25" customHeight="1" x14ac:dyDescent="0.35">
      <c r="A964" s="10"/>
      <c r="B964" s="10"/>
      <c r="C964" s="10"/>
      <c r="D964" s="10"/>
      <c r="E964" s="10"/>
      <c r="F964" s="10"/>
      <c r="G964" s="10"/>
    </row>
    <row r="965" spans="1:7" ht="14.25" customHeight="1" x14ac:dyDescent="0.35">
      <c r="A965" s="10"/>
      <c r="B965" s="10"/>
      <c r="C965" s="10"/>
      <c r="D965" s="10"/>
      <c r="E965" s="10"/>
      <c r="F965" s="10"/>
      <c r="G965" s="10"/>
    </row>
    <row r="966" spans="1:7" ht="14.25" customHeight="1" x14ac:dyDescent="0.35">
      <c r="A966" s="10"/>
      <c r="B966" s="10"/>
      <c r="C966" s="10"/>
      <c r="D966" s="10"/>
      <c r="E966" s="10"/>
      <c r="F966" s="10"/>
      <c r="G966" s="10"/>
    </row>
    <row r="967" spans="1:7" ht="14.25" customHeight="1" x14ac:dyDescent="0.35">
      <c r="A967" s="10"/>
      <c r="B967" s="10"/>
      <c r="C967" s="10"/>
      <c r="D967" s="10"/>
      <c r="E967" s="10"/>
      <c r="F967" s="10"/>
      <c r="G967" s="10"/>
    </row>
    <row r="968" spans="1:7" ht="14.25" customHeight="1" x14ac:dyDescent="0.35">
      <c r="A968" s="10"/>
      <c r="B968" s="10"/>
      <c r="C968" s="10"/>
      <c r="D968" s="10"/>
      <c r="E968" s="10"/>
      <c r="F968" s="10"/>
      <c r="G968" s="10"/>
    </row>
    <row r="969" spans="1:7" ht="14.25" customHeight="1" x14ac:dyDescent="0.35">
      <c r="A969" s="10"/>
      <c r="B969" s="10"/>
      <c r="C969" s="10"/>
      <c r="D969" s="10"/>
      <c r="E969" s="10"/>
      <c r="F969" s="10"/>
      <c r="G969" s="10"/>
    </row>
    <row r="970" spans="1:7" ht="14.25" customHeight="1" x14ac:dyDescent="0.35">
      <c r="A970" s="10"/>
      <c r="B970" s="10"/>
      <c r="C970" s="10"/>
      <c r="D970" s="10"/>
      <c r="E970" s="10"/>
      <c r="F970" s="10"/>
      <c r="G970" s="10"/>
    </row>
    <row r="971" spans="1:7" ht="14.25" customHeight="1" x14ac:dyDescent="0.35">
      <c r="A971" s="10"/>
      <c r="B971" s="10"/>
      <c r="C971" s="10"/>
      <c r="D971" s="10"/>
      <c r="E971" s="10"/>
      <c r="F971" s="10"/>
      <c r="G971" s="10"/>
    </row>
    <row r="972" spans="1:7" ht="14.25" customHeight="1" x14ac:dyDescent="0.35">
      <c r="A972" s="10"/>
      <c r="B972" s="10"/>
      <c r="C972" s="10"/>
      <c r="D972" s="10"/>
      <c r="E972" s="10"/>
      <c r="F972" s="10"/>
      <c r="G972" s="10"/>
    </row>
    <row r="973" spans="1:7" ht="14.25" customHeight="1" x14ac:dyDescent="0.35">
      <c r="A973" s="10"/>
      <c r="B973" s="10"/>
      <c r="C973" s="10"/>
      <c r="D973" s="10"/>
      <c r="E973" s="10"/>
      <c r="F973" s="10"/>
      <c r="G973" s="10"/>
    </row>
    <row r="974" spans="1:7" ht="14.25" customHeight="1" x14ac:dyDescent="0.35">
      <c r="A974" s="10"/>
      <c r="B974" s="10"/>
      <c r="C974" s="10"/>
      <c r="D974" s="10"/>
      <c r="E974" s="10"/>
      <c r="F974" s="10"/>
      <c r="G974" s="10"/>
    </row>
    <row r="975" spans="1:7" ht="14.25" customHeight="1" x14ac:dyDescent="0.35">
      <c r="A975" s="10"/>
      <c r="B975" s="10"/>
      <c r="C975" s="10"/>
      <c r="D975" s="10"/>
      <c r="E975" s="10"/>
      <c r="F975" s="10"/>
      <c r="G975" s="10"/>
    </row>
    <row r="976" spans="1:7" ht="14.25" customHeight="1" x14ac:dyDescent="0.35">
      <c r="A976" s="10"/>
      <c r="B976" s="10"/>
      <c r="C976" s="10"/>
      <c r="D976" s="10"/>
      <c r="E976" s="10"/>
      <c r="F976" s="10"/>
      <c r="G976" s="10"/>
    </row>
    <row r="977" spans="1:7" ht="14.25" customHeight="1" x14ac:dyDescent="0.35">
      <c r="A977" s="10"/>
      <c r="B977" s="10"/>
      <c r="C977" s="10"/>
      <c r="D977" s="10"/>
      <c r="E977" s="10"/>
      <c r="F977" s="10"/>
      <c r="G977" s="10"/>
    </row>
    <row r="978" spans="1:7" ht="14.25" customHeight="1" x14ac:dyDescent="0.35">
      <c r="A978" s="10"/>
      <c r="B978" s="10"/>
      <c r="C978" s="10"/>
      <c r="D978" s="10"/>
      <c r="E978" s="10"/>
      <c r="F978" s="10"/>
      <c r="G978" s="10"/>
    </row>
    <row r="979" spans="1:7" ht="14.25" customHeight="1" x14ac:dyDescent="0.35">
      <c r="A979" s="10"/>
      <c r="B979" s="10"/>
      <c r="C979" s="10"/>
      <c r="D979" s="10"/>
      <c r="E979" s="10"/>
      <c r="F979" s="10"/>
      <c r="G979" s="10"/>
    </row>
    <row r="980" spans="1:7" ht="14.25" customHeight="1" x14ac:dyDescent="0.35">
      <c r="A980" s="10"/>
      <c r="B980" s="10"/>
      <c r="C980" s="10"/>
      <c r="D980" s="10"/>
      <c r="E980" s="10"/>
      <c r="F980" s="10"/>
      <c r="G980" s="10"/>
    </row>
    <row r="981" spans="1:7" ht="14.25" customHeight="1" x14ac:dyDescent="0.35">
      <c r="A981" s="10"/>
      <c r="B981" s="10"/>
      <c r="C981" s="10"/>
      <c r="D981" s="10"/>
      <c r="E981" s="10"/>
      <c r="F981" s="10"/>
      <c r="G981" s="10"/>
    </row>
    <row r="982" spans="1:7" ht="14.25" customHeight="1" x14ac:dyDescent="0.35">
      <c r="A982" s="10"/>
      <c r="B982" s="10"/>
      <c r="C982" s="10"/>
      <c r="D982" s="10"/>
      <c r="E982" s="10"/>
      <c r="F982" s="10"/>
      <c r="G982" s="10"/>
    </row>
    <row r="983" spans="1:7" ht="14.25" customHeight="1" x14ac:dyDescent="0.35">
      <c r="A983" s="10"/>
      <c r="B983" s="10"/>
      <c r="C983" s="10"/>
      <c r="D983" s="10"/>
      <c r="E983" s="10"/>
      <c r="F983" s="10"/>
      <c r="G983" s="10"/>
    </row>
    <row r="984" spans="1:7" ht="14.25" customHeight="1" x14ac:dyDescent="0.35">
      <c r="A984" s="10"/>
      <c r="B984" s="10"/>
      <c r="C984" s="10"/>
      <c r="D984" s="10"/>
      <c r="E984" s="10"/>
      <c r="F984" s="10"/>
      <c r="G984" s="10"/>
    </row>
    <row r="985" spans="1:7" ht="14.25" customHeight="1" x14ac:dyDescent="0.35">
      <c r="A985" s="10"/>
      <c r="B985" s="10"/>
      <c r="C985" s="10"/>
      <c r="D985" s="10"/>
      <c r="E985" s="10"/>
      <c r="F985" s="10"/>
      <c r="G985" s="10"/>
    </row>
    <row r="986" spans="1:7" ht="14.25" customHeight="1" x14ac:dyDescent="0.35">
      <c r="A986" s="10"/>
      <c r="B986" s="10"/>
      <c r="C986" s="10"/>
      <c r="D986" s="10"/>
      <c r="E986" s="10"/>
      <c r="F986" s="10"/>
      <c r="G986" s="10"/>
    </row>
    <row r="987" spans="1:7" ht="14.25" customHeight="1" x14ac:dyDescent="0.35">
      <c r="A987" s="10"/>
      <c r="B987" s="10"/>
      <c r="C987" s="10"/>
      <c r="D987" s="10"/>
      <c r="E987" s="10"/>
      <c r="F987" s="10"/>
      <c r="G987" s="10"/>
    </row>
    <row r="988" spans="1:7" ht="14.25" customHeight="1" x14ac:dyDescent="0.35">
      <c r="A988" s="10"/>
      <c r="B988" s="10"/>
      <c r="C988" s="10"/>
      <c r="D988" s="10"/>
      <c r="E988" s="10"/>
      <c r="F988" s="10"/>
      <c r="G988" s="10"/>
    </row>
    <row r="989" spans="1:7" ht="14.25" customHeight="1" x14ac:dyDescent="0.35">
      <c r="A989" s="10"/>
      <c r="B989" s="10"/>
      <c r="C989" s="10"/>
      <c r="D989" s="10"/>
      <c r="E989" s="10"/>
      <c r="F989" s="10"/>
      <c r="G989" s="10"/>
    </row>
    <row r="990" spans="1:7" ht="14.25" customHeight="1" x14ac:dyDescent="0.35">
      <c r="A990" s="10"/>
      <c r="B990" s="10"/>
      <c r="C990" s="10"/>
      <c r="D990" s="10"/>
      <c r="E990" s="10"/>
      <c r="F990" s="10"/>
      <c r="G990" s="10"/>
    </row>
    <row r="991" spans="1:7" ht="14.25" customHeight="1" x14ac:dyDescent="0.35">
      <c r="A991" s="10"/>
      <c r="B991" s="10"/>
      <c r="C991" s="10"/>
      <c r="D991" s="10"/>
      <c r="E991" s="10"/>
      <c r="F991" s="10"/>
      <c r="G991" s="10"/>
    </row>
    <row r="992" spans="1:7" ht="14.25" customHeight="1" x14ac:dyDescent="0.35">
      <c r="A992" s="10"/>
      <c r="B992" s="10"/>
      <c r="C992" s="10"/>
      <c r="D992" s="10"/>
      <c r="E992" s="10"/>
      <c r="F992" s="10"/>
      <c r="G992" s="10"/>
    </row>
    <row r="993" spans="1:7" ht="14.25" customHeight="1" x14ac:dyDescent="0.35">
      <c r="A993" s="10"/>
      <c r="B993" s="10"/>
      <c r="C993" s="10"/>
      <c r="D993" s="10"/>
      <c r="E993" s="10"/>
      <c r="F993" s="10"/>
      <c r="G993" s="10"/>
    </row>
    <row r="994" spans="1:7" ht="14.25" customHeight="1" x14ac:dyDescent="0.35">
      <c r="A994" s="10"/>
      <c r="B994" s="10"/>
      <c r="C994" s="10"/>
      <c r="D994" s="10"/>
      <c r="E994" s="10"/>
      <c r="F994" s="10"/>
      <c r="G994" s="10"/>
    </row>
    <row r="995" spans="1:7" ht="14.25" customHeight="1" x14ac:dyDescent="0.35">
      <c r="A995" s="10"/>
      <c r="B995" s="10"/>
      <c r="C995" s="10"/>
      <c r="D995" s="10"/>
      <c r="E995" s="10"/>
      <c r="F995" s="10"/>
      <c r="G995" s="10"/>
    </row>
    <row r="996" spans="1:7" ht="14.25" customHeight="1" x14ac:dyDescent="0.35">
      <c r="A996" s="10"/>
      <c r="B996" s="10"/>
      <c r="C996" s="10"/>
      <c r="D996" s="10"/>
      <c r="E996" s="10"/>
      <c r="F996" s="10"/>
      <c r="G996" s="10"/>
    </row>
    <row r="997" spans="1:7" ht="14.25" customHeight="1" x14ac:dyDescent="0.35">
      <c r="A997" s="10"/>
      <c r="B997" s="10"/>
      <c r="C997" s="10"/>
      <c r="D997" s="10"/>
      <c r="E997" s="10"/>
      <c r="F997" s="10"/>
      <c r="G997" s="10"/>
    </row>
    <row r="998" spans="1:7" ht="14.25" customHeight="1" x14ac:dyDescent="0.35">
      <c r="A998" s="10"/>
      <c r="B998" s="10"/>
      <c r="C998" s="10"/>
      <c r="D998" s="10"/>
      <c r="E998" s="10"/>
      <c r="F998" s="10"/>
      <c r="G998" s="10"/>
    </row>
    <row r="999" spans="1:7" ht="14.25" customHeight="1" x14ac:dyDescent="0.35">
      <c r="A999" s="10"/>
      <c r="B999" s="10"/>
      <c r="C999" s="10"/>
      <c r="D999" s="10"/>
      <c r="E999" s="10"/>
      <c r="F999" s="10"/>
      <c r="G999" s="10"/>
    </row>
    <row r="1000" spans="1:7" ht="14.25" customHeight="1" x14ac:dyDescent="0.35">
      <c r="A1000" s="10"/>
      <c r="B1000" s="10"/>
      <c r="C1000" s="10"/>
      <c r="D1000" s="10"/>
      <c r="E1000" s="10"/>
      <c r="F1000" s="10"/>
      <c r="G1000" s="10"/>
    </row>
  </sheetData>
  <pageMargins left="0.75" right="0.75" top="1" bottom="1" header="0" footer="0"/>
  <pageSetup paperSize="9"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1000"/>
  <sheetViews>
    <sheetView workbookViewId="0"/>
  </sheetViews>
  <sheetFormatPr defaultColWidth="14.453125" defaultRowHeight="15" customHeight="1" x14ac:dyDescent="0.35"/>
  <cols>
    <col min="1" max="1" width="18" customWidth="1"/>
    <col min="2" max="7" width="11" customWidth="1"/>
    <col min="8" max="26" width="8.54296875" customWidth="1"/>
  </cols>
  <sheetData>
    <row r="1" spans="1:7" ht="14.25" customHeight="1" x14ac:dyDescent="0.35">
      <c r="A1" s="11" t="s">
        <v>947</v>
      </c>
    </row>
    <row r="2" spans="1:7" ht="27.75" customHeight="1" x14ac:dyDescent="0.35">
      <c r="A2" s="30" t="s">
        <v>948</v>
      </c>
      <c r="B2" s="31"/>
      <c r="C2" s="31"/>
      <c r="D2" s="31"/>
      <c r="E2" s="31"/>
      <c r="F2" s="31"/>
    </row>
    <row r="3" spans="1:7" ht="14.25" customHeight="1" x14ac:dyDescent="0.35"/>
    <row r="4" spans="1:7" ht="14.25" customHeight="1" x14ac:dyDescent="0.35">
      <c r="A4" s="13" t="s">
        <v>949</v>
      </c>
    </row>
    <row r="5" spans="1:7" ht="14.25" customHeight="1" x14ac:dyDescent="0.35">
      <c r="A5" s="14" t="s">
        <v>5</v>
      </c>
      <c r="B5" s="14" t="s">
        <v>940</v>
      </c>
      <c r="C5" s="14" t="s">
        <v>941</v>
      </c>
      <c r="D5" s="14" t="s">
        <v>942</v>
      </c>
      <c r="E5" s="14" t="s">
        <v>943</v>
      </c>
      <c r="F5" s="14" t="s">
        <v>944</v>
      </c>
    </row>
    <row r="6" spans="1:7" ht="14.25" customHeight="1" x14ac:dyDescent="0.35">
      <c r="A6" s="20" t="s">
        <v>14</v>
      </c>
      <c r="B6" s="16">
        <f>COUNTIFS('Data (parsed)'!$E$2:$E$235,$A6,'Data (parsed)'!$B$2:$B$235,B$5)</f>
        <v>48</v>
      </c>
      <c r="C6" s="16">
        <f>COUNTIFS('Data (parsed)'!$E$2:$E$235,$A6,'Data (parsed)'!$B$2:$B$235,C$5)</f>
        <v>24</v>
      </c>
      <c r="D6" s="16">
        <f>COUNTIFS('Data (parsed)'!$E$2:$E$235,$A6,'Data (parsed)'!$B$2:$B$235,D$5)</f>
        <v>31</v>
      </c>
      <c r="E6" s="16">
        <f>COUNTIFS('Data (parsed)'!$E$2:$E$235,$A6,'Data (parsed)'!$B$2:$B$235,E$5)</f>
        <v>9</v>
      </c>
      <c r="F6" s="18">
        <f t="shared" ref="F6:F10" si="0">SUM(B6:E6)</f>
        <v>112</v>
      </c>
    </row>
    <row r="7" spans="1:7" ht="14.25" customHeight="1" x14ac:dyDescent="0.35">
      <c r="A7" s="20" t="s">
        <v>98</v>
      </c>
      <c r="B7" s="16">
        <f>COUNTIFS('Data (parsed)'!$E$2:$E$235,$A7,'Data (parsed)'!$B$2:$B$235,B$5)</f>
        <v>7</v>
      </c>
      <c r="C7" s="16">
        <f>COUNTIFS('Data (parsed)'!$E$2:$E$235,$A7,'Data (parsed)'!$B$2:$B$235,C$5)</f>
        <v>0</v>
      </c>
      <c r="D7" s="16">
        <f>COUNTIFS('Data (parsed)'!$E$2:$E$235,$A7,'Data (parsed)'!$B$2:$B$235,D$5)</f>
        <v>0</v>
      </c>
      <c r="E7" s="16">
        <f>COUNTIFS('Data (parsed)'!$E$2:$E$235,$A7,'Data (parsed)'!$B$2:$B$235,E$5)</f>
        <v>28</v>
      </c>
      <c r="F7" s="18">
        <f t="shared" si="0"/>
        <v>35</v>
      </c>
    </row>
    <row r="8" spans="1:7" ht="14.25" customHeight="1" x14ac:dyDescent="0.35">
      <c r="A8" s="20" t="s">
        <v>87</v>
      </c>
      <c r="B8" s="16">
        <f>COUNTIFS('Data (parsed)'!$E$2:$E$235,$A8,'Data (parsed)'!$B$2:$B$235,B$5)</f>
        <v>20</v>
      </c>
      <c r="C8" s="16">
        <f>COUNTIFS('Data (parsed)'!$E$2:$E$235,$A8,'Data (parsed)'!$B$2:$B$235,C$5)</f>
        <v>0</v>
      </c>
      <c r="D8" s="16">
        <f>COUNTIFS('Data (parsed)'!$E$2:$E$235,$A8,'Data (parsed)'!$B$2:$B$235,D$5)</f>
        <v>2</v>
      </c>
      <c r="E8" s="16">
        <f>COUNTIFS('Data (parsed)'!$E$2:$E$235,$A8,'Data (parsed)'!$B$2:$B$235,E$5)</f>
        <v>8</v>
      </c>
      <c r="F8" s="18">
        <f t="shared" si="0"/>
        <v>30</v>
      </c>
    </row>
    <row r="9" spans="1:7" ht="14.25" customHeight="1" x14ac:dyDescent="0.35">
      <c r="A9" s="20" t="s">
        <v>92</v>
      </c>
      <c r="B9" s="16">
        <f>COUNTIFS('Data (parsed)'!$E$2:$E$235,$A9,'Data (parsed)'!$B$2:$B$235,B$5)</f>
        <v>8</v>
      </c>
      <c r="C9" s="16">
        <f>COUNTIFS('Data (parsed)'!$E$2:$E$235,$A9,'Data (parsed)'!$B$2:$B$235,C$5)</f>
        <v>3</v>
      </c>
      <c r="D9" s="16">
        <f>COUNTIFS('Data (parsed)'!$E$2:$E$235,$A9,'Data (parsed)'!$B$2:$B$235,D$5)</f>
        <v>1</v>
      </c>
      <c r="E9" s="16">
        <f>COUNTIFS('Data (parsed)'!$E$2:$E$235,$A9,'Data (parsed)'!$B$2:$B$235,E$5)</f>
        <v>1</v>
      </c>
      <c r="F9" s="18">
        <f t="shared" si="0"/>
        <v>13</v>
      </c>
    </row>
    <row r="10" spans="1:7" ht="14.25" customHeight="1" x14ac:dyDescent="0.35">
      <c r="A10" s="21" t="s">
        <v>950</v>
      </c>
      <c r="B10" s="18">
        <f>SUMIFS('Data (parsed)'!$I$2:$I$235,'Data (parsed)'!$J$2:$J$235,1,'Data (parsed)'!$B$2:$B$235,B$5)</f>
        <v>82</v>
      </c>
      <c r="C10" s="18">
        <f>SUMIFS('Data (parsed)'!$I$2:$I$235,'Data (parsed)'!$J$2:$J$235,1,'Data (parsed)'!$B$2:$B$235,C$5)</f>
        <v>26</v>
      </c>
      <c r="D10" s="18">
        <f>SUMIFS('Data (parsed)'!$I$2:$I$235,'Data (parsed)'!$J$2:$J$235,1,'Data (parsed)'!$B$2:$B$235,D$5)</f>
        <v>34</v>
      </c>
      <c r="E10" s="18">
        <f>SUMIFS('Data (parsed)'!$I$2:$I$235,'Data (parsed)'!$J$2:$J$235,1,'Data (parsed)'!$B$2:$B$235,E$5)</f>
        <v>45</v>
      </c>
      <c r="F10" s="18">
        <f t="shared" si="0"/>
        <v>187</v>
      </c>
    </row>
    <row r="11" spans="1:7" ht="14.25" customHeight="1" x14ac:dyDescent="0.35"/>
    <row r="12" spans="1:7" ht="14.25" customHeight="1" x14ac:dyDescent="0.35">
      <c r="A12" s="13" t="s">
        <v>951</v>
      </c>
    </row>
    <row r="13" spans="1:7" ht="14.25" customHeight="1" x14ac:dyDescent="0.35">
      <c r="A13" s="14" t="s">
        <v>5</v>
      </c>
      <c r="B13" s="14" t="s">
        <v>11</v>
      </c>
      <c r="C13" s="14" t="s">
        <v>95</v>
      </c>
      <c r="D13" s="14" t="s">
        <v>22</v>
      </c>
      <c r="E13" s="14" t="s">
        <v>38</v>
      </c>
      <c r="F13" s="14" t="s">
        <v>64</v>
      </c>
      <c r="G13" s="14" t="s">
        <v>944</v>
      </c>
    </row>
    <row r="14" spans="1:7" ht="14.25" customHeight="1" x14ac:dyDescent="0.35">
      <c r="A14" s="20" t="s">
        <v>14</v>
      </c>
      <c r="B14" s="16">
        <f>COUNTIFS('Data (parsed)'!$E$2:$E$235,$A14,'Data (parsed)'!$D$2:$D$235,B$13)</f>
        <v>8</v>
      </c>
      <c r="C14" s="16">
        <f>COUNTIFS('Data (parsed)'!$E$2:$E$235,$A14,'Data (parsed)'!$D$2:$D$235,C$13)</f>
        <v>16</v>
      </c>
      <c r="D14" s="16">
        <f>COUNTIFS('Data (parsed)'!$E$2:$E$235,$A14,'Data (parsed)'!$D$2:$D$235,D$13)</f>
        <v>14</v>
      </c>
      <c r="E14" s="16">
        <f>COUNTIFS('Data (parsed)'!$E$2:$E$235,$A14,'Data (parsed)'!$D$2:$D$235,E$13)</f>
        <v>42</v>
      </c>
      <c r="F14" s="16">
        <f>COUNTIFS('Data (parsed)'!$E$2:$E$235,$A14,'Data (parsed)'!$D$2:$D$235,F$13)</f>
        <v>32</v>
      </c>
      <c r="G14" s="18">
        <f t="shared" ref="G14:G17" si="1">SUM(B14:F14)</f>
        <v>112</v>
      </c>
    </row>
    <row r="15" spans="1:7" ht="14.25" customHeight="1" x14ac:dyDescent="0.35">
      <c r="A15" s="20" t="s">
        <v>98</v>
      </c>
      <c r="B15" s="16">
        <f>COUNTIFS('Data (parsed)'!$E$2:$E$235,$A15,'Data (parsed)'!$D$2:$D$235,B$13)</f>
        <v>0</v>
      </c>
      <c r="C15" s="16">
        <f>COUNTIFS('Data (parsed)'!$E$2:$E$235,$A15,'Data (parsed)'!$D$2:$D$235,C$13)</f>
        <v>3</v>
      </c>
      <c r="D15" s="16">
        <f>COUNTIFS('Data (parsed)'!$E$2:$E$235,$A15,'Data (parsed)'!$D$2:$D$235,D$13)</f>
        <v>1</v>
      </c>
      <c r="E15" s="16">
        <f>COUNTIFS('Data (parsed)'!$E$2:$E$235,$A15,'Data (parsed)'!$D$2:$D$235,E$13)</f>
        <v>17</v>
      </c>
      <c r="F15" s="16">
        <f>COUNTIFS('Data (parsed)'!$E$2:$E$235,$A15,'Data (parsed)'!$D$2:$D$235,F$13)</f>
        <v>14</v>
      </c>
      <c r="G15" s="18">
        <f t="shared" si="1"/>
        <v>35</v>
      </c>
    </row>
    <row r="16" spans="1:7" ht="14.25" customHeight="1" x14ac:dyDescent="0.35">
      <c r="A16" s="20" t="s">
        <v>87</v>
      </c>
      <c r="B16" s="16">
        <f>COUNTIFS('Data (parsed)'!$E$2:$E$235,$A16,'Data (parsed)'!$D$2:$D$235,B$13)</f>
        <v>0</v>
      </c>
      <c r="C16" s="16">
        <f>COUNTIFS('Data (parsed)'!$E$2:$E$235,$A16,'Data (parsed)'!$D$2:$D$235,C$13)</f>
        <v>2</v>
      </c>
      <c r="D16" s="16">
        <f>COUNTIFS('Data (parsed)'!$E$2:$E$235,$A16,'Data (parsed)'!$D$2:$D$235,D$13)</f>
        <v>3</v>
      </c>
      <c r="E16" s="16">
        <f>COUNTIFS('Data (parsed)'!$E$2:$E$235,$A16,'Data (parsed)'!$D$2:$D$235,E$13)</f>
        <v>14</v>
      </c>
      <c r="F16" s="16">
        <f>COUNTIFS('Data (parsed)'!$E$2:$E$235,$A16,'Data (parsed)'!$D$2:$D$235,F$13)</f>
        <v>11</v>
      </c>
      <c r="G16" s="18">
        <f t="shared" si="1"/>
        <v>30</v>
      </c>
    </row>
    <row r="17" spans="1:7" ht="14.25" customHeight="1" x14ac:dyDescent="0.35">
      <c r="A17" s="20" t="s">
        <v>92</v>
      </c>
      <c r="B17" s="16">
        <f>COUNTIFS('Data (parsed)'!$E$2:$E$235,$A17,'Data (parsed)'!$D$2:$D$235,B$13)</f>
        <v>0</v>
      </c>
      <c r="C17" s="16">
        <f>COUNTIFS('Data (parsed)'!$E$2:$E$235,$A17,'Data (parsed)'!$D$2:$D$235,C$13)</f>
        <v>4</v>
      </c>
      <c r="D17" s="16">
        <f>COUNTIFS('Data (parsed)'!$E$2:$E$235,$A17,'Data (parsed)'!$D$2:$D$235,D$13)</f>
        <v>3</v>
      </c>
      <c r="E17" s="16">
        <f>COUNTIFS('Data (parsed)'!$E$2:$E$235,$A17,'Data (parsed)'!$D$2:$D$235,E$13)</f>
        <v>1</v>
      </c>
      <c r="F17" s="16">
        <f>COUNTIFS('Data (parsed)'!$E$2:$E$235,$A17,'Data (parsed)'!$D$2:$D$235,F$13)</f>
        <v>5</v>
      </c>
      <c r="G17" s="18">
        <f t="shared" si="1"/>
        <v>13</v>
      </c>
    </row>
    <row r="18" spans="1:7" ht="14.25" customHeight="1" x14ac:dyDescent="0.35"/>
    <row r="19" spans="1:7" ht="14.25" customHeight="1" x14ac:dyDescent="0.35"/>
    <row r="20" spans="1:7" ht="14.25" customHeight="1" x14ac:dyDescent="0.35"/>
    <row r="21" spans="1:7" ht="14.25" customHeight="1" x14ac:dyDescent="0.35"/>
    <row r="22" spans="1:7" ht="14.25" customHeight="1" x14ac:dyDescent="0.35"/>
    <row r="23" spans="1:7" ht="14.25" customHeight="1" x14ac:dyDescent="0.35"/>
    <row r="24" spans="1:7" ht="14.25" customHeight="1" x14ac:dyDescent="0.35"/>
    <row r="25" spans="1:7" ht="14.25" customHeight="1" x14ac:dyDescent="0.35"/>
    <row r="26" spans="1:7" ht="14.25" customHeight="1" x14ac:dyDescent="0.35"/>
    <row r="27" spans="1:7" ht="14.25" customHeight="1" x14ac:dyDescent="0.35"/>
    <row r="28" spans="1:7" ht="14.25" customHeight="1" x14ac:dyDescent="0.35"/>
    <row r="29" spans="1:7" ht="14.25" customHeight="1" x14ac:dyDescent="0.35"/>
    <row r="30" spans="1:7" ht="14.25" customHeight="1" x14ac:dyDescent="0.35"/>
    <row r="31" spans="1:7" ht="14.25" customHeight="1" x14ac:dyDescent="0.35"/>
    <row r="32" spans="1:7" ht="14.25" customHeight="1" x14ac:dyDescent="0.35"/>
    <row r="33" ht="14.25" customHeight="1" x14ac:dyDescent="0.35"/>
    <row r="34" ht="14.25" customHeight="1" x14ac:dyDescent="0.35"/>
    <row r="35" ht="14.25" customHeight="1" x14ac:dyDescent="0.35"/>
    <row r="36" ht="14.25" customHeight="1" x14ac:dyDescent="0.35"/>
    <row r="37" ht="14.25" customHeight="1" x14ac:dyDescent="0.35"/>
    <row r="38" ht="14.25" customHeight="1" x14ac:dyDescent="0.35"/>
    <row r="39" ht="14.25" customHeight="1" x14ac:dyDescent="0.35"/>
    <row r="40" ht="14.25" customHeight="1" x14ac:dyDescent="0.35"/>
    <row r="41" ht="14.25" customHeight="1" x14ac:dyDescent="0.35"/>
    <row r="42" ht="14.25" customHeight="1" x14ac:dyDescent="0.35"/>
    <row r="43" ht="14.25" customHeight="1" x14ac:dyDescent="0.35"/>
    <row r="44" ht="14.25" customHeight="1" x14ac:dyDescent="0.35"/>
    <row r="45" ht="14.25" customHeight="1" x14ac:dyDescent="0.35"/>
    <row r="46" ht="14.25" customHeight="1" x14ac:dyDescent="0.35"/>
    <row r="47" ht="14.25" customHeight="1" x14ac:dyDescent="0.35"/>
    <row r="48" ht="14.25" customHeight="1" x14ac:dyDescent="0.35"/>
    <row r="49" ht="14.25" customHeight="1" x14ac:dyDescent="0.35"/>
    <row r="50" ht="14.25" customHeight="1" x14ac:dyDescent="0.35"/>
    <row r="51" ht="14.25" customHeight="1" x14ac:dyDescent="0.35"/>
    <row r="52" ht="14.25" customHeight="1" x14ac:dyDescent="0.35"/>
    <row r="53" ht="14.25" customHeight="1" x14ac:dyDescent="0.35"/>
    <row r="54" ht="14.25" customHeight="1" x14ac:dyDescent="0.35"/>
    <row r="55" ht="14.25" customHeight="1" x14ac:dyDescent="0.35"/>
    <row r="56" ht="14.25" customHeight="1" x14ac:dyDescent="0.35"/>
    <row r="57" ht="14.25" customHeight="1" x14ac:dyDescent="0.35"/>
    <row r="58" ht="14.25" customHeight="1" x14ac:dyDescent="0.35"/>
    <row r="59" ht="14.25" customHeight="1" x14ac:dyDescent="0.35"/>
    <row r="60" ht="14.25" customHeight="1" x14ac:dyDescent="0.35"/>
    <row r="61" ht="14.25" customHeight="1" x14ac:dyDescent="0.35"/>
    <row r="62" ht="14.25" customHeight="1" x14ac:dyDescent="0.35"/>
    <row r="63" ht="14.25" customHeight="1" x14ac:dyDescent="0.35"/>
    <row r="64" ht="14.25" customHeight="1" x14ac:dyDescent="0.35"/>
    <row r="65" ht="14.25" customHeight="1" x14ac:dyDescent="0.35"/>
    <row r="66" ht="14.25" customHeight="1" x14ac:dyDescent="0.35"/>
    <row r="67" ht="14.25" customHeight="1" x14ac:dyDescent="0.35"/>
    <row r="68" ht="14.25" customHeight="1" x14ac:dyDescent="0.35"/>
    <row r="69" ht="14.25" customHeight="1" x14ac:dyDescent="0.35"/>
    <row r="70" ht="14.25" customHeight="1" x14ac:dyDescent="0.35"/>
    <row r="71" ht="14.25" customHeight="1" x14ac:dyDescent="0.35"/>
    <row r="72" ht="14.25" customHeight="1" x14ac:dyDescent="0.35"/>
    <row r="73" ht="14.25" customHeight="1" x14ac:dyDescent="0.35"/>
    <row r="74" ht="14.25" customHeight="1" x14ac:dyDescent="0.35"/>
    <row r="75" ht="14.25" customHeight="1" x14ac:dyDescent="0.35"/>
    <row r="76" ht="14.25" customHeight="1" x14ac:dyDescent="0.35"/>
    <row r="77" ht="14.25" customHeight="1" x14ac:dyDescent="0.35"/>
    <row r="78" ht="14.25" customHeight="1" x14ac:dyDescent="0.35"/>
    <row r="79" ht="14.25" customHeight="1" x14ac:dyDescent="0.35"/>
    <row r="80" ht="14.25" customHeight="1" x14ac:dyDescent="0.35"/>
    <row r="81" ht="14.25" customHeight="1" x14ac:dyDescent="0.35"/>
    <row r="82" ht="14.25" customHeight="1" x14ac:dyDescent="0.35"/>
    <row r="83" ht="14.25" customHeight="1" x14ac:dyDescent="0.35"/>
    <row r="84" ht="14.25" customHeight="1" x14ac:dyDescent="0.35"/>
    <row r="85" ht="14.25" customHeight="1" x14ac:dyDescent="0.35"/>
    <row r="86" ht="14.25" customHeight="1" x14ac:dyDescent="0.35"/>
    <row r="87" ht="14.25" customHeight="1" x14ac:dyDescent="0.35"/>
    <row r="88" ht="14.25" customHeight="1" x14ac:dyDescent="0.35"/>
    <row r="89" ht="14.25" customHeight="1" x14ac:dyDescent="0.35"/>
    <row r="90" ht="14.25" customHeight="1" x14ac:dyDescent="0.35"/>
    <row r="91" ht="14.25" customHeight="1" x14ac:dyDescent="0.35"/>
    <row r="92" ht="14.25" customHeight="1" x14ac:dyDescent="0.35"/>
    <row r="93" ht="14.25" customHeight="1" x14ac:dyDescent="0.35"/>
    <row r="94" ht="14.25" customHeight="1" x14ac:dyDescent="0.35"/>
    <row r="95" ht="14.25" customHeight="1" x14ac:dyDescent="0.35"/>
    <row r="96" ht="14.25" customHeight="1" x14ac:dyDescent="0.35"/>
    <row r="97" ht="14.25" customHeight="1" x14ac:dyDescent="0.35"/>
    <row r="98" ht="14.25" customHeight="1" x14ac:dyDescent="0.35"/>
    <row r="99" ht="14.25" customHeight="1" x14ac:dyDescent="0.35"/>
    <row r="100" ht="14.25" customHeight="1" x14ac:dyDescent="0.35"/>
    <row r="101" ht="14.25" customHeight="1" x14ac:dyDescent="0.35"/>
    <row r="102" ht="14.25" customHeight="1" x14ac:dyDescent="0.35"/>
    <row r="103" ht="14.25" customHeight="1" x14ac:dyDescent="0.35"/>
    <row r="104" ht="14.25" customHeight="1" x14ac:dyDescent="0.35"/>
    <row r="105" ht="14.25" customHeight="1" x14ac:dyDescent="0.35"/>
    <row r="106" ht="14.25" customHeight="1" x14ac:dyDescent="0.35"/>
    <row r="107" ht="14.25" customHeight="1" x14ac:dyDescent="0.35"/>
    <row r="108" ht="14.25" customHeight="1" x14ac:dyDescent="0.35"/>
    <row r="109" ht="14.25" customHeight="1" x14ac:dyDescent="0.35"/>
    <row r="110" ht="14.25" customHeight="1" x14ac:dyDescent="0.35"/>
    <row r="111" ht="14.25" customHeight="1" x14ac:dyDescent="0.35"/>
    <row r="112" ht="14.25" customHeight="1" x14ac:dyDescent="0.35"/>
    <row r="113" ht="14.25" customHeight="1" x14ac:dyDescent="0.35"/>
    <row r="114" ht="14.25" customHeight="1" x14ac:dyDescent="0.35"/>
    <row r="115" ht="14.25" customHeight="1" x14ac:dyDescent="0.35"/>
    <row r="116" ht="14.25" customHeight="1" x14ac:dyDescent="0.35"/>
    <row r="117" ht="14.25" customHeight="1" x14ac:dyDescent="0.35"/>
    <row r="118" ht="14.25" customHeight="1" x14ac:dyDescent="0.35"/>
    <row r="119" ht="14.25" customHeight="1" x14ac:dyDescent="0.35"/>
    <row r="120" ht="14.25" customHeight="1" x14ac:dyDescent="0.35"/>
    <row r="121" ht="14.25" customHeight="1" x14ac:dyDescent="0.35"/>
    <row r="122" ht="14.25" customHeight="1" x14ac:dyDescent="0.35"/>
    <row r="123" ht="14.25" customHeight="1" x14ac:dyDescent="0.35"/>
    <row r="124" ht="14.25" customHeight="1" x14ac:dyDescent="0.35"/>
    <row r="125" ht="14.25" customHeight="1" x14ac:dyDescent="0.35"/>
    <row r="126" ht="14.25" customHeight="1" x14ac:dyDescent="0.35"/>
    <row r="127" ht="14.25" customHeight="1" x14ac:dyDescent="0.35"/>
    <row r="128" ht="14.25" customHeight="1" x14ac:dyDescent="0.35"/>
    <row r="129" ht="14.25" customHeight="1" x14ac:dyDescent="0.35"/>
    <row r="130" ht="14.25" customHeight="1" x14ac:dyDescent="0.35"/>
    <row r="131" ht="14.25" customHeight="1" x14ac:dyDescent="0.35"/>
    <row r="132" ht="14.25" customHeight="1" x14ac:dyDescent="0.35"/>
    <row r="133" ht="14.25" customHeight="1" x14ac:dyDescent="0.35"/>
    <row r="134" ht="14.25" customHeight="1" x14ac:dyDescent="0.35"/>
    <row r="135" ht="14.25" customHeight="1" x14ac:dyDescent="0.35"/>
    <row r="136" ht="14.25" customHeight="1" x14ac:dyDescent="0.35"/>
    <row r="137" ht="14.25" customHeight="1" x14ac:dyDescent="0.35"/>
    <row r="138" ht="14.25" customHeight="1" x14ac:dyDescent="0.35"/>
    <row r="139" ht="14.25" customHeight="1" x14ac:dyDescent="0.35"/>
    <row r="140" ht="14.25" customHeight="1" x14ac:dyDescent="0.35"/>
    <row r="141" ht="14.25" customHeight="1" x14ac:dyDescent="0.35"/>
    <row r="142" ht="14.25" customHeight="1" x14ac:dyDescent="0.35"/>
    <row r="143" ht="14.25" customHeight="1" x14ac:dyDescent="0.35"/>
    <row r="144" ht="14.25" customHeight="1" x14ac:dyDescent="0.35"/>
    <row r="145" ht="14.25" customHeight="1" x14ac:dyDescent="0.35"/>
    <row r="146" ht="14.25" customHeight="1" x14ac:dyDescent="0.35"/>
    <row r="147" ht="14.25" customHeight="1" x14ac:dyDescent="0.35"/>
    <row r="148" ht="14.25" customHeight="1" x14ac:dyDescent="0.35"/>
    <row r="149" ht="14.25" customHeight="1" x14ac:dyDescent="0.35"/>
    <row r="150" ht="14.25" customHeight="1" x14ac:dyDescent="0.35"/>
    <row r="151" ht="14.25" customHeight="1" x14ac:dyDescent="0.35"/>
    <row r="152" ht="14.25" customHeight="1" x14ac:dyDescent="0.35"/>
    <row r="153" ht="14.25" customHeight="1" x14ac:dyDescent="0.35"/>
    <row r="154" ht="14.25" customHeight="1" x14ac:dyDescent="0.35"/>
    <row r="155" ht="14.25" customHeight="1" x14ac:dyDescent="0.35"/>
    <row r="156" ht="14.25" customHeight="1" x14ac:dyDescent="0.35"/>
    <row r="157" ht="14.25" customHeight="1" x14ac:dyDescent="0.35"/>
    <row r="158" ht="14.25" customHeight="1" x14ac:dyDescent="0.35"/>
    <row r="159" ht="14.25" customHeight="1" x14ac:dyDescent="0.35"/>
    <row r="160" ht="14.25" customHeight="1" x14ac:dyDescent="0.35"/>
    <row r="161" ht="14.25" customHeight="1" x14ac:dyDescent="0.35"/>
    <row r="162" ht="14.25" customHeight="1" x14ac:dyDescent="0.35"/>
    <row r="163" ht="14.25" customHeight="1" x14ac:dyDescent="0.35"/>
    <row r="164" ht="14.25" customHeight="1" x14ac:dyDescent="0.35"/>
    <row r="165" ht="14.25" customHeight="1" x14ac:dyDescent="0.35"/>
    <row r="166" ht="14.25" customHeight="1" x14ac:dyDescent="0.35"/>
    <row r="167" ht="14.25" customHeight="1" x14ac:dyDescent="0.35"/>
    <row r="168" ht="14.25" customHeight="1" x14ac:dyDescent="0.35"/>
    <row r="169" ht="14.25" customHeight="1" x14ac:dyDescent="0.35"/>
    <row r="170" ht="14.25" customHeight="1" x14ac:dyDescent="0.35"/>
    <row r="171" ht="14.25" customHeight="1" x14ac:dyDescent="0.35"/>
    <row r="172" ht="14.25" customHeight="1" x14ac:dyDescent="0.35"/>
    <row r="173" ht="14.25" customHeight="1" x14ac:dyDescent="0.35"/>
    <row r="174" ht="14.25" customHeight="1" x14ac:dyDescent="0.35"/>
    <row r="175" ht="14.25" customHeight="1" x14ac:dyDescent="0.35"/>
    <row r="176" ht="14.25" customHeight="1" x14ac:dyDescent="0.35"/>
    <row r="177" ht="14.25" customHeight="1" x14ac:dyDescent="0.35"/>
    <row r="178" ht="14.25" customHeight="1" x14ac:dyDescent="0.35"/>
    <row r="179" ht="14.25" customHeight="1" x14ac:dyDescent="0.35"/>
    <row r="180" ht="14.25" customHeight="1" x14ac:dyDescent="0.35"/>
    <row r="181" ht="14.25" customHeight="1" x14ac:dyDescent="0.35"/>
    <row r="182" ht="14.25" customHeight="1" x14ac:dyDescent="0.35"/>
    <row r="183" ht="14.25" customHeight="1" x14ac:dyDescent="0.35"/>
    <row r="184" ht="14.25" customHeight="1" x14ac:dyDescent="0.35"/>
    <row r="185" ht="14.25" customHeight="1" x14ac:dyDescent="0.35"/>
    <row r="186" ht="14.25" customHeight="1" x14ac:dyDescent="0.35"/>
    <row r="187" ht="14.25" customHeight="1" x14ac:dyDescent="0.35"/>
    <row r="188" ht="14.25" customHeight="1" x14ac:dyDescent="0.35"/>
    <row r="189" ht="14.25" customHeight="1" x14ac:dyDescent="0.35"/>
    <row r="190" ht="14.25" customHeight="1" x14ac:dyDescent="0.35"/>
    <row r="191" ht="14.25" customHeight="1" x14ac:dyDescent="0.35"/>
    <row r="192" ht="14.25" customHeight="1" x14ac:dyDescent="0.35"/>
    <row r="193" ht="14.25" customHeight="1" x14ac:dyDescent="0.35"/>
    <row r="194" ht="14.25" customHeight="1" x14ac:dyDescent="0.35"/>
    <row r="195" ht="14.25" customHeight="1" x14ac:dyDescent="0.35"/>
    <row r="196" ht="14.25" customHeight="1" x14ac:dyDescent="0.35"/>
    <row r="197" ht="14.25" customHeight="1" x14ac:dyDescent="0.35"/>
    <row r="198" ht="14.25" customHeight="1" x14ac:dyDescent="0.35"/>
    <row r="199" ht="14.25" customHeight="1" x14ac:dyDescent="0.35"/>
    <row r="200" ht="14.25" customHeight="1" x14ac:dyDescent="0.35"/>
    <row r="201" ht="14.25" customHeight="1" x14ac:dyDescent="0.35"/>
    <row r="202" ht="14.25" customHeight="1" x14ac:dyDescent="0.35"/>
    <row r="203" ht="14.25" customHeight="1" x14ac:dyDescent="0.35"/>
    <row r="204" ht="14.25" customHeight="1" x14ac:dyDescent="0.35"/>
    <row r="205" ht="14.25" customHeight="1" x14ac:dyDescent="0.35"/>
    <row r="206" ht="14.25" customHeight="1" x14ac:dyDescent="0.35"/>
    <row r="207" ht="14.25" customHeight="1" x14ac:dyDescent="0.35"/>
    <row r="208" ht="14.25" customHeight="1" x14ac:dyDescent="0.35"/>
    <row r="209" ht="14.25" customHeight="1" x14ac:dyDescent="0.35"/>
    <row r="210" ht="14.25" customHeight="1" x14ac:dyDescent="0.35"/>
    <row r="211" ht="14.25" customHeight="1" x14ac:dyDescent="0.35"/>
    <row r="212" ht="14.25" customHeight="1" x14ac:dyDescent="0.35"/>
    <row r="213" ht="14.25" customHeight="1" x14ac:dyDescent="0.35"/>
    <row r="214" ht="14.25" customHeight="1" x14ac:dyDescent="0.35"/>
    <row r="215" ht="14.25" customHeight="1" x14ac:dyDescent="0.35"/>
    <row r="216" ht="14.25" customHeight="1" x14ac:dyDescent="0.35"/>
    <row r="217" ht="14.25" customHeight="1" x14ac:dyDescent="0.35"/>
    <row r="218" ht="14.25" customHeight="1" x14ac:dyDescent="0.35"/>
    <row r="219" ht="14.25" customHeight="1" x14ac:dyDescent="0.35"/>
    <row r="220" ht="14.25" customHeight="1" x14ac:dyDescent="0.35"/>
    <row r="221" ht="14.25" customHeight="1" x14ac:dyDescent="0.35"/>
    <row r="222" ht="14.25" customHeight="1" x14ac:dyDescent="0.35"/>
    <row r="223" ht="14.25" customHeight="1" x14ac:dyDescent="0.35"/>
    <row r="224" ht="14.25" customHeight="1" x14ac:dyDescent="0.35"/>
    <row r="225" ht="14.25" customHeight="1" x14ac:dyDescent="0.35"/>
    <row r="226" ht="14.25" customHeight="1" x14ac:dyDescent="0.35"/>
    <row r="227" ht="14.25" customHeight="1" x14ac:dyDescent="0.35"/>
    <row r="228" ht="14.25" customHeight="1" x14ac:dyDescent="0.35"/>
    <row r="229" ht="14.25" customHeight="1" x14ac:dyDescent="0.35"/>
    <row r="230" ht="14.25" customHeight="1" x14ac:dyDescent="0.35"/>
    <row r="231" ht="14.25" customHeight="1" x14ac:dyDescent="0.35"/>
    <row r="232" ht="14.25" customHeight="1" x14ac:dyDescent="0.35"/>
    <row r="233" ht="14.25" customHeight="1" x14ac:dyDescent="0.35"/>
    <row r="234" ht="14.25" customHeight="1" x14ac:dyDescent="0.35"/>
    <row r="235" ht="14.25" customHeight="1" x14ac:dyDescent="0.35"/>
    <row r="236" ht="14.25" customHeight="1" x14ac:dyDescent="0.35"/>
    <row r="237" ht="14.25" customHeight="1" x14ac:dyDescent="0.35"/>
    <row r="238" ht="14.25" customHeight="1" x14ac:dyDescent="0.35"/>
    <row r="239" ht="14.25" customHeight="1" x14ac:dyDescent="0.35"/>
    <row r="240" ht="14.25" customHeight="1" x14ac:dyDescent="0.35"/>
    <row r="241" ht="14.25" customHeight="1" x14ac:dyDescent="0.35"/>
    <row r="242" ht="14.25" customHeight="1" x14ac:dyDescent="0.35"/>
    <row r="243" ht="14.25" customHeight="1" x14ac:dyDescent="0.35"/>
    <row r="244" ht="14.25" customHeight="1" x14ac:dyDescent="0.35"/>
    <row r="245" ht="14.25" customHeight="1" x14ac:dyDescent="0.35"/>
    <row r="246" ht="14.25" customHeight="1" x14ac:dyDescent="0.35"/>
    <row r="247" ht="14.25" customHeight="1" x14ac:dyDescent="0.35"/>
    <row r="248" ht="14.25" customHeight="1" x14ac:dyDescent="0.35"/>
    <row r="249" ht="14.25" customHeight="1" x14ac:dyDescent="0.35"/>
    <row r="250" ht="14.25" customHeight="1" x14ac:dyDescent="0.35"/>
    <row r="251" ht="14.25" customHeight="1" x14ac:dyDescent="0.35"/>
    <row r="252" ht="14.25" customHeight="1" x14ac:dyDescent="0.35"/>
    <row r="253" ht="14.25" customHeight="1" x14ac:dyDescent="0.35"/>
    <row r="254" ht="14.25" customHeight="1" x14ac:dyDescent="0.35"/>
    <row r="255" ht="14.25" customHeight="1" x14ac:dyDescent="0.35"/>
    <row r="256" ht="14.25" customHeight="1" x14ac:dyDescent="0.35"/>
    <row r="257" ht="14.25" customHeight="1" x14ac:dyDescent="0.35"/>
    <row r="258" ht="14.25" customHeight="1" x14ac:dyDescent="0.35"/>
    <row r="259" ht="14.25" customHeight="1" x14ac:dyDescent="0.35"/>
    <row r="260" ht="14.25" customHeight="1" x14ac:dyDescent="0.35"/>
    <row r="261" ht="14.25" customHeight="1" x14ac:dyDescent="0.35"/>
    <row r="262" ht="14.25" customHeight="1" x14ac:dyDescent="0.35"/>
    <row r="263" ht="14.25" customHeight="1" x14ac:dyDescent="0.35"/>
    <row r="264" ht="14.25" customHeight="1" x14ac:dyDescent="0.35"/>
    <row r="265" ht="14.25" customHeight="1" x14ac:dyDescent="0.35"/>
    <row r="266" ht="14.25" customHeight="1" x14ac:dyDescent="0.35"/>
    <row r="267" ht="14.25" customHeight="1" x14ac:dyDescent="0.35"/>
    <row r="268" ht="14.25" customHeight="1" x14ac:dyDescent="0.35"/>
    <row r="269" ht="14.25" customHeight="1" x14ac:dyDescent="0.35"/>
    <row r="270" ht="14.25" customHeight="1" x14ac:dyDescent="0.35"/>
    <row r="271" ht="14.25" customHeight="1" x14ac:dyDescent="0.35"/>
    <row r="272" ht="14.25" customHeight="1" x14ac:dyDescent="0.35"/>
    <row r="273" ht="14.25" customHeight="1" x14ac:dyDescent="0.35"/>
    <row r="274" ht="14.25" customHeight="1" x14ac:dyDescent="0.35"/>
    <row r="275" ht="14.25" customHeight="1" x14ac:dyDescent="0.35"/>
    <row r="276" ht="14.25" customHeight="1" x14ac:dyDescent="0.35"/>
    <row r="277" ht="14.25" customHeight="1" x14ac:dyDescent="0.35"/>
    <row r="278" ht="14.25" customHeight="1" x14ac:dyDescent="0.35"/>
    <row r="279" ht="14.25" customHeight="1" x14ac:dyDescent="0.35"/>
    <row r="280" ht="14.25" customHeight="1" x14ac:dyDescent="0.35"/>
    <row r="281" ht="14.25" customHeight="1" x14ac:dyDescent="0.35"/>
    <row r="282" ht="14.25" customHeight="1" x14ac:dyDescent="0.35"/>
    <row r="283" ht="14.25" customHeight="1" x14ac:dyDescent="0.35"/>
    <row r="284" ht="14.25" customHeight="1" x14ac:dyDescent="0.35"/>
    <row r="285" ht="14.25" customHeight="1" x14ac:dyDescent="0.35"/>
    <row r="286" ht="14.25" customHeight="1" x14ac:dyDescent="0.35"/>
    <row r="287" ht="14.25" customHeight="1" x14ac:dyDescent="0.35"/>
    <row r="288" ht="14.25" customHeight="1" x14ac:dyDescent="0.35"/>
    <row r="289" ht="14.25" customHeight="1" x14ac:dyDescent="0.35"/>
    <row r="290" ht="14.25" customHeight="1" x14ac:dyDescent="0.35"/>
    <row r="291" ht="14.25" customHeight="1" x14ac:dyDescent="0.35"/>
    <row r="292" ht="14.25" customHeight="1" x14ac:dyDescent="0.35"/>
    <row r="293" ht="14.25" customHeight="1" x14ac:dyDescent="0.35"/>
    <row r="294" ht="14.25" customHeight="1" x14ac:dyDescent="0.35"/>
    <row r="295" ht="14.25" customHeight="1" x14ac:dyDescent="0.35"/>
    <row r="296" ht="14.25" customHeight="1" x14ac:dyDescent="0.35"/>
    <row r="297" ht="14.25" customHeight="1" x14ac:dyDescent="0.35"/>
    <row r="298" ht="14.25" customHeight="1" x14ac:dyDescent="0.35"/>
    <row r="299" ht="14.25" customHeight="1" x14ac:dyDescent="0.35"/>
    <row r="300" ht="14.25" customHeight="1" x14ac:dyDescent="0.35"/>
    <row r="301" ht="14.25" customHeight="1" x14ac:dyDescent="0.35"/>
    <row r="302" ht="14.25" customHeight="1" x14ac:dyDescent="0.35"/>
    <row r="303" ht="14.25" customHeight="1" x14ac:dyDescent="0.35"/>
    <row r="304" ht="14.25" customHeight="1" x14ac:dyDescent="0.35"/>
    <row r="305" ht="14.25" customHeight="1" x14ac:dyDescent="0.35"/>
    <row r="306" ht="14.25" customHeight="1" x14ac:dyDescent="0.35"/>
    <row r="307" ht="14.25" customHeight="1" x14ac:dyDescent="0.35"/>
    <row r="308" ht="14.25" customHeight="1" x14ac:dyDescent="0.35"/>
    <row r="309" ht="14.25" customHeight="1" x14ac:dyDescent="0.35"/>
    <row r="310" ht="14.25" customHeight="1" x14ac:dyDescent="0.35"/>
    <row r="311" ht="14.25" customHeight="1" x14ac:dyDescent="0.35"/>
    <row r="312" ht="14.25" customHeight="1" x14ac:dyDescent="0.35"/>
    <row r="313" ht="14.25" customHeight="1" x14ac:dyDescent="0.35"/>
    <row r="314" ht="14.25" customHeight="1" x14ac:dyDescent="0.35"/>
    <row r="315" ht="14.25" customHeight="1" x14ac:dyDescent="0.35"/>
    <row r="316" ht="14.25" customHeight="1" x14ac:dyDescent="0.35"/>
    <row r="317" ht="14.25" customHeight="1" x14ac:dyDescent="0.35"/>
    <row r="318" ht="14.25" customHeight="1" x14ac:dyDescent="0.35"/>
    <row r="319" ht="14.25" customHeight="1" x14ac:dyDescent="0.35"/>
    <row r="320" ht="14.25" customHeight="1" x14ac:dyDescent="0.35"/>
    <row r="321" ht="14.25" customHeight="1" x14ac:dyDescent="0.35"/>
    <row r="322" ht="14.25" customHeight="1" x14ac:dyDescent="0.35"/>
    <row r="323" ht="14.25" customHeight="1" x14ac:dyDescent="0.35"/>
    <row r="324" ht="14.25" customHeight="1" x14ac:dyDescent="0.35"/>
    <row r="325" ht="14.25" customHeight="1" x14ac:dyDescent="0.35"/>
    <row r="326" ht="14.25" customHeight="1" x14ac:dyDescent="0.35"/>
    <row r="327" ht="14.25" customHeight="1" x14ac:dyDescent="0.35"/>
    <row r="328" ht="14.25" customHeight="1" x14ac:dyDescent="0.35"/>
    <row r="329" ht="14.25" customHeight="1" x14ac:dyDescent="0.35"/>
    <row r="330" ht="14.25" customHeight="1" x14ac:dyDescent="0.35"/>
    <row r="331" ht="14.25" customHeight="1" x14ac:dyDescent="0.35"/>
    <row r="332" ht="14.25" customHeight="1" x14ac:dyDescent="0.35"/>
    <row r="333" ht="14.25" customHeight="1" x14ac:dyDescent="0.35"/>
    <row r="334" ht="14.25" customHeight="1" x14ac:dyDescent="0.35"/>
    <row r="335" ht="14.25" customHeight="1" x14ac:dyDescent="0.35"/>
    <row r="336" ht="14.25" customHeight="1" x14ac:dyDescent="0.35"/>
    <row r="337" ht="14.25" customHeight="1" x14ac:dyDescent="0.35"/>
    <row r="338" ht="14.25" customHeight="1" x14ac:dyDescent="0.35"/>
    <row r="339" ht="14.25" customHeight="1" x14ac:dyDescent="0.35"/>
    <row r="340" ht="14.25" customHeight="1" x14ac:dyDescent="0.35"/>
    <row r="341" ht="14.25" customHeight="1" x14ac:dyDescent="0.35"/>
    <row r="342" ht="14.25" customHeight="1" x14ac:dyDescent="0.35"/>
    <row r="343" ht="14.25" customHeight="1" x14ac:dyDescent="0.35"/>
    <row r="344" ht="14.25" customHeight="1" x14ac:dyDescent="0.35"/>
    <row r="345" ht="14.25" customHeight="1" x14ac:dyDescent="0.35"/>
    <row r="346" ht="14.25" customHeight="1" x14ac:dyDescent="0.35"/>
    <row r="347" ht="14.25" customHeight="1" x14ac:dyDescent="0.35"/>
    <row r="348" ht="14.25" customHeight="1" x14ac:dyDescent="0.35"/>
    <row r="349" ht="14.25" customHeight="1" x14ac:dyDescent="0.35"/>
    <row r="350" ht="14.25" customHeight="1" x14ac:dyDescent="0.35"/>
    <row r="351" ht="14.25" customHeight="1" x14ac:dyDescent="0.35"/>
    <row r="352" ht="14.25" customHeight="1" x14ac:dyDescent="0.35"/>
    <row r="353" ht="14.25" customHeight="1" x14ac:dyDescent="0.35"/>
    <row r="354" ht="14.25" customHeight="1" x14ac:dyDescent="0.35"/>
    <row r="355" ht="14.25" customHeight="1" x14ac:dyDescent="0.35"/>
    <row r="356" ht="14.25" customHeight="1" x14ac:dyDescent="0.35"/>
    <row r="357" ht="14.25" customHeight="1" x14ac:dyDescent="0.35"/>
    <row r="358" ht="14.25" customHeight="1" x14ac:dyDescent="0.35"/>
    <row r="359" ht="14.25" customHeight="1" x14ac:dyDescent="0.35"/>
    <row r="360" ht="14.25" customHeight="1" x14ac:dyDescent="0.35"/>
    <row r="361" ht="14.25" customHeight="1" x14ac:dyDescent="0.35"/>
    <row r="362" ht="14.25" customHeight="1" x14ac:dyDescent="0.35"/>
    <row r="363" ht="14.25" customHeight="1" x14ac:dyDescent="0.35"/>
    <row r="364" ht="14.25" customHeight="1" x14ac:dyDescent="0.35"/>
    <row r="365" ht="14.25" customHeight="1" x14ac:dyDescent="0.35"/>
    <row r="366" ht="14.25" customHeight="1" x14ac:dyDescent="0.35"/>
    <row r="367" ht="14.25" customHeight="1" x14ac:dyDescent="0.35"/>
    <row r="368" ht="14.25" customHeight="1" x14ac:dyDescent="0.35"/>
    <row r="369" ht="14.25" customHeight="1" x14ac:dyDescent="0.35"/>
    <row r="370" ht="14.25" customHeight="1" x14ac:dyDescent="0.35"/>
    <row r="371" ht="14.25" customHeight="1" x14ac:dyDescent="0.35"/>
    <row r="372" ht="14.25" customHeight="1" x14ac:dyDescent="0.35"/>
    <row r="373" ht="14.25" customHeight="1" x14ac:dyDescent="0.35"/>
    <row r="374" ht="14.25" customHeight="1" x14ac:dyDescent="0.35"/>
    <row r="375" ht="14.25" customHeight="1" x14ac:dyDescent="0.35"/>
    <row r="376" ht="14.25" customHeight="1" x14ac:dyDescent="0.35"/>
    <row r="377" ht="14.25" customHeight="1" x14ac:dyDescent="0.35"/>
    <row r="378" ht="14.25" customHeight="1" x14ac:dyDescent="0.35"/>
    <row r="379" ht="14.25" customHeight="1" x14ac:dyDescent="0.35"/>
    <row r="380" ht="14.25" customHeight="1" x14ac:dyDescent="0.35"/>
    <row r="381" ht="14.25" customHeight="1" x14ac:dyDescent="0.35"/>
    <row r="382" ht="14.25" customHeight="1" x14ac:dyDescent="0.35"/>
    <row r="383" ht="14.25" customHeight="1" x14ac:dyDescent="0.35"/>
    <row r="384" ht="14.25" customHeight="1" x14ac:dyDescent="0.35"/>
    <row r="385" ht="14.25" customHeight="1" x14ac:dyDescent="0.35"/>
    <row r="386" ht="14.25" customHeight="1" x14ac:dyDescent="0.35"/>
    <row r="387" ht="14.25" customHeight="1" x14ac:dyDescent="0.35"/>
    <row r="388" ht="14.25" customHeight="1" x14ac:dyDescent="0.35"/>
    <row r="389" ht="14.25" customHeight="1" x14ac:dyDescent="0.35"/>
    <row r="390" ht="14.25" customHeight="1" x14ac:dyDescent="0.35"/>
    <row r="391" ht="14.25" customHeight="1" x14ac:dyDescent="0.35"/>
    <row r="392" ht="14.25" customHeight="1" x14ac:dyDescent="0.35"/>
    <row r="393" ht="14.25" customHeight="1" x14ac:dyDescent="0.35"/>
    <row r="394" ht="14.25" customHeight="1" x14ac:dyDescent="0.35"/>
    <row r="395" ht="14.25" customHeight="1" x14ac:dyDescent="0.35"/>
    <row r="396" ht="14.25" customHeight="1" x14ac:dyDescent="0.35"/>
    <row r="397" ht="14.25" customHeight="1" x14ac:dyDescent="0.35"/>
    <row r="398" ht="14.25" customHeight="1" x14ac:dyDescent="0.35"/>
    <row r="399" ht="14.25" customHeight="1" x14ac:dyDescent="0.35"/>
    <row r="400" ht="14.25" customHeight="1" x14ac:dyDescent="0.35"/>
    <row r="401" ht="14.25" customHeight="1" x14ac:dyDescent="0.35"/>
    <row r="402" ht="14.25" customHeight="1" x14ac:dyDescent="0.35"/>
    <row r="403" ht="14.25" customHeight="1" x14ac:dyDescent="0.35"/>
    <row r="404" ht="14.25" customHeight="1" x14ac:dyDescent="0.35"/>
    <row r="405" ht="14.25" customHeight="1" x14ac:dyDescent="0.35"/>
    <row r="406" ht="14.25" customHeight="1" x14ac:dyDescent="0.35"/>
    <row r="407" ht="14.25" customHeight="1" x14ac:dyDescent="0.35"/>
    <row r="408" ht="14.25" customHeight="1" x14ac:dyDescent="0.35"/>
    <row r="409" ht="14.25" customHeight="1" x14ac:dyDescent="0.35"/>
    <row r="410" ht="14.25" customHeight="1" x14ac:dyDescent="0.35"/>
    <row r="411" ht="14.25" customHeight="1" x14ac:dyDescent="0.35"/>
    <row r="412" ht="14.25" customHeight="1" x14ac:dyDescent="0.35"/>
    <row r="413" ht="14.25" customHeight="1" x14ac:dyDescent="0.35"/>
    <row r="414" ht="14.25" customHeight="1" x14ac:dyDescent="0.35"/>
    <row r="415" ht="14.25" customHeight="1" x14ac:dyDescent="0.35"/>
    <row r="416" ht="14.25" customHeight="1" x14ac:dyDescent="0.35"/>
    <row r="417" ht="14.25" customHeight="1" x14ac:dyDescent="0.35"/>
    <row r="418" ht="14.25" customHeight="1" x14ac:dyDescent="0.35"/>
    <row r="419" ht="14.25" customHeight="1" x14ac:dyDescent="0.35"/>
    <row r="420" ht="14.25" customHeight="1" x14ac:dyDescent="0.35"/>
    <row r="421" ht="14.25" customHeight="1" x14ac:dyDescent="0.35"/>
    <row r="422" ht="14.25" customHeight="1" x14ac:dyDescent="0.35"/>
    <row r="423" ht="14.25" customHeight="1" x14ac:dyDescent="0.35"/>
    <row r="424" ht="14.25" customHeight="1" x14ac:dyDescent="0.35"/>
    <row r="425" ht="14.25" customHeight="1" x14ac:dyDescent="0.35"/>
    <row r="426" ht="14.25" customHeight="1" x14ac:dyDescent="0.35"/>
    <row r="427" ht="14.25" customHeight="1" x14ac:dyDescent="0.35"/>
    <row r="428" ht="14.25" customHeight="1" x14ac:dyDescent="0.35"/>
    <row r="429" ht="14.25" customHeight="1" x14ac:dyDescent="0.35"/>
    <row r="430" ht="14.25" customHeight="1" x14ac:dyDescent="0.35"/>
    <row r="431" ht="14.25" customHeight="1" x14ac:dyDescent="0.35"/>
    <row r="432" ht="14.25" customHeight="1" x14ac:dyDescent="0.35"/>
    <row r="433" ht="14.25" customHeight="1" x14ac:dyDescent="0.35"/>
    <row r="434" ht="14.25" customHeight="1" x14ac:dyDescent="0.35"/>
    <row r="435" ht="14.25" customHeight="1" x14ac:dyDescent="0.35"/>
    <row r="436" ht="14.25" customHeight="1" x14ac:dyDescent="0.35"/>
    <row r="437" ht="14.25" customHeight="1" x14ac:dyDescent="0.35"/>
    <row r="438" ht="14.25" customHeight="1" x14ac:dyDescent="0.35"/>
    <row r="439" ht="14.25" customHeight="1" x14ac:dyDescent="0.35"/>
    <row r="440" ht="14.25" customHeight="1" x14ac:dyDescent="0.35"/>
    <row r="441" ht="14.25" customHeight="1" x14ac:dyDescent="0.35"/>
    <row r="442" ht="14.25" customHeight="1" x14ac:dyDescent="0.35"/>
    <row r="443" ht="14.25" customHeight="1" x14ac:dyDescent="0.35"/>
    <row r="444" ht="14.25" customHeight="1" x14ac:dyDescent="0.35"/>
    <row r="445" ht="14.25" customHeight="1" x14ac:dyDescent="0.35"/>
    <row r="446" ht="14.25" customHeight="1" x14ac:dyDescent="0.35"/>
    <row r="447" ht="14.25" customHeight="1" x14ac:dyDescent="0.35"/>
    <row r="448" ht="14.25" customHeight="1" x14ac:dyDescent="0.35"/>
    <row r="449" ht="14.25" customHeight="1" x14ac:dyDescent="0.35"/>
    <row r="450" ht="14.25" customHeight="1" x14ac:dyDescent="0.35"/>
    <row r="451" ht="14.25" customHeight="1" x14ac:dyDescent="0.35"/>
    <row r="452" ht="14.25" customHeight="1" x14ac:dyDescent="0.35"/>
    <row r="453" ht="14.25" customHeight="1" x14ac:dyDescent="0.35"/>
    <row r="454" ht="14.25" customHeight="1" x14ac:dyDescent="0.35"/>
    <row r="455" ht="14.25" customHeight="1" x14ac:dyDescent="0.35"/>
    <row r="456" ht="14.25" customHeight="1" x14ac:dyDescent="0.35"/>
    <row r="457" ht="14.25" customHeight="1" x14ac:dyDescent="0.35"/>
    <row r="458" ht="14.25" customHeight="1" x14ac:dyDescent="0.35"/>
    <row r="459" ht="14.25" customHeight="1" x14ac:dyDescent="0.35"/>
    <row r="460" ht="14.25" customHeight="1" x14ac:dyDescent="0.35"/>
    <row r="461" ht="14.25" customHeight="1" x14ac:dyDescent="0.35"/>
    <row r="462" ht="14.25" customHeight="1" x14ac:dyDescent="0.35"/>
    <row r="463" ht="14.25" customHeight="1" x14ac:dyDescent="0.35"/>
    <row r="464" ht="14.25" customHeight="1" x14ac:dyDescent="0.35"/>
    <row r="465" ht="14.25" customHeight="1" x14ac:dyDescent="0.35"/>
    <row r="466" ht="14.25" customHeight="1" x14ac:dyDescent="0.35"/>
    <row r="467" ht="14.25" customHeight="1" x14ac:dyDescent="0.35"/>
    <row r="468" ht="14.25" customHeight="1" x14ac:dyDescent="0.35"/>
    <row r="469" ht="14.25" customHeight="1" x14ac:dyDescent="0.35"/>
    <row r="470" ht="14.25" customHeight="1" x14ac:dyDescent="0.35"/>
    <row r="471" ht="14.25" customHeight="1" x14ac:dyDescent="0.35"/>
    <row r="472" ht="14.25" customHeight="1" x14ac:dyDescent="0.35"/>
    <row r="473" ht="14.25" customHeight="1" x14ac:dyDescent="0.35"/>
    <row r="474" ht="14.25" customHeight="1" x14ac:dyDescent="0.35"/>
    <row r="475" ht="14.25" customHeight="1" x14ac:dyDescent="0.35"/>
    <row r="476" ht="14.25" customHeight="1" x14ac:dyDescent="0.35"/>
    <row r="477" ht="14.25" customHeight="1" x14ac:dyDescent="0.35"/>
    <row r="478" ht="14.25" customHeight="1" x14ac:dyDescent="0.35"/>
    <row r="479" ht="14.25" customHeight="1" x14ac:dyDescent="0.35"/>
    <row r="480" ht="14.25" customHeight="1" x14ac:dyDescent="0.35"/>
    <row r="481" ht="14.25" customHeight="1" x14ac:dyDescent="0.35"/>
    <row r="482" ht="14.25" customHeight="1" x14ac:dyDescent="0.35"/>
    <row r="483" ht="14.25" customHeight="1" x14ac:dyDescent="0.35"/>
    <row r="484" ht="14.25" customHeight="1" x14ac:dyDescent="0.35"/>
    <row r="485" ht="14.25" customHeight="1" x14ac:dyDescent="0.35"/>
    <row r="486" ht="14.25" customHeight="1" x14ac:dyDescent="0.35"/>
    <row r="487" ht="14.25" customHeight="1" x14ac:dyDescent="0.35"/>
    <row r="488" ht="14.25" customHeight="1" x14ac:dyDescent="0.35"/>
    <row r="489" ht="14.25" customHeight="1" x14ac:dyDescent="0.35"/>
    <row r="490" ht="14.25" customHeight="1" x14ac:dyDescent="0.35"/>
    <row r="491" ht="14.25" customHeight="1" x14ac:dyDescent="0.35"/>
    <row r="492" ht="14.25" customHeight="1" x14ac:dyDescent="0.35"/>
    <row r="493" ht="14.25" customHeight="1" x14ac:dyDescent="0.35"/>
    <row r="494" ht="14.25" customHeight="1" x14ac:dyDescent="0.35"/>
    <row r="495" ht="14.25" customHeight="1" x14ac:dyDescent="0.35"/>
    <row r="496" ht="14.25" customHeight="1" x14ac:dyDescent="0.35"/>
    <row r="497" ht="14.25" customHeight="1" x14ac:dyDescent="0.35"/>
    <row r="498" ht="14.25" customHeight="1" x14ac:dyDescent="0.35"/>
    <row r="499" ht="14.25" customHeight="1" x14ac:dyDescent="0.35"/>
    <row r="500" ht="14.25" customHeight="1" x14ac:dyDescent="0.35"/>
    <row r="501" ht="14.25" customHeight="1" x14ac:dyDescent="0.35"/>
    <row r="502" ht="14.25" customHeight="1" x14ac:dyDescent="0.35"/>
    <row r="503" ht="14.25" customHeight="1" x14ac:dyDescent="0.35"/>
    <row r="504" ht="14.25" customHeight="1" x14ac:dyDescent="0.35"/>
    <row r="505" ht="14.25" customHeight="1" x14ac:dyDescent="0.35"/>
    <row r="506" ht="14.25" customHeight="1" x14ac:dyDescent="0.35"/>
    <row r="507" ht="14.25" customHeight="1" x14ac:dyDescent="0.35"/>
    <row r="508" ht="14.25" customHeight="1" x14ac:dyDescent="0.35"/>
    <row r="509" ht="14.25" customHeight="1" x14ac:dyDescent="0.35"/>
    <row r="510" ht="14.25" customHeight="1" x14ac:dyDescent="0.35"/>
    <row r="511" ht="14.25" customHeight="1" x14ac:dyDescent="0.35"/>
    <row r="512" ht="14.25" customHeight="1" x14ac:dyDescent="0.35"/>
    <row r="513" ht="14.25" customHeight="1" x14ac:dyDescent="0.35"/>
    <row r="514" ht="14.25" customHeight="1" x14ac:dyDescent="0.35"/>
    <row r="515" ht="14.25" customHeight="1" x14ac:dyDescent="0.35"/>
    <row r="516" ht="14.25" customHeight="1" x14ac:dyDescent="0.35"/>
    <row r="517" ht="14.25" customHeight="1" x14ac:dyDescent="0.35"/>
    <row r="518" ht="14.25" customHeight="1" x14ac:dyDescent="0.35"/>
    <row r="519" ht="14.25" customHeight="1" x14ac:dyDescent="0.35"/>
    <row r="520" ht="14.25" customHeight="1" x14ac:dyDescent="0.35"/>
    <row r="521" ht="14.25" customHeight="1" x14ac:dyDescent="0.35"/>
    <row r="522" ht="14.25" customHeight="1" x14ac:dyDescent="0.35"/>
    <row r="523" ht="14.25" customHeight="1" x14ac:dyDescent="0.35"/>
    <row r="524" ht="14.25" customHeight="1" x14ac:dyDescent="0.35"/>
    <row r="525" ht="14.25" customHeight="1" x14ac:dyDescent="0.35"/>
    <row r="526" ht="14.25" customHeight="1" x14ac:dyDescent="0.35"/>
    <row r="527" ht="14.25" customHeight="1" x14ac:dyDescent="0.35"/>
    <row r="528" ht="14.25" customHeight="1" x14ac:dyDescent="0.35"/>
    <row r="529" ht="14.25" customHeight="1" x14ac:dyDescent="0.35"/>
    <row r="530" ht="14.25" customHeight="1" x14ac:dyDescent="0.35"/>
    <row r="531" ht="14.25" customHeight="1" x14ac:dyDescent="0.35"/>
    <row r="532" ht="14.25" customHeight="1" x14ac:dyDescent="0.35"/>
    <row r="533" ht="14.25" customHeight="1" x14ac:dyDescent="0.35"/>
    <row r="534" ht="14.25" customHeight="1" x14ac:dyDescent="0.35"/>
    <row r="535" ht="14.25" customHeight="1" x14ac:dyDescent="0.35"/>
    <row r="536" ht="14.25" customHeight="1" x14ac:dyDescent="0.35"/>
    <row r="537" ht="14.25" customHeight="1" x14ac:dyDescent="0.35"/>
    <row r="538" ht="14.25" customHeight="1" x14ac:dyDescent="0.35"/>
    <row r="539" ht="14.25" customHeight="1" x14ac:dyDescent="0.35"/>
    <row r="540" ht="14.25" customHeight="1" x14ac:dyDescent="0.35"/>
    <row r="541" ht="14.25" customHeight="1" x14ac:dyDescent="0.35"/>
    <row r="542" ht="14.25" customHeight="1" x14ac:dyDescent="0.35"/>
    <row r="543" ht="14.25" customHeight="1" x14ac:dyDescent="0.35"/>
    <row r="544" ht="14.25" customHeight="1" x14ac:dyDescent="0.35"/>
    <row r="545" ht="14.25" customHeight="1" x14ac:dyDescent="0.35"/>
    <row r="546" ht="14.25" customHeight="1" x14ac:dyDescent="0.35"/>
    <row r="547" ht="14.25" customHeight="1" x14ac:dyDescent="0.35"/>
    <row r="548" ht="14.25" customHeight="1" x14ac:dyDescent="0.35"/>
    <row r="549" ht="14.25" customHeight="1" x14ac:dyDescent="0.35"/>
    <row r="550" ht="14.25" customHeight="1" x14ac:dyDescent="0.35"/>
    <row r="551" ht="14.25" customHeight="1" x14ac:dyDescent="0.35"/>
    <row r="552" ht="14.25" customHeight="1" x14ac:dyDescent="0.35"/>
    <row r="553" ht="14.25" customHeight="1" x14ac:dyDescent="0.35"/>
    <row r="554" ht="14.25" customHeight="1" x14ac:dyDescent="0.35"/>
    <row r="555" ht="14.25" customHeight="1" x14ac:dyDescent="0.35"/>
    <row r="556" ht="14.25" customHeight="1" x14ac:dyDescent="0.35"/>
    <row r="557" ht="14.25" customHeight="1" x14ac:dyDescent="0.35"/>
    <row r="558" ht="14.25" customHeight="1" x14ac:dyDescent="0.35"/>
    <row r="559" ht="14.25" customHeight="1" x14ac:dyDescent="0.35"/>
    <row r="560" ht="14.25" customHeight="1" x14ac:dyDescent="0.35"/>
    <row r="561" ht="14.25" customHeight="1" x14ac:dyDescent="0.35"/>
    <row r="562" ht="14.25" customHeight="1" x14ac:dyDescent="0.35"/>
    <row r="563" ht="14.25" customHeight="1" x14ac:dyDescent="0.35"/>
    <row r="564" ht="14.25" customHeight="1" x14ac:dyDescent="0.35"/>
    <row r="565" ht="14.25" customHeight="1" x14ac:dyDescent="0.35"/>
    <row r="566" ht="14.25" customHeight="1" x14ac:dyDescent="0.35"/>
    <row r="567" ht="14.25" customHeight="1" x14ac:dyDescent="0.35"/>
    <row r="568" ht="14.25" customHeight="1" x14ac:dyDescent="0.35"/>
    <row r="569" ht="14.25" customHeight="1" x14ac:dyDescent="0.35"/>
    <row r="570" ht="14.25" customHeight="1" x14ac:dyDescent="0.35"/>
    <row r="571" ht="14.25" customHeight="1" x14ac:dyDescent="0.35"/>
    <row r="572" ht="14.25" customHeight="1" x14ac:dyDescent="0.35"/>
    <row r="573" ht="14.25" customHeight="1" x14ac:dyDescent="0.35"/>
    <row r="574" ht="14.25" customHeight="1" x14ac:dyDescent="0.35"/>
    <row r="575" ht="14.25" customHeight="1" x14ac:dyDescent="0.35"/>
    <row r="576" ht="14.25" customHeight="1" x14ac:dyDescent="0.35"/>
    <row r="577" ht="14.25" customHeight="1" x14ac:dyDescent="0.35"/>
    <row r="578" ht="14.25" customHeight="1" x14ac:dyDescent="0.35"/>
    <row r="579" ht="14.25" customHeight="1" x14ac:dyDescent="0.35"/>
    <row r="580" ht="14.25" customHeight="1" x14ac:dyDescent="0.35"/>
    <row r="581" ht="14.25" customHeight="1" x14ac:dyDescent="0.35"/>
    <row r="582" ht="14.25" customHeight="1" x14ac:dyDescent="0.35"/>
    <row r="583" ht="14.25" customHeight="1" x14ac:dyDescent="0.35"/>
    <row r="584" ht="14.25" customHeight="1" x14ac:dyDescent="0.35"/>
    <row r="585" ht="14.25" customHeight="1" x14ac:dyDescent="0.35"/>
    <row r="586" ht="14.25" customHeight="1" x14ac:dyDescent="0.35"/>
    <row r="587" ht="14.25" customHeight="1" x14ac:dyDescent="0.35"/>
    <row r="588" ht="14.25" customHeight="1" x14ac:dyDescent="0.35"/>
    <row r="589" ht="14.25" customHeight="1" x14ac:dyDescent="0.35"/>
    <row r="590" ht="14.25" customHeight="1" x14ac:dyDescent="0.35"/>
    <row r="591" ht="14.25" customHeight="1" x14ac:dyDescent="0.35"/>
    <row r="592" ht="14.25" customHeight="1" x14ac:dyDescent="0.35"/>
    <row r="593" ht="14.25" customHeight="1" x14ac:dyDescent="0.35"/>
    <row r="594" ht="14.25" customHeight="1" x14ac:dyDescent="0.35"/>
    <row r="595" ht="14.25" customHeight="1" x14ac:dyDescent="0.35"/>
    <row r="596" ht="14.25" customHeight="1" x14ac:dyDescent="0.35"/>
    <row r="597" ht="14.25" customHeight="1" x14ac:dyDescent="0.35"/>
    <row r="598" ht="14.25" customHeight="1" x14ac:dyDescent="0.35"/>
    <row r="599" ht="14.25" customHeight="1" x14ac:dyDescent="0.35"/>
    <row r="600" ht="14.25" customHeight="1" x14ac:dyDescent="0.35"/>
    <row r="601" ht="14.25" customHeight="1" x14ac:dyDescent="0.35"/>
    <row r="602" ht="14.25" customHeight="1" x14ac:dyDescent="0.35"/>
    <row r="603" ht="14.25" customHeight="1" x14ac:dyDescent="0.35"/>
    <row r="604" ht="14.25" customHeight="1" x14ac:dyDescent="0.35"/>
    <row r="605" ht="14.25" customHeight="1" x14ac:dyDescent="0.35"/>
    <row r="606" ht="14.25" customHeight="1" x14ac:dyDescent="0.35"/>
    <row r="607" ht="14.25" customHeight="1" x14ac:dyDescent="0.35"/>
    <row r="608" ht="14.25" customHeight="1" x14ac:dyDescent="0.35"/>
    <row r="609" ht="14.25" customHeight="1" x14ac:dyDescent="0.35"/>
    <row r="610" ht="14.25" customHeight="1" x14ac:dyDescent="0.35"/>
    <row r="611" ht="14.25" customHeight="1" x14ac:dyDescent="0.35"/>
    <row r="612" ht="14.25" customHeight="1" x14ac:dyDescent="0.35"/>
    <row r="613" ht="14.25" customHeight="1" x14ac:dyDescent="0.35"/>
    <row r="614" ht="14.25" customHeight="1" x14ac:dyDescent="0.35"/>
    <row r="615" ht="14.25" customHeight="1" x14ac:dyDescent="0.35"/>
    <row r="616" ht="14.25" customHeight="1" x14ac:dyDescent="0.35"/>
    <row r="617" ht="14.25" customHeight="1" x14ac:dyDescent="0.35"/>
    <row r="618" ht="14.25" customHeight="1" x14ac:dyDescent="0.35"/>
    <row r="619" ht="14.25" customHeight="1" x14ac:dyDescent="0.35"/>
    <row r="620" ht="14.25" customHeight="1" x14ac:dyDescent="0.35"/>
    <row r="621" ht="14.25" customHeight="1" x14ac:dyDescent="0.35"/>
    <row r="622" ht="14.25" customHeight="1" x14ac:dyDescent="0.35"/>
    <row r="623" ht="14.25" customHeight="1" x14ac:dyDescent="0.35"/>
    <row r="624" ht="14.25" customHeight="1" x14ac:dyDescent="0.35"/>
    <row r="625" ht="14.25" customHeight="1" x14ac:dyDescent="0.35"/>
    <row r="626" ht="14.25" customHeight="1" x14ac:dyDescent="0.35"/>
    <row r="627" ht="14.25" customHeight="1" x14ac:dyDescent="0.35"/>
    <row r="628" ht="14.25" customHeight="1" x14ac:dyDescent="0.35"/>
    <row r="629" ht="14.25" customHeight="1" x14ac:dyDescent="0.35"/>
    <row r="630" ht="14.25" customHeight="1" x14ac:dyDescent="0.35"/>
    <row r="631" ht="14.25" customHeight="1" x14ac:dyDescent="0.35"/>
    <row r="632" ht="14.25" customHeight="1" x14ac:dyDescent="0.35"/>
    <row r="633" ht="14.25" customHeight="1" x14ac:dyDescent="0.35"/>
    <row r="634" ht="14.25" customHeight="1" x14ac:dyDescent="0.35"/>
    <row r="635" ht="14.25" customHeight="1" x14ac:dyDescent="0.35"/>
    <row r="636" ht="14.25" customHeight="1" x14ac:dyDescent="0.35"/>
    <row r="637" ht="14.25" customHeight="1" x14ac:dyDescent="0.35"/>
    <row r="638" ht="14.25" customHeight="1" x14ac:dyDescent="0.35"/>
    <row r="639" ht="14.25" customHeight="1" x14ac:dyDescent="0.35"/>
    <row r="640" ht="14.25" customHeight="1" x14ac:dyDescent="0.35"/>
    <row r="641" ht="14.25" customHeight="1" x14ac:dyDescent="0.35"/>
    <row r="642" ht="14.25" customHeight="1" x14ac:dyDescent="0.35"/>
    <row r="643" ht="14.25" customHeight="1" x14ac:dyDescent="0.35"/>
    <row r="644" ht="14.25" customHeight="1" x14ac:dyDescent="0.35"/>
    <row r="645" ht="14.25" customHeight="1" x14ac:dyDescent="0.35"/>
    <row r="646" ht="14.25" customHeight="1" x14ac:dyDescent="0.35"/>
    <row r="647" ht="14.25" customHeight="1" x14ac:dyDescent="0.35"/>
    <row r="648" ht="14.25" customHeight="1" x14ac:dyDescent="0.35"/>
    <row r="649" ht="14.25" customHeight="1" x14ac:dyDescent="0.35"/>
    <row r="650" ht="14.25" customHeight="1" x14ac:dyDescent="0.35"/>
    <row r="651" ht="14.25" customHeight="1" x14ac:dyDescent="0.35"/>
    <row r="652" ht="14.25" customHeight="1" x14ac:dyDescent="0.35"/>
    <row r="653" ht="14.25" customHeight="1" x14ac:dyDescent="0.35"/>
    <row r="654" ht="14.25" customHeight="1" x14ac:dyDescent="0.35"/>
    <row r="655" ht="14.25" customHeight="1" x14ac:dyDescent="0.35"/>
    <row r="656" ht="14.25" customHeight="1" x14ac:dyDescent="0.35"/>
    <row r="657" ht="14.25" customHeight="1" x14ac:dyDescent="0.35"/>
    <row r="658" ht="14.25" customHeight="1" x14ac:dyDescent="0.35"/>
    <row r="659" ht="14.25" customHeight="1" x14ac:dyDescent="0.35"/>
    <row r="660" ht="14.25" customHeight="1" x14ac:dyDescent="0.35"/>
    <row r="661" ht="14.25" customHeight="1" x14ac:dyDescent="0.35"/>
    <row r="662" ht="14.25" customHeight="1" x14ac:dyDescent="0.35"/>
    <row r="663" ht="14.25" customHeight="1" x14ac:dyDescent="0.35"/>
    <row r="664" ht="14.25" customHeight="1" x14ac:dyDescent="0.35"/>
    <row r="665" ht="14.25" customHeight="1" x14ac:dyDescent="0.35"/>
    <row r="666" ht="14.25" customHeight="1" x14ac:dyDescent="0.35"/>
    <row r="667" ht="14.25" customHeight="1" x14ac:dyDescent="0.35"/>
    <row r="668" ht="14.25" customHeight="1" x14ac:dyDescent="0.35"/>
    <row r="669" ht="14.25" customHeight="1" x14ac:dyDescent="0.35"/>
    <row r="670" ht="14.25" customHeight="1" x14ac:dyDescent="0.35"/>
    <row r="671" ht="14.25" customHeight="1" x14ac:dyDescent="0.35"/>
    <row r="672" ht="14.25" customHeight="1" x14ac:dyDescent="0.35"/>
    <row r="673" ht="14.25" customHeight="1" x14ac:dyDescent="0.35"/>
    <row r="674" ht="14.25" customHeight="1" x14ac:dyDescent="0.35"/>
    <row r="675" ht="14.25" customHeight="1" x14ac:dyDescent="0.35"/>
    <row r="676" ht="14.25" customHeight="1" x14ac:dyDescent="0.35"/>
    <row r="677" ht="14.25" customHeight="1" x14ac:dyDescent="0.35"/>
    <row r="678" ht="14.25" customHeight="1" x14ac:dyDescent="0.35"/>
    <row r="679" ht="14.25" customHeight="1" x14ac:dyDescent="0.35"/>
    <row r="680" ht="14.25" customHeight="1" x14ac:dyDescent="0.35"/>
    <row r="681" ht="14.25" customHeight="1" x14ac:dyDescent="0.35"/>
    <row r="682" ht="14.25" customHeight="1" x14ac:dyDescent="0.35"/>
    <row r="683" ht="14.25" customHeight="1" x14ac:dyDescent="0.35"/>
    <row r="684" ht="14.25" customHeight="1" x14ac:dyDescent="0.35"/>
    <row r="685" ht="14.25" customHeight="1" x14ac:dyDescent="0.35"/>
    <row r="686" ht="14.25" customHeight="1" x14ac:dyDescent="0.35"/>
    <row r="687" ht="14.25" customHeight="1" x14ac:dyDescent="0.35"/>
    <row r="688" ht="14.25" customHeight="1" x14ac:dyDescent="0.35"/>
    <row r="689" ht="14.25" customHeight="1" x14ac:dyDescent="0.35"/>
    <row r="690" ht="14.25" customHeight="1" x14ac:dyDescent="0.35"/>
    <row r="691" ht="14.25" customHeight="1" x14ac:dyDescent="0.35"/>
    <row r="692" ht="14.25" customHeight="1" x14ac:dyDescent="0.35"/>
    <row r="693" ht="14.25" customHeight="1" x14ac:dyDescent="0.35"/>
    <row r="694" ht="14.25" customHeight="1" x14ac:dyDescent="0.35"/>
    <row r="695" ht="14.25" customHeight="1" x14ac:dyDescent="0.35"/>
    <row r="696" ht="14.25" customHeight="1" x14ac:dyDescent="0.35"/>
    <row r="697" ht="14.25" customHeight="1" x14ac:dyDescent="0.35"/>
    <row r="698" ht="14.25" customHeight="1" x14ac:dyDescent="0.35"/>
    <row r="699" ht="14.25" customHeight="1" x14ac:dyDescent="0.35"/>
    <row r="700" ht="14.25" customHeight="1" x14ac:dyDescent="0.35"/>
    <row r="701" ht="14.25" customHeight="1" x14ac:dyDescent="0.35"/>
    <row r="702" ht="14.25" customHeight="1" x14ac:dyDescent="0.35"/>
    <row r="703" ht="14.25" customHeight="1" x14ac:dyDescent="0.35"/>
    <row r="704" ht="14.25" customHeight="1" x14ac:dyDescent="0.35"/>
    <row r="705" ht="14.25" customHeight="1" x14ac:dyDescent="0.35"/>
    <row r="706" ht="14.25" customHeight="1" x14ac:dyDescent="0.35"/>
    <row r="707" ht="14.25" customHeight="1" x14ac:dyDescent="0.35"/>
    <row r="708" ht="14.25" customHeight="1" x14ac:dyDescent="0.35"/>
    <row r="709" ht="14.25" customHeight="1" x14ac:dyDescent="0.35"/>
    <row r="710" ht="14.25" customHeight="1" x14ac:dyDescent="0.35"/>
    <row r="711" ht="14.25" customHeight="1" x14ac:dyDescent="0.35"/>
    <row r="712" ht="14.25" customHeight="1" x14ac:dyDescent="0.35"/>
    <row r="713" ht="14.25" customHeight="1" x14ac:dyDescent="0.35"/>
    <row r="714" ht="14.25" customHeight="1" x14ac:dyDescent="0.35"/>
    <row r="715" ht="14.25" customHeight="1" x14ac:dyDescent="0.35"/>
    <row r="716" ht="14.25" customHeight="1" x14ac:dyDescent="0.35"/>
    <row r="717" ht="14.25" customHeight="1" x14ac:dyDescent="0.35"/>
    <row r="718" ht="14.25" customHeight="1" x14ac:dyDescent="0.35"/>
    <row r="719" ht="14.25" customHeight="1" x14ac:dyDescent="0.35"/>
    <row r="720" ht="14.25" customHeight="1" x14ac:dyDescent="0.35"/>
    <row r="721" ht="14.25" customHeight="1" x14ac:dyDescent="0.35"/>
    <row r="722" ht="14.25" customHeight="1" x14ac:dyDescent="0.35"/>
    <row r="723" ht="14.25" customHeight="1" x14ac:dyDescent="0.35"/>
    <row r="724" ht="14.25" customHeight="1" x14ac:dyDescent="0.35"/>
    <row r="725" ht="14.25" customHeight="1" x14ac:dyDescent="0.35"/>
    <row r="726" ht="14.25" customHeight="1" x14ac:dyDescent="0.35"/>
    <row r="727" ht="14.25" customHeight="1" x14ac:dyDescent="0.35"/>
    <row r="728" ht="14.25" customHeight="1" x14ac:dyDescent="0.35"/>
    <row r="729" ht="14.25" customHeight="1" x14ac:dyDescent="0.35"/>
    <row r="730" ht="14.25" customHeight="1" x14ac:dyDescent="0.35"/>
    <row r="731" ht="14.25" customHeight="1" x14ac:dyDescent="0.35"/>
    <row r="732" ht="14.25" customHeight="1" x14ac:dyDescent="0.35"/>
    <row r="733" ht="14.25" customHeight="1" x14ac:dyDescent="0.35"/>
    <row r="734" ht="14.25" customHeight="1" x14ac:dyDescent="0.35"/>
    <row r="735" ht="14.25" customHeight="1" x14ac:dyDescent="0.35"/>
    <row r="736" ht="14.25" customHeight="1" x14ac:dyDescent="0.35"/>
    <row r="737" ht="14.25" customHeight="1" x14ac:dyDescent="0.35"/>
    <row r="738" ht="14.25" customHeight="1" x14ac:dyDescent="0.35"/>
    <row r="739" ht="14.25" customHeight="1" x14ac:dyDescent="0.35"/>
    <row r="740" ht="14.25" customHeight="1" x14ac:dyDescent="0.35"/>
    <row r="741" ht="14.25" customHeight="1" x14ac:dyDescent="0.35"/>
    <row r="742" ht="14.25" customHeight="1" x14ac:dyDescent="0.35"/>
    <row r="743" ht="14.25" customHeight="1" x14ac:dyDescent="0.35"/>
    <row r="744" ht="14.25" customHeight="1" x14ac:dyDescent="0.35"/>
    <row r="745" ht="14.25" customHeight="1" x14ac:dyDescent="0.35"/>
    <row r="746" ht="14.25" customHeight="1" x14ac:dyDescent="0.35"/>
    <row r="747" ht="14.25" customHeight="1" x14ac:dyDescent="0.35"/>
    <row r="748" ht="14.25" customHeight="1" x14ac:dyDescent="0.35"/>
    <row r="749" ht="14.25" customHeight="1" x14ac:dyDescent="0.35"/>
    <row r="750" ht="14.25" customHeight="1" x14ac:dyDescent="0.35"/>
    <row r="751" ht="14.25" customHeight="1" x14ac:dyDescent="0.35"/>
    <row r="752" ht="14.25" customHeight="1" x14ac:dyDescent="0.35"/>
    <row r="753" ht="14.25" customHeight="1" x14ac:dyDescent="0.35"/>
    <row r="754" ht="14.25" customHeight="1" x14ac:dyDescent="0.35"/>
    <row r="755" ht="14.25" customHeight="1" x14ac:dyDescent="0.35"/>
    <row r="756" ht="14.25" customHeight="1" x14ac:dyDescent="0.35"/>
    <row r="757" ht="14.25" customHeight="1" x14ac:dyDescent="0.35"/>
    <row r="758" ht="14.25" customHeight="1" x14ac:dyDescent="0.35"/>
    <row r="759" ht="14.25" customHeight="1" x14ac:dyDescent="0.35"/>
    <row r="760" ht="14.25" customHeight="1" x14ac:dyDescent="0.35"/>
    <row r="761" ht="14.25" customHeight="1" x14ac:dyDescent="0.35"/>
    <row r="762" ht="14.25" customHeight="1" x14ac:dyDescent="0.35"/>
    <row r="763" ht="14.25" customHeight="1" x14ac:dyDescent="0.35"/>
    <row r="764" ht="14.25" customHeight="1" x14ac:dyDescent="0.35"/>
    <row r="765" ht="14.25" customHeight="1" x14ac:dyDescent="0.35"/>
    <row r="766" ht="14.25" customHeight="1" x14ac:dyDescent="0.35"/>
    <row r="767" ht="14.25" customHeight="1" x14ac:dyDescent="0.35"/>
    <row r="768" ht="14.25" customHeight="1" x14ac:dyDescent="0.35"/>
    <row r="769" ht="14.25" customHeight="1" x14ac:dyDescent="0.35"/>
    <row r="770" ht="14.25" customHeight="1" x14ac:dyDescent="0.35"/>
    <row r="771" ht="14.25" customHeight="1" x14ac:dyDescent="0.35"/>
    <row r="772" ht="14.25" customHeight="1" x14ac:dyDescent="0.35"/>
    <row r="773" ht="14.25" customHeight="1" x14ac:dyDescent="0.35"/>
    <row r="774" ht="14.25" customHeight="1" x14ac:dyDescent="0.35"/>
    <row r="775" ht="14.25" customHeight="1" x14ac:dyDescent="0.35"/>
    <row r="776" ht="14.25" customHeight="1" x14ac:dyDescent="0.35"/>
    <row r="777" ht="14.25" customHeight="1" x14ac:dyDescent="0.35"/>
    <row r="778" ht="14.25" customHeight="1" x14ac:dyDescent="0.35"/>
    <row r="779" ht="14.25" customHeight="1" x14ac:dyDescent="0.35"/>
    <row r="780" ht="14.25" customHeight="1" x14ac:dyDescent="0.35"/>
    <row r="781" ht="14.25" customHeight="1" x14ac:dyDescent="0.35"/>
    <row r="782" ht="14.25" customHeight="1" x14ac:dyDescent="0.35"/>
    <row r="783" ht="14.25" customHeight="1" x14ac:dyDescent="0.35"/>
    <row r="784" ht="14.25" customHeight="1" x14ac:dyDescent="0.35"/>
    <row r="785" ht="14.25" customHeight="1" x14ac:dyDescent="0.35"/>
    <row r="786" ht="14.25" customHeight="1" x14ac:dyDescent="0.35"/>
    <row r="787" ht="14.25" customHeight="1" x14ac:dyDescent="0.35"/>
    <row r="788" ht="14.25" customHeight="1" x14ac:dyDescent="0.35"/>
    <row r="789" ht="14.25" customHeight="1" x14ac:dyDescent="0.35"/>
    <row r="790" ht="14.25" customHeight="1" x14ac:dyDescent="0.35"/>
    <row r="791" ht="14.25" customHeight="1" x14ac:dyDescent="0.35"/>
    <row r="792" ht="14.25" customHeight="1" x14ac:dyDescent="0.35"/>
    <row r="793" ht="14.25" customHeight="1" x14ac:dyDescent="0.35"/>
    <row r="794" ht="14.25" customHeight="1" x14ac:dyDescent="0.35"/>
    <row r="795" ht="14.25" customHeight="1" x14ac:dyDescent="0.35"/>
    <row r="796" ht="14.25" customHeight="1" x14ac:dyDescent="0.35"/>
    <row r="797" ht="14.25" customHeight="1" x14ac:dyDescent="0.35"/>
    <row r="798" ht="14.25" customHeight="1" x14ac:dyDescent="0.35"/>
    <row r="799" ht="14.25" customHeight="1" x14ac:dyDescent="0.35"/>
    <row r="800" ht="14.25" customHeight="1" x14ac:dyDescent="0.35"/>
    <row r="801" ht="14.25" customHeight="1" x14ac:dyDescent="0.35"/>
    <row r="802" ht="14.25" customHeight="1" x14ac:dyDescent="0.35"/>
    <row r="803" ht="14.25" customHeight="1" x14ac:dyDescent="0.35"/>
    <row r="804" ht="14.25" customHeight="1" x14ac:dyDescent="0.35"/>
    <row r="805" ht="14.25" customHeight="1" x14ac:dyDescent="0.35"/>
    <row r="806" ht="14.25" customHeight="1" x14ac:dyDescent="0.35"/>
    <row r="807" ht="14.25" customHeight="1" x14ac:dyDescent="0.35"/>
    <row r="808" ht="14.25" customHeight="1" x14ac:dyDescent="0.35"/>
    <row r="809" ht="14.25" customHeight="1" x14ac:dyDescent="0.35"/>
    <row r="810" ht="14.25" customHeight="1" x14ac:dyDescent="0.35"/>
    <row r="811" ht="14.25" customHeight="1" x14ac:dyDescent="0.35"/>
    <row r="812" ht="14.25" customHeight="1" x14ac:dyDescent="0.35"/>
    <row r="813" ht="14.25" customHeight="1" x14ac:dyDescent="0.35"/>
    <row r="814" ht="14.25" customHeight="1" x14ac:dyDescent="0.35"/>
    <row r="815" ht="14.25" customHeight="1" x14ac:dyDescent="0.35"/>
    <row r="816" ht="14.25" customHeight="1" x14ac:dyDescent="0.35"/>
    <row r="817" ht="14.25" customHeight="1" x14ac:dyDescent="0.35"/>
    <row r="818" ht="14.25" customHeight="1" x14ac:dyDescent="0.35"/>
    <row r="819" ht="14.25" customHeight="1" x14ac:dyDescent="0.35"/>
    <row r="820" ht="14.25" customHeight="1" x14ac:dyDescent="0.35"/>
    <row r="821" ht="14.25" customHeight="1" x14ac:dyDescent="0.35"/>
    <row r="822" ht="14.25" customHeight="1" x14ac:dyDescent="0.35"/>
    <row r="823" ht="14.25" customHeight="1" x14ac:dyDescent="0.35"/>
    <row r="824" ht="14.25" customHeight="1" x14ac:dyDescent="0.35"/>
    <row r="825" ht="14.25" customHeight="1" x14ac:dyDescent="0.35"/>
    <row r="826" ht="14.25" customHeight="1" x14ac:dyDescent="0.35"/>
    <row r="827" ht="14.25" customHeight="1" x14ac:dyDescent="0.35"/>
    <row r="828" ht="14.25" customHeight="1" x14ac:dyDescent="0.35"/>
    <row r="829" ht="14.25" customHeight="1" x14ac:dyDescent="0.35"/>
    <row r="830" ht="14.25" customHeight="1" x14ac:dyDescent="0.35"/>
    <row r="831" ht="14.25" customHeight="1" x14ac:dyDescent="0.35"/>
    <row r="832" ht="14.25" customHeight="1" x14ac:dyDescent="0.35"/>
    <row r="833" ht="14.25" customHeight="1" x14ac:dyDescent="0.35"/>
    <row r="834" ht="14.25" customHeight="1" x14ac:dyDescent="0.35"/>
    <row r="835" ht="14.25" customHeight="1" x14ac:dyDescent="0.35"/>
    <row r="836" ht="14.25" customHeight="1" x14ac:dyDescent="0.35"/>
    <row r="837" ht="14.25" customHeight="1" x14ac:dyDescent="0.35"/>
    <row r="838" ht="14.25" customHeight="1" x14ac:dyDescent="0.35"/>
    <row r="839" ht="14.25" customHeight="1" x14ac:dyDescent="0.35"/>
    <row r="840" ht="14.25" customHeight="1" x14ac:dyDescent="0.35"/>
    <row r="841" ht="14.25" customHeight="1" x14ac:dyDescent="0.35"/>
    <row r="842" ht="14.25" customHeight="1" x14ac:dyDescent="0.35"/>
    <row r="843" ht="14.25" customHeight="1" x14ac:dyDescent="0.35"/>
    <row r="844" ht="14.25" customHeight="1" x14ac:dyDescent="0.35"/>
    <row r="845" ht="14.25" customHeight="1" x14ac:dyDescent="0.35"/>
    <row r="846" ht="14.25" customHeight="1" x14ac:dyDescent="0.35"/>
    <row r="847" ht="14.25" customHeight="1" x14ac:dyDescent="0.35"/>
    <row r="848" ht="14.25" customHeight="1" x14ac:dyDescent="0.35"/>
    <row r="849" ht="14.25" customHeight="1" x14ac:dyDescent="0.35"/>
    <row r="850" ht="14.25" customHeight="1" x14ac:dyDescent="0.35"/>
    <row r="851" ht="14.25" customHeight="1" x14ac:dyDescent="0.35"/>
    <row r="852" ht="14.25" customHeight="1" x14ac:dyDescent="0.35"/>
    <row r="853" ht="14.25" customHeight="1" x14ac:dyDescent="0.35"/>
    <row r="854" ht="14.25" customHeight="1" x14ac:dyDescent="0.35"/>
    <row r="855" ht="14.25" customHeight="1" x14ac:dyDescent="0.35"/>
    <row r="856" ht="14.25" customHeight="1" x14ac:dyDescent="0.35"/>
    <row r="857" ht="14.25" customHeight="1" x14ac:dyDescent="0.35"/>
    <row r="858" ht="14.25" customHeight="1" x14ac:dyDescent="0.35"/>
    <row r="859" ht="14.25" customHeight="1" x14ac:dyDescent="0.35"/>
    <row r="860" ht="14.25" customHeight="1" x14ac:dyDescent="0.35"/>
    <row r="861" ht="14.25" customHeight="1" x14ac:dyDescent="0.35"/>
    <row r="862" ht="14.25" customHeight="1" x14ac:dyDescent="0.35"/>
    <row r="863" ht="14.25" customHeight="1" x14ac:dyDescent="0.35"/>
    <row r="864" ht="14.25" customHeight="1" x14ac:dyDescent="0.35"/>
    <row r="865" ht="14.25" customHeight="1" x14ac:dyDescent="0.35"/>
    <row r="866" ht="14.25" customHeight="1" x14ac:dyDescent="0.35"/>
    <row r="867" ht="14.25" customHeight="1" x14ac:dyDescent="0.35"/>
    <row r="868" ht="14.25" customHeight="1" x14ac:dyDescent="0.35"/>
    <row r="869" ht="14.25" customHeight="1" x14ac:dyDescent="0.35"/>
    <row r="870" ht="14.25" customHeight="1" x14ac:dyDescent="0.35"/>
    <row r="871" ht="14.25" customHeight="1" x14ac:dyDescent="0.35"/>
    <row r="872" ht="14.25" customHeight="1" x14ac:dyDescent="0.35"/>
    <row r="873" ht="14.25" customHeight="1" x14ac:dyDescent="0.35"/>
    <row r="874" ht="14.25" customHeight="1" x14ac:dyDescent="0.35"/>
    <row r="875" ht="14.25" customHeight="1" x14ac:dyDescent="0.35"/>
    <row r="876" ht="14.25" customHeight="1" x14ac:dyDescent="0.35"/>
    <row r="877" ht="14.25" customHeight="1" x14ac:dyDescent="0.35"/>
    <row r="878" ht="14.25" customHeight="1" x14ac:dyDescent="0.35"/>
    <row r="879" ht="14.25" customHeight="1" x14ac:dyDescent="0.35"/>
    <row r="880" ht="14.25" customHeight="1" x14ac:dyDescent="0.35"/>
    <row r="881" ht="14.25" customHeight="1" x14ac:dyDescent="0.35"/>
    <row r="882" ht="14.25" customHeight="1" x14ac:dyDescent="0.35"/>
    <row r="883" ht="14.25" customHeight="1" x14ac:dyDescent="0.35"/>
    <row r="884" ht="14.25" customHeight="1" x14ac:dyDescent="0.35"/>
    <row r="885" ht="14.25" customHeight="1" x14ac:dyDescent="0.35"/>
    <row r="886" ht="14.25" customHeight="1" x14ac:dyDescent="0.35"/>
    <row r="887" ht="14.25" customHeight="1" x14ac:dyDescent="0.35"/>
    <row r="888" ht="14.25" customHeight="1" x14ac:dyDescent="0.35"/>
    <row r="889" ht="14.25" customHeight="1" x14ac:dyDescent="0.35"/>
    <row r="890" ht="14.25" customHeight="1" x14ac:dyDescent="0.35"/>
    <row r="891" ht="14.25" customHeight="1" x14ac:dyDescent="0.35"/>
    <row r="892" ht="14.25" customHeight="1" x14ac:dyDescent="0.35"/>
    <row r="893" ht="14.25" customHeight="1" x14ac:dyDescent="0.35"/>
    <row r="894" ht="14.25" customHeight="1" x14ac:dyDescent="0.35"/>
    <row r="895" ht="14.25" customHeight="1" x14ac:dyDescent="0.35"/>
    <row r="896" ht="14.25" customHeight="1" x14ac:dyDescent="0.35"/>
    <row r="897" ht="14.25" customHeight="1" x14ac:dyDescent="0.35"/>
    <row r="898" ht="14.25" customHeight="1" x14ac:dyDescent="0.35"/>
    <row r="899" ht="14.25" customHeight="1" x14ac:dyDescent="0.35"/>
    <row r="900" ht="14.25" customHeight="1" x14ac:dyDescent="0.35"/>
    <row r="901" ht="14.25" customHeight="1" x14ac:dyDescent="0.35"/>
    <row r="902" ht="14.25" customHeight="1" x14ac:dyDescent="0.35"/>
    <row r="903" ht="14.25" customHeight="1" x14ac:dyDescent="0.35"/>
    <row r="904" ht="14.25" customHeight="1" x14ac:dyDescent="0.35"/>
    <row r="905" ht="14.25" customHeight="1" x14ac:dyDescent="0.35"/>
    <row r="906" ht="14.25" customHeight="1" x14ac:dyDescent="0.35"/>
    <row r="907" ht="14.25" customHeight="1" x14ac:dyDescent="0.35"/>
    <row r="908" ht="14.25" customHeight="1" x14ac:dyDescent="0.35"/>
    <row r="909" ht="14.25" customHeight="1" x14ac:dyDescent="0.35"/>
    <row r="910" ht="14.25" customHeight="1" x14ac:dyDescent="0.35"/>
    <row r="911" ht="14.25" customHeight="1" x14ac:dyDescent="0.35"/>
    <row r="912" ht="14.25" customHeight="1" x14ac:dyDescent="0.35"/>
    <row r="913" ht="14.25" customHeight="1" x14ac:dyDescent="0.35"/>
    <row r="914" ht="14.25" customHeight="1" x14ac:dyDescent="0.35"/>
    <row r="915" ht="14.25" customHeight="1" x14ac:dyDescent="0.35"/>
    <row r="916" ht="14.25" customHeight="1" x14ac:dyDescent="0.35"/>
    <row r="917" ht="14.25" customHeight="1" x14ac:dyDescent="0.35"/>
    <row r="918" ht="14.25" customHeight="1" x14ac:dyDescent="0.35"/>
    <row r="919" ht="14.25" customHeight="1" x14ac:dyDescent="0.35"/>
    <row r="920" ht="14.25" customHeight="1" x14ac:dyDescent="0.35"/>
    <row r="921" ht="14.25" customHeight="1" x14ac:dyDescent="0.35"/>
    <row r="922" ht="14.25" customHeight="1" x14ac:dyDescent="0.35"/>
    <row r="923" ht="14.25" customHeight="1" x14ac:dyDescent="0.35"/>
    <row r="924" ht="14.25" customHeight="1" x14ac:dyDescent="0.35"/>
    <row r="925" ht="14.25" customHeight="1" x14ac:dyDescent="0.35"/>
    <row r="926" ht="14.25" customHeight="1" x14ac:dyDescent="0.35"/>
    <row r="927" ht="14.25" customHeight="1" x14ac:dyDescent="0.35"/>
    <row r="928" ht="14.25" customHeight="1" x14ac:dyDescent="0.35"/>
    <row r="929" ht="14.25" customHeight="1" x14ac:dyDescent="0.35"/>
    <row r="930" ht="14.25" customHeight="1" x14ac:dyDescent="0.35"/>
    <row r="931" ht="14.25" customHeight="1" x14ac:dyDescent="0.35"/>
    <row r="932" ht="14.25" customHeight="1" x14ac:dyDescent="0.35"/>
    <row r="933" ht="14.25" customHeight="1" x14ac:dyDescent="0.35"/>
    <row r="934" ht="14.25" customHeight="1" x14ac:dyDescent="0.35"/>
    <row r="935" ht="14.25" customHeight="1" x14ac:dyDescent="0.35"/>
    <row r="936" ht="14.25" customHeight="1" x14ac:dyDescent="0.35"/>
    <row r="937" ht="14.25" customHeight="1" x14ac:dyDescent="0.35"/>
    <row r="938" ht="14.25" customHeight="1" x14ac:dyDescent="0.35"/>
    <row r="939" ht="14.25" customHeight="1" x14ac:dyDescent="0.35"/>
    <row r="940" ht="14.25" customHeight="1" x14ac:dyDescent="0.35"/>
    <row r="941" ht="14.25" customHeight="1" x14ac:dyDescent="0.35"/>
    <row r="942" ht="14.25" customHeight="1" x14ac:dyDescent="0.35"/>
    <row r="943" ht="14.25" customHeight="1" x14ac:dyDescent="0.35"/>
    <row r="944" ht="14.25" customHeight="1" x14ac:dyDescent="0.35"/>
    <row r="945" ht="14.25" customHeight="1" x14ac:dyDescent="0.35"/>
    <row r="946" ht="14.25" customHeight="1" x14ac:dyDescent="0.35"/>
    <row r="947" ht="14.25" customHeight="1" x14ac:dyDescent="0.35"/>
    <row r="948" ht="14.25" customHeight="1" x14ac:dyDescent="0.35"/>
    <row r="949" ht="14.25" customHeight="1" x14ac:dyDescent="0.35"/>
    <row r="950" ht="14.25" customHeight="1" x14ac:dyDescent="0.35"/>
    <row r="951" ht="14.25" customHeight="1" x14ac:dyDescent="0.35"/>
    <row r="952" ht="14.25" customHeight="1" x14ac:dyDescent="0.35"/>
    <row r="953" ht="14.25" customHeight="1" x14ac:dyDescent="0.35"/>
    <row r="954" ht="14.25" customHeight="1" x14ac:dyDescent="0.35"/>
    <row r="955" ht="14.25" customHeight="1" x14ac:dyDescent="0.35"/>
    <row r="956" ht="14.25" customHeight="1" x14ac:dyDescent="0.35"/>
    <row r="957" ht="14.25" customHeight="1" x14ac:dyDescent="0.35"/>
    <row r="958" ht="14.25" customHeight="1" x14ac:dyDescent="0.35"/>
    <row r="959" ht="14.25" customHeight="1" x14ac:dyDescent="0.35"/>
    <row r="960" ht="14.25" customHeight="1" x14ac:dyDescent="0.35"/>
    <row r="961" ht="14.25" customHeight="1" x14ac:dyDescent="0.35"/>
    <row r="962" ht="14.25" customHeight="1" x14ac:dyDescent="0.35"/>
    <row r="963" ht="14.25" customHeight="1" x14ac:dyDescent="0.35"/>
    <row r="964" ht="14.25" customHeight="1" x14ac:dyDescent="0.35"/>
    <row r="965" ht="14.25" customHeight="1" x14ac:dyDescent="0.35"/>
    <row r="966" ht="14.25" customHeight="1" x14ac:dyDescent="0.35"/>
    <row r="967" ht="14.25" customHeight="1" x14ac:dyDescent="0.35"/>
    <row r="968" ht="14.25" customHeight="1" x14ac:dyDescent="0.35"/>
    <row r="969" ht="14.25" customHeight="1" x14ac:dyDescent="0.35"/>
    <row r="970" ht="14.25" customHeight="1" x14ac:dyDescent="0.35"/>
    <row r="971" ht="14.25" customHeight="1" x14ac:dyDescent="0.35"/>
    <row r="972" ht="14.25" customHeight="1" x14ac:dyDescent="0.35"/>
    <row r="973" ht="14.25" customHeight="1" x14ac:dyDescent="0.35"/>
    <row r="974" ht="14.25" customHeight="1" x14ac:dyDescent="0.35"/>
    <row r="975" ht="14.25" customHeight="1" x14ac:dyDescent="0.35"/>
    <row r="976" ht="14.25" customHeight="1" x14ac:dyDescent="0.35"/>
    <row r="977" ht="14.25" customHeight="1" x14ac:dyDescent="0.35"/>
    <row r="978" ht="14.25" customHeight="1" x14ac:dyDescent="0.35"/>
    <row r="979" ht="14.25" customHeight="1" x14ac:dyDescent="0.35"/>
    <row r="980" ht="14.25" customHeight="1" x14ac:dyDescent="0.35"/>
    <row r="981" ht="14.25" customHeight="1" x14ac:dyDescent="0.35"/>
    <row r="982" ht="14.25" customHeight="1" x14ac:dyDescent="0.35"/>
    <row r="983" ht="14.25" customHeight="1" x14ac:dyDescent="0.35"/>
    <row r="984" ht="14.25" customHeight="1" x14ac:dyDescent="0.35"/>
    <row r="985" ht="14.25" customHeight="1" x14ac:dyDescent="0.35"/>
    <row r="986" ht="14.25" customHeight="1" x14ac:dyDescent="0.35"/>
    <row r="987" ht="14.25" customHeight="1" x14ac:dyDescent="0.35"/>
    <row r="988" ht="14.25" customHeight="1" x14ac:dyDescent="0.35"/>
    <row r="989" ht="14.25" customHeight="1" x14ac:dyDescent="0.35"/>
    <row r="990" ht="14.25" customHeight="1" x14ac:dyDescent="0.35"/>
    <row r="991" ht="14.25" customHeight="1" x14ac:dyDescent="0.35"/>
    <row r="992" ht="14.25" customHeight="1" x14ac:dyDescent="0.35"/>
    <row r="993" ht="14.25" customHeight="1" x14ac:dyDescent="0.35"/>
    <row r="994" ht="14.25" customHeight="1" x14ac:dyDescent="0.35"/>
    <row r="995" ht="14.25" customHeight="1" x14ac:dyDescent="0.35"/>
    <row r="996" ht="14.25" customHeight="1" x14ac:dyDescent="0.35"/>
    <row r="997" ht="14.25" customHeight="1" x14ac:dyDescent="0.35"/>
    <row r="998" ht="14.25" customHeight="1" x14ac:dyDescent="0.35"/>
    <row r="999" ht="14.25" customHeight="1" x14ac:dyDescent="0.35"/>
    <row r="1000" ht="14.25" customHeight="1" x14ac:dyDescent="0.35"/>
  </sheetData>
  <mergeCells count="1">
    <mergeCell ref="A2:F2"/>
  </mergeCells>
  <pageMargins left="0.75" right="0.75" top="1" bottom="1" header="0" footer="0"/>
  <pageSetup paperSize="9"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H1000"/>
  <sheetViews>
    <sheetView workbookViewId="0"/>
  </sheetViews>
  <sheetFormatPr defaultColWidth="14.453125" defaultRowHeight="15" customHeight="1" x14ac:dyDescent="0.35"/>
  <cols>
    <col min="1" max="1" width="34" customWidth="1"/>
    <col min="2" max="7" width="10" customWidth="1"/>
    <col min="8" max="26" width="8.54296875" customWidth="1"/>
  </cols>
  <sheetData>
    <row r="1" spans="1:8" ht="15.75" customHeight="1" x14ac:dyDescent="0.35">
      <c r="A1" s="11" t="s">
        <v>952</v>
      </c>
      <c r="B1" s="10"/>
      <c r="C1" s="10"/>
      <c r="D1" s="10"/>
      <c r="E1" s="10"/>
      <c r="F1" s="10"/>
      <c r="G1" s="10"/>
      <c r="H1" s="10"/>
    </row>
    <row r="2" spans="1:8" ht="14.25" customHeight="1" x14ac:dyDescent="0.35">
      <c r="A2" s="10"/>
      <c r="B2" s="10"/>
      <c r="C2" s="10"/>
      <c r="D2" s="10"/>
      <c r="E2" s="10"/>
      <c r="F2" s="10"/>
      <c r="G2" s="10"/>
      <c r="H2" s="10"/>
    </row>
    <row r="3" spans="1:8" ht="15" customHeight="1" x14ac:dyDescent="0.35">
      <c r="A3" s="13" t="s">
        <v>953</v>
      </c>
      <c r="B3" s="10"/>
      <c r="C3" s="10"/>
      <c r="D3" s="10"/>
      <c r="E3" s="10"/>
      <c r="F3" s="10"/>
      <c r="G3" s="10"/>
      <c r="H3" s="10"/>
    </row>
    <row r="4" spans="1:8" ht="15" customHeight="1" x14ac:dyDescent="0.35">
      <c r="A4" s="14" t="s">
        <v>954</v>
      </c>
      <c r="B4" s="14" t="s">
        <v>11</v>
      </c>
      <c r="C4" s="14" t="s">
        <v>95</v>
      </c>
      <c r="D4" s="14" t="s">
        <v>22</v>
      </c>
      <c r="E4" s="14" t="s">
        <v>38</v>
      </c>
      <c r="F4" s="14" t="s">
        <v>64</v>
      </c>
      <c r="G4" s="14" t="s">
        <v>944</v>
      </c>
      <c r="H4" s="10"/>
    </row>
    <row r="5" spans="1:8" ht="15" customHeight="1" x14ac:dyDescent="0.35">
      <c r="A5" s="22" t="s">
        <v>955</v>
      </c>
      <c r="B5" s="16">
        <f>SUMIFS('Data (parsed)'!$I$2:$I$235,'Data (parsed)'!$B$2:$B$235,"Shame",'Data (parsed)'!$C$2:$C$235,$A5,'Data (parsed)'!$D$2:$D$235,B$4)</f>
        <v>2</v>
      </c>
      <c r="C5" s="16">
        <f>SUMIFS('Data (parsed)'!$I$2:$I$235,'Data (parsed)'!$B$2:$B$235,"Shame",'Data (parsed)'!$C$2:$C$235,$A5,'Data (parsed)'!$D$2:$D$235,C$4)</f>
        <v>1</v>
      </c>
      <c r="D5" s="16">
        <f>SUMIFS('Data (parsed)'!$I$2:$I$235,'Data (parsed)'!$B$2:$B$235,"Shame",'Data (parsed)'!$C$2:$C$235,$A5,'Data (parsed)'!$D$2:$D$235,D$4)</f>
        <v>6</v>
      </c>
      <c r="E5" s="16">
        <f>SUMIFS('Data (parsed)'!$I$2:$I$235,'Data (parsed)'!$B$2:$B$235,"Shame",'Data (parsed)'!$C$2:$C$235,$A5,'Data (parsed)'!$D$2:$D$235,E$4)</f>
        <v>9</v>
      </c>
      <c r="F5" s="16">
        <f>SUMIFS('Data (parsed)'!$I$2:$I$235,'Data (parsed)'!$B$2:$B$235,"Shame",'Data (parsed)'!$C$2:$C$235,$A5,'Data (parsed)'!$D$2:$D$235,F$4)</f>
        <v>7</v>
      </c>
      <c r="G5" s="18">
        <f t="shared" ref="G5:G15" si="0">SUM(B5:F5)</f>
        <v>25</v>
      </c>
      <c r="H5" s="10"/>
    </row>
    <row r="6" spans="1:8" ht="15" customHeight="1" x14ac:dyDescent="0.35">
      <c r="A6" s="22" t="s">
        <v>956</v>
      </c>
      <c r="B6" s="16">
        <f>SUMIFS('Data (parsed)'!$I$2:$I$235,'Data (parsed)'!$B$2:$B$235,"Shame",'Data (parsed)'!$C$2:$C$235,$A6,'Data (parsed)'!$D$2:$D$235,B$4)</f>
        <v>2</v>
      </c>
      <c r="C6" s="16">
        <f>SUMIFS('Data (parsed)'!$I$2:$I$235,'Data (parsed)'!$B$2:$B$235,"Shame",'Data (parsed)'!$C$2:$C$235,$A6,'Data (parsed)'!$D$2:$D$235,C$4)</f>
        <v>4</v>
      </c>
      <c r="D6" s="16">
        <f>SUMIFS('Data (parsed)'!$I$2:$I$235,'Data (parsed)'!$B$2:$B$235,"Shame",'Data (parsed)'!$C$2:$C$235,$A6,'Data (parsed)'!$D$2:$D$235,D$4)</f>
        <v>1</v>
      </c>
      <c r="E6" s="16">
        <f>SUMIFS('Data (parsed)'!$I$2:$I$235,'Data (parsed)'!$B$2:$B$235,"Shame",'Data (parsed)'!$C$2:$C$235,$A6,'Data (parsed)'!$D$2:$D$235,E$4)</f>
        <v>6</v>
      </c>
      <c r="F6" s="16">
        <f>SUMIFS('Data (parsed)'!$I$2:$I$235,'Data (parsed)'!$B$2:$B$235,"Shame",'Data (parsed)'!$C$2:$C$235,$A6,'Data (parsed)'!$D$2:$D$235,F$4)</f>
        <v>6</v>
      </c>
      <c r="G6" s="18">
        <f t="shared" si="0"/>
        <v>19</v>
      </c>
      <c r="H6" s="10"/>
    </row>
    <row r="7" spans="1:8" ht="15" customHeight="1" x14ac:dyDescent="0.35">
      <c r="A7" s="22" t="s">
        <v>957</v>
      </c>
      <c r="B7" s="16">
        <f>SUMIFS('Data (parsed)'!$I$2:$I$235,'Data (parsed)'!$B$2:$B$235,"Shame",'Data (parsed)'!$C$2:$C$235,$A7,'Data (parsed)'!$D$2:$D$235,B$4)</f>
        <v>0</v>
      </c>
      <c r="C7" s="16">
        <f>SUMIFS('Data (parsed)'!$I$2:$I$235,'Data (parsed)'!$B$2:$B$235,"Shame",'Data (parsed)'!$C$2:$C$235,$A7,'Data (parsed)'!$D$2:$D$235,C$4)</f>
        <v>3</v>
      </c>
      <c r="D7" s="16">
        <f>SUMIFS('Data (parsed)'!$I$2:$I$235,'Data (parsed)'!$B$2:$B$235,"Shame",'Data (parsed)'!$C$2:$C$235,$A7,'Data (parsed)'!$D$2:$D$235,D$4)</f>
        <v>3</v>
      </c>
      <c r="E7" s="16">
        <f>SUMIFS('Data (parsed)'!$I$2:$I$235,'Data (parsed)'!$B$2:$B$235,"Shame",'Data (parsed)'!$C$2:$C$235,$A7,'Data (parsed)'!$D$2:$D$235,E$4)</f>
        <v>6</v>
      </c>
      <c r="F7" s="16">
        <f>SUMIFS('Data (parsed)'!$I$2:$I$235,'Data (parsed)'!$B$2:$B$235,"Shame",'Data (parsed)'!$C$2:$C$235,$A7,'Data (parsed)'!$D$2:$D$235,F$4)</f>
        <v>5</v>
      </c>
      <c r="G7" s="18">
        <f t="shared" si="0"/>
        <v>17</v>
      </c>
      <c r="H7" s="10"/>
    </row>
    <row r="8" spans="1:8" ht="15" customHeight="1" x14ac:dyDescent="0.35">
      <c r="A8" s="22" t="s">
        <v>958</v>
      </c>
      <c r="B8" s="16">
        <f>SUMIFS('Data (parsed)'!$I$2:$I$235,'Data (parsed)'!$B$2:$B$235,"Shame",'Data (parsed)'!$C$2:$C$235,$A8,'Data (parsed)'!$D$2:$D$235,B$4)</f>
        <v>0</v>
      </c>
      <c r="C8" s="16">
        <f>SUMIFS('Data (parsed)'!$I$2:$I$235,'Data (parsed)'!$B$2:$B$235,"Shame",'Data (parsed)'!$C$2:$C$235,$A8,'Data (parsed)'!$D$2:$D$235,C$4)</f>
        <v>4</v>
      </c>
      <c r="D8" s="16">
        <f>SUMIFS('Data (parsed)'!$I$2:$I$235,'Data (parsed)'!$B$2:$B$235,"Shame",'Data (parsed)'!$C$2:$C$235,$A8,'Data (parsed)'!$D$2:$D$235,D$4)</f>
        <v>1</v>
      </c>
      <c r="E8" s="16">
        <f>SUMIFS('Data (parsed)'!$I$2:$I$235,'Data (parsed)'!$B$2:$B$235,"Shame",'Data (parsed)'!$C$2:$C$235,$A8,'Data (parsed)'!$D$2:$D$235,E$4)</f>
        <v>2</v>
      </c>
      <c r="F8" s="16">
        <f>SUMIFS('Data (parsed)'!$I$2:$I$235,'Data (parsed)'!$B$2:$B$235,"Shame",'Data (parsed)'!$C$2:$C$235,$A8,'Data (parsed)'!$D$2:$D$235,F$4)</f>
        <v>5</v>
      </c>
      <c r="G8" s="18">
        <f t="shared" si="0"/>
        <v>12</v>
      </c>
      <c r="H8" s="10"/>
    </row>
    <row r="9" spans="1:8" ht="15" customHeight="1" x14ac:dyDescent="0.35">
      <c r="A9" s="22" t="s">
        <v>959</v>
      </c>
      <c r="B9" s="16">
        <f>SUMIFS('Data (parsed)'!$I$2:$I$235,'Data (parsed)'!$B$2:$B$235,"Shame",'Data (parsed)'!$C$2:$C$235,$A9,'Data (parsed)'!$D$2:$D$235,B$4)</f>
        <v>0</v>
      </c>
      <c r="C9" s="16">
        <f>SUMIFS('Data (parsed)'!$I$2:$I$235,'Data (parsed)'!$B$2:$B$235,"Shame",'Data (parsed)'!$C$2:$C$235,$A9,'Data (parsed)'!$D$2:$D$235,C$4)</f>
        <v>0</v>
      </c>
      <c r="D9" s="16">
        <f>SUMIFS('Data (parsed)'!$I$2:$I$235,'Data (parsed)'!$B$2:$B$235,"Shame",'Data (parsed)'!$C$2:$C$235,$A9,'Data (parsed)'!$D$2:$D$235,D$4)</f>
        <v>1</v>
      </c>
      <c r="E9" s="16">
        <f>SUMIFS('Data (parsed)'!$I$2:$I$235,'Data (parsed)'!$B$2:$B$235,"Shame",'Data (parsed)'!$C$2:$C$235,$A9,'Data (parsed)'!$D$2:$D$235,E$4)</f>
        <v>3</v>
      </c>
      <c r="F9" s="16">
        <f>SUMIFS('Data (parsed)'!$I$2:$I$235,'Data (parsed)'!$B$2:$B$235,"Shame",'Data (parsed)'!$C$2:$C$235,$A9,'Data (parsed)'!$D$2:$D$235,F$4)</f>
        <v>5</v>
      </c>
      <c r="G9" s="18">
        <f t="shared" si="0"/>
        <v>9</v>
      </c>
      <c r="H9" s="10"/>
    </row>
    <row r="10" spans="1:8" ht="15" customHeight="1" x14ac:dyDescent="0.35">
      <c r="A10" s="22" t="s">
        <v>960</v>
      </c>
      <c r="B10" s="16">
        <f>SUMIFS('Data (parsed)'!$I$2:$I$235,'Data (parsed)'!$B$2:$B$235,"Shame",'Data (parsed)'!$C$2:$C$235,$A10,'Data (parsed)'!$D$2:$D$235,B$4)</f>
        <v>0</v>
      </c>
      <c r="C10" s="16">
        <f>SUMIFS('Data (parsed)'!$I$2:$I$235,'Data (parsed)'!$B$2:$B$235,"Shame",'Data (parsed)'!$C$2:$C$235,$A10,'Data (parsed)'!$D$2:$D$235,C$4)</f>
        <v>0</v>
      </c>
      <c r="D10" s="16">
        <f>SUMIFS('Data (parsed)'!$I$2:$I$235,'Data (parsed)'!$B$2:$B$235,"Shame",'Data (parsed)'!$C$2:$C$235,$A10,'Data (parsed)'!$D$2:$D$235,D$4)</f>
        <v>3</v>
      </c>
      <c r="E10" s="16">
        <f>SUMIFS('Data (parsed)'!$I$2:$I$235,'Data (parsed)'!$B$2:$B$235,"Shame",'Data (parsed)'!$C$2:$C$235,$A10,'Data (parsed)'!$D$2:$D$235,E$4)</f>
        <v>3</v>
      </c>
      <c r="F10" s="16">
        <f>SUMIFS('Data (parsed)'!$I$2:$I$235,'Data (parsed)'!$B$2:$B$235,"Shame",'Data (parsed)'!$C$2:$C$235,$A10,'Data (parsed)'!$D$2:$D$235,F$4)</f>
        <v>1</v>
      </c>
      <c r="G10" s="18">
        <f t="shared" si="0"/>
        <v>7</v>
      </c>
      <c r="H10" s="10"/>
    </row>
    <row r="11" spans="1:8" ht="26.25" customHeight="1" x14ac:dyDescent="0.35">
      <c r="A11" s="22" t="s">
        <v>961</v>
      </c>
      <c r="B11" s="16">
        <f>SUMIFS('Data (parsed)'!$I$2:$I$235,'Data (parsed)'!$B$2:$B$235,"Shame",'Data (parsed)'!$C$2:$C$235,$A11,'Data (parsed)'!$D$2:$D$235,B$4)</f>
        <v>0</v>
      </c>
      <c r="C11" s="16">
        <f>SUMIFS('Data (parsed)'!$I$2:$I$235,'Data (parsed)'!$B$2:$B$235,"Shame",'Data (parsed)'!$C$2:$C$235,$A11,'Data (parsed)'!$D$2:$D$235,C$4)</f>
        <v>1</v>
      </c>
      <c r="D11" s="16">
        <f>SUMIFS('Data (parsed)'!$I$2:$I$235,'Data (parsed)'!$B$2:$B$235,"Shame",'Data (parsed)'!$C$2:$C$235,$A11,'Data (parsed)'!$D$2:$D$235,D$4)</f>
        <v>1</v>
      </c>
      <c r="E11" s="16">
        <f>SUMIFS('Data (parsed)'!$I$2:$I$235,'Data (parsed)'!$B$2:$B$235,"Shame",'Data (parsed)'!$C$2:$C$235,$A11,'Data (parsed)'!$D$2:$D$235,E$4)</f>
        <v>2</v>
      </c>
      <c r="F11" s="16">
        <f>SUMIFS('Data (parsed)'!$I$2:$I$235,'Data (parsed)'!$B$2:$B$235,"Shame",'Data (parsed)'!$C$2:$C$235,$A11,'Data (parsed)'!$D$2:$D$235,F$4)</f>
        <v>0</v>
      </c>
      <c r="G11" s="18">
        <f t="shared" si="0"/>
        <v>4</v>
      </c>
      <c r="H11" s="10"/>
    </row>
    <row r="12" spans="1:8" ht="15" customHeight="1" x14ac:dyDescent="0.35">
      <c r="A12" s="22" t="s">
        <v>962</v>
      </c>
      <c r="B12" s="16">
        <f>SUMIFS('Data (parsed)'!$I$2:$I$235,'Data (parsed)'!$B$2:$B$235,"Shame",'Data (parsed)'!$C$2:$C$235,$A12,'Data (parsed)'!$D$2:$D$235,B$4)</f>
        <v>0</v>
      </c>
      <c r="C12" s="16">
        <f>SUMIFS('Data (parsed)'!$I$2:$I$235,'Data (parsed)'!$B$2:$B$235,"Shame",'Data (parsed)'!$C$2:$C$235,$A12,'Data (parsed)'!$D$2:$D$235,C$4)</f>
        <v>0</v>
      </c>
      <c r="D12" s="16">
        <f>SUMIFS('Data (parsed)'!$I$2:$I$235,'Data (parsed)'!$B$2:$B$235,"Shame",'Data (parsed)'!$C$2:$C$235,$A12,'Data (parsed)'!$D$2:$D$235,D$4)</f>
        <v>1</v>
      </c>
      <c r="E12" s="16">
        <f>SUMIFS('Data (parsed)'!$I$2:$I$235,'Data (parsed)'!$B$2:$B$235,"Shame",'Data (parsed)'!$C$2:$C$235,$A12,'Data (parsed)'!$D$2:$D$235,E$4)</f>
        <v>3</v>
      </c>
      <c r="F12" s="16">
        <f>SUMIFS('Data (parsed)'!$I$2:$I$235,'Data (parsed)'!$B$2:$B$235,"Shame",'Data (parsed)'!$C$2:$C$235,$A12,'Data (parsed)'!$D$2:$D$235,F$4)</f>
        <v>0</v>
      </c>
      <c r="G12" s="18">
        <f t="shared" si="0"/>
        <v>4</v>
      </c>
      <c r="H12" s="10"/>
    </row>
    <row r="13" spans="1:8" ht="15" customHeight="1" x14ac:dyDescent="0.35">
      <c r="A13" s="22" t="s">
        <v>963</v>
      </c>
      <c r="B13" s="16">
        <f>SUMIFS('Data (parsed)'!$I$2:$I$235,'Data (parsed)'!$B$2:$B$235,"Shame",'Data (parsed)'!$C$2:$C$235,$A13,'Data (parsed)'!$D$2:$D$235,B$4)</f>
        <v>0</v>
      </c>
      <c r="C13" s="16">
        <f>SUMIFS('Data (parsed)'!$I$2:$I$235,'Data (parsed)'!$B$2:$B$235,"Shame",'Data (parsed)'!$C$2:$C$235,$A13,'Data (parsed)'!$D$2:$D$235,C$4)</f>
        <v>1</v>
      </c>
      <c r="D13" s="16">
        <f>SUMIFS('Data (parsed)'!$I$2:$I$235,'Data (parsed)'!$B$2:$B$235,"Shame",'Data (parsed)'!$C$2:$C$235,$A13,'Data (parsed)'!$D$2:$D$235,D$4)</f>
        <v>0</v>
      </c>
      <c r="E13" s="16">
        <f>SUMIFS('Data (parsed)'!$I$2:$I$235,'Data (parsed)'!$B$2:$B$235,"Shame",'Data (parsed)'!$C$2:$C$235,$A13,'Data (parsed)'!$D$2:$D$235,E$4)</f>
        <v>1</v>
      </c>
      <c r="F13" s="16">
        <f>SUMIFS('Data (parsed)'!$I$2:$I$235,'Data (parsed)'!$B$2:$B$235,"Shame",'Data (parsed)'!$C$2:$C$235,$A13,'Data (parsed)'!$D$2:$D$235,F$4)</f>
        <v>1</v>
      </c>
      <c r="G13" s="18">
        <f t="shared" si="0"/>
        <v>3</v>
      </c>
      <c r="H13" s="10"/>
    </row>
    <row r="14" spans="1:8" ht="26.25" customHeight="1" x14ac:dyDescent="0.35">
      <c r="A14" s="22" t="s">
        <v>964</v>
      </c>
      <c r="B14" s="16">
        <f>SUMIFS('Data (parsed)'!$I$2:$I$235,'Data (parsed)'!$B$2:$B$235,"Shame",'Data (parsed)'!$C$2:$C$235,$A14,'Data (parsed)'!$D$2:$D$235,B$4)</f>
        <v>2</v>
      </c>
      <c r="C14" s="16">
        <f>SUMIFS('Data (parsed)'!$I$2:$I$235,'Data (parsed)'!$B$2:$B$235,"Shame",'Data (parsed)'!$C$2:$C$235,$A14,'Data (parsed)'!$D$2:$D$235,C$4)</f>
        <v>0</v>
      </c>
      <c r="D14" s="16">
        <f>SUMIFS('Data (parsed)'!$I$2:$I$235,'Data (parsed)'!$B$2:$B$235,"Shame",'Data (parsed)'!$C$2:$C$235,$A14,'Data (parsed)'!$D$2:$D$235,D$4)</f>
        <v>0</v>
      </c>
      <c r="E14" s="16">
        <f>SUMIFS('Data (parsed)'!$I$2:$I$235,'Data (parsed)'!$B$2:$B$235,"Shame",'Data (parsed)'!$C$2:$C$235,$A14,'Data (parsed)'!$D$2:$D$235,E$4)</f>
        <v>0</v>
      </c>
      <c r="F14" s="16">
        <f>SUMIFS('Data (parsed)'!$I$2:$I$235,'Data (parsed)'!$B$2:$B$235,"Shame",'Data (parsed)'!$C$2:$C$235,$A14,'Data (parsed)'!$D$2:$D$235,F$4)</f>
        <v>0</v>
      </c>
      <c r="G14" s="18">
        <f t="shared" si="0"/>
        <v>2</v>
      </c>
      <c r="H14" s="10"/>
    </row>
    <row r="15" spans="1:8" ht="15" customHeight="1" x14ac:dyDescent="0.35">
      <c r="A15" s="22" t="s">
        <v>965</v>
      </c>
      <c r="B15" s="16">
        <f>SUMIFS('Data (parsed)'!$I$2:$I$235,'Data (parsed)'!$B$2:$B$235,"Shame",'Data (parsed)'!$C$2:$C$235,$A15,'Data (parsed)'!$D$2:$D$235,B$4)</f>
        <v>0</v>
      </c>
      <c r="C15" s="16">
        <f>SUMIFS('Data (parsed)'!$I$2:$I$235,'Data (parsed)'!$B$2:$B$235,"Shame",'Data (parsed)'!$C$2:$C$235,$A15,'Data (parsed)'!$D$2:$D$235,C$4)</f>
        <v>0</v>
      </c>
      <c r="D15" s="16">
        <f>SUMIFS('Data (parsed)'!$I$2:$I$235,'Data (parsed)'!$B$2:$B$235,"Shame",'Data (parsed)'!$C$2:$C$235,$A15,'Data (parsed)'!$D$2:$D$235,D$4)</f>
        <v>0</v>
      </c>
      <c r="E15" s="16">
        <f>SUMIFS('Data (parsed)'!$I$2:$I$235,'Data (parsed)'!$B$2:$B$235,"Shame",'Data (parsed)'!$C$2:$C$235,$A15,'Data (parsed)'!$D$2:$D$235,E$4)</f>
        <v>2</v>
      </c>
      <c r="F15" s="16">
        <f>SUMIFS('Data (parsed)'!$I$2:$I$235,'Data (parsed)'!$B$2:$B$235,"Shame",'Data (parsed)'!$C$2:$C$235,$A15,'Data (parsed)'!$D$2:$D$235,F$4)</f>
        <v>0</v>
      </c>
      <c r="G15" s="18">
        <f t="shared" si="0"/>
        <v>2</v>
      </c>
      <c r="H15" s="10"/>
    </row>
    <row r="16" spans="1:8" ht="15" customHeight="1" x14ac:dyDescent="0.35">
      <c r="A16" s="17" t="s">
        <v>944</v>
      </c>
      <c r="B16" s="18">
        <f t="shared" ref="B16:G16" si="1">SUM(B5:B15)</f>
        <v>6</v>
      </c>
      <c r="C16" s="18">
        <f t="shared" si="1"/>
        <v>14</v>
      </c>
      <c r="D16" s="18">
        <f t="shared" si="1"/>
        <v>17</v>
      </c>
      <c r="E16" s="18">
        <f t="shared" si="1"/>
        <v>37</v>
      </c>
      <c r="F16" s="18">
        <f t="shared" si="1"/>
        <v>30</v>
      </c>
      <c r="G16" s="18">
        <f t="shared" si="1"/>
        <v>104</v>
      </c>
      <c r="H16" s="10"/>
    </row>
    <row r="17" spans="1:8" ht="14.25" customHeight="1" x14ac:dyDescent="0.35">
      <c r="A17" s="10"/>
      <c r="B17" s="10"/>
      <c r="C17" s="10"/>
      <c r="D17" s="10"/>
      <c r="E17" s="10"/>
      <c r="F17" s="10"/>
      <c r="G17" s="10"/>
      <c r="H17" s="10"/>
    </row>
    <row r="18" spans="1:8" ht="15" customHeight="1" x14ac:dyDescent="0.35">
      <c r="A18" s="13" t="s">
        <v>966</v>
      </c>
      <c r="B18" s="10"/>
      <c r="C18" s="10"/>
      <c r="D18" s="10"/>
      <c r="E18" s="10"/>
      <c r="F18" s="10"/>
      <c r="G18" s="10"/>
      <c r="H18" s="10"/>
    </row>
    <row r="19" spans="1:8" ht="15" customHeight="1" x14ac:dyDescent="0.35">
      <c r="A19" s="14" t="s">
        <v>954</v>
      </c>
      <c r="B19" s="14" t="s">
        <v>14</v>
      </c>
      <c r="C19" s="14" t="s">
        <v>98</v>
      </c>
      <c r="D19" s="14" t="s">
        <v>87</v>
      </c>
      <c r="E19" s="14" t="s">
        <v>92</v>
      </c>
      <c r="F19" s="14" t="s">
        <v>967</v>
      </c>
      <c r="G19" s="14" t="s">
        <v>939</v>
      </c>
      <c r="H19" s="10"/>
    </row>
    <row r="20" spans="1:8" ht="15" customHeight="1" x14ac:dyDescent="0.35">
      <c r="A20" s="22" t="s">
        <v>955</v>
      </c>
      <c r="B20" s="16">
        <f>COUNTIFS('Data (parsed)'!$E$2:$E$235,B$19,'Data (parsed)'!$B$2:$B$235,"Shame",'Data (parsed)'!$C$2:$C$235,$A20)</f>
        <v>18</v>
      </c>
      <c r="C20" s="16">
        <f>COUNTIFS('Data (parsed)'!$E$2:$E$235,C$19,'Data (parsed)'!$B$2:$B$235,"Shame",'Data (parsed)'!$C$2:$C$235,$A20)</f>
        <v>4</v>
      </c>
      <c r="D20" s="16">
        <f>COUNTIFS('Data (parsed)'!$E$2:$E$235,D$19,'Data (parsed)'!$B$2:$B$235,"Shame",'Data (parsed)'!$C$2:$C$235,$A20)</f>
        <v>1</v>
      </c>
      <c r="E20" s="16">
        <f>COUNTIFS('Data (parsed)'!$E$2:$E$235,E$19,'Data (parsed)'!$B$2:$B$235,"Shame",'Data (parsed)'!$C$2:$C$235,$A20)</f>
        <v>1</v>
      </c>
      <c r="F20" s="16">
        <f>SUMIFS('Data (parsed)'!$I$2:$I$235,'Data (parsed)'!$B$2:$B$235,"Shame",'Data (parsed)'!$C$2:$C$235,$A20,'Data (parsed)'!$J$2:$J$235,0)</f>
        <v>2</v>
      </c>
      <c r="G20" s="18">
        <f>SUMIFS('Data (parsed)'!$I$2:$I$235,'Data (parsed)'!$B$2:$B$235,"Shame",'Data (parsed)'!$C$2:$C$235,$A20)</f>
        <v>25</v>
      </c>
      <c r="H20" s="10"/>
    </row>
    <row r="21" spans="1:8" ht="15" customHeight="1" x14ac:dyDescent="0.35">
      <c r="A21" s="22" t="s">
        <v>956</v>
      </c>
      <c r="B21" s="16">
        <f>COUNTIFS('Data (parsed)'!$E$2:$E$235,B$19,'Data (parsed)'!$B$2:$B$235,"Shame",'Data (parsed)'!$C$2:$C$235,$A21)</f>
        <v>9</v>
      </c>
      <c r="C21" s="16">
        <f>COUNTIFS('Data (parsed)'!$E$2:$E$235,C$19,'Data (parsed)'!$B$2:$B$235,"Shame",'Data (parsed)'!$C$2:$C$235,$A21)</f>
        <v>2</v>
      </c>
      <c r="D21" s="16">
        <f>COUNTIFS('Data (parsed)'!$E$2:$E$235,D$19,'Data (parsed)'!$B$2:$B$235,"Shame",'Data (parsed)'!$C$2:$C$235,$A21)</f>
        <v>0</v>
      </c>
      <c r="E21" s="16">
        <f>COUNTIFS('Data (parsed)'!$E$2:$E$235,E$19,'Data (parsed)'!$B$2:$B$235,"Shame",'Data (parsed)'!$C$2:$C$235,$A21)</f>
        <v>0</v>
      </c>
      <c r="F21" s="16">
        <f>SUMIFS('Data (parsed)'!$I$2:$I$235,'Data (parsed)'!$B$2:$B$235,"Shame",'Data (parsed)'!$C$2:$C$235,$A21,'Data (parsed)'!$J$2:$J$235,0)</f>
        <v>8</v>
      </c>
      <c r="G21" s="18">
        <f>SUMIFS('Data (parsed)'!$I$2:$I$235,'Data (parsed)'!$B$2:$B$235,"Shame",'Data (parsed)'!$C$2:$C$235,$A21)</f>
        <v>19</v>
      </c>
      <c r="H21" s="10"/>
    </row>
    <row r="22" spans="1:8" ht="15" customHeight="1" x14ac:dyDescent="0.35">
      <c r="A22" s="22" t="s">
        <v>957</v>
      </c>
      <c r="B22" s="16">
        <f>COUNTIFS('Data (parsed)'!$E$2:$E$235,B$19,'Data (parsed)'!$B$2:$B$235,"Shame",'Data (parsed)'!$C$2:$C$235,$A22)</f>
        <v>6</v>
      </c>
      <c r="C22" s="16">
        <f>COUNTIFS('Data (parsed)'!$E$2:$E$235,C$19,'Data (parsed)'!$B$2:$B$235,"Shame",'Data (parsed)'!$C$2:$C$235,$A22)</f>
        <v>1</v>
      </c>
      <c r="D22" s="16">
        <f>COUNTIFS('Data (parsed)'!$E$2:$E$235,D$19,'Data (parsed)'!$B$2:$B$235,"Shame",'Data (parsed)'!$C$2:$C$235,$A22)</f>
        <v>1</v>
      </c>
      <c r="E22" s="16">
        <f>COUNTIFS('Data (parsed)'!$E$2:$E$235,E$19,'Data (parsed)'!$B$2:$B$235,"Shame",'Data (parsed)'!$C$2:$C$235,$A22)</f>
        <v>2</v>
      </c>
      <c r="F22" s="16">
        <f>SUMIFS('Data (parsed)'!$I$2:$I$235,'Data (parsed)'!$B$2:$B$235,"Shame",'Data (parsed)'!$C$2:$C$235,$A22,'Data (parsed)'!$J$2:$J$235,0)</f>
        <v>7</v>
      </c>
      <c r="G22" s="18">
        <f>SUMIFS('Data (parsed)'!$I$2:$I$235,'Data (parsed)'!$B$2:$B$235,"Shame",'Data (parsed)'!$C$2:$C$235,$A22)</f>
        <v>17</v>
      </c>
      <c r="H22" s="10"/>
    </row>
    <row r="23" spans="1:8" ht="15" customHeight="1" x14ac:dyDescent="0.35">
      <c r="A23" s="22" t="s">
        <v>958</v>
      </c>
      <c r="B23" s="16">
        <f>COUNTIFS('Data (parsed)'!$E$2:$E$235,B$19,'Data (parsed)'!$B$2:$B$235,"Shame",'Data (parsed)'!$C$2:$C$235,$A23)</f>
        <v>1</v>
      </c>
      <c r="C23" s="16">
        <f>COUNTIFS('Data (parsed)'!$E$2:$E$235,C$19,'Data (parsed)'!$B$2:$B$235,"Shame",'Data (parsed)'!$C$2:$C$235,$A23)</f>
        <v>0</v>
      </c>
      <c r="D23" s="16">
        <f>COUNTIFS('Data (parsed)'!$E$2:$E$235,D$19,'Data (parsed)'!$B$2:$B$235,"Shame",'Data (parsed)'!$C$2:$C$235,$A23)</f>
        <v>9</v>
      </c>
      <c r="E23" s="16">
        <f>COUNTIFS('Data (parsed)'!$E$2:$E$235,E$19,'Data (parsed)'!$B$2:$B$235,"Shame",'Data (parsed)'!$C$2:$C$235,$A23)</f>
        <v>2</v>
      </c>
      <c r="F23" s="16">
        <f>SUMIFS('Data (parsed)'!$I$2:$I$235,'Data (parsed)'!$B$2:$B$235,"Shame",'Data (parsed)'!$C$2:$C$235,$A23,'Data (parsed)'!$J$2:$J$235,0)</f>
        <v>0</v>
      </c>
      <c r="G23" s="18">
        <f>SUMIFS('Data (parsed)'!$I$2:$I$235,'Data (parsed)'!$B$2:$B$235,"Shame",'Data (parsed)'!$C$2:$C$235,$A23)</f>
        <v>12</v>
      </c>
      <c r="H23" s="10"/>
    </row>
    <row r="24" spans="1:8" ht="15" customHeight="1" x14ac:dyDescent="0.35">
      <c r="A24" s="22" t="s">
        <v>959</v>
      </c>
      <c r="B24" s="16">
        <f>COUNTIFS('Data (parsed)'!$E$2:$E$235,B$19,'Data (parsed)'!$B$2:$B$235,"Shame",'Data (parsed)'!$C$2:$C$235,$A24)</f>
        <v>0</v>
      </c>
      <c r="C24" s="16">
        <f>COUNTIFS('Data (parsed)'!$E$2:$E$235,C$19,'Data (parsed)'!$B$2:$B$235,"Shame",'Data (parsed)'!$C$2:$C$235,$A24)</f>
        <v>0</v>
      </c>
      <c r="D24" s="16">
        <f>COUNTIFS('Data (parsed)'!$E$2:$E$235,D$19,'Data (parsed)'!$B$2:$B$235,"Shame",'Data (parsed)'!$C$2:$C$235,$A24)</f>
        <v>9</v>
      </c>
      <c r="E24" s="16">
        <f>COUNTIFS('Data (parsed)'!$E$2:$E$235,E$19,'Data (parsed)'!$B$2:$B$235,"Shame",'Data (parsed)'!$C$2:$C$235,$A24)</f>
        <v>0</v>
      </c>
      <c r="F24" s="16">
        <f>SUMIFS('Data (parsed)'!$I$2:$I$235,'Data (parsed)'!$B$2:$B$235,"Shame",'Data (parsed)'!$C$2:$C$235,$A24,'Data (parsed)'!$J$2:$J$235,0)</f>
        <v>0</v>
      </c>
      <c r="G24" s="18">
        <f>SUMIFS('Data (parsed)'!$I$2:$I$235,'Data (parsed)'!$B$2:$B$235,"Shame",'Data (parsed)'!$C$2:$C$235,$A24)</f>
        <v>9</v>
      </c>
      <c r="H24" s="10"/>
    </row>
    <row r="25" spans="1:8" ht="15" customHeight="1" x14ac:dyDescent="0.35">
      <c r="A25" s="22" t="s">
        <v>960</v>
      </c>
      <c r="B25" s="16">
        <f>COUNTIFS('Data (parsed)'!$E$2:$E$235,B$19,'Data (parsed)'!$B$2:$B$235,"Shame",'Data (parsed)'!$C$2:$C$235,$A25)</f>
        <v>2</v>
      </c>
      <c r="C25" s="16">
        <f>COUNTIFS('Data (parsed)'!$E$2:$E$235,C$19,'Data (parsed)'!$B$2:$B$235,"Shame",'Data (parsed)'!$C$2:$C$235,$A25)</f>
        <v>0</v>
      </c>
      <c r="D25" s="16">
        <f>COUNTIFS('Data (parsed)'!$E$2:$E$235,D$19,'Data (parsed)'!$B$2:$B$235,"Shame",'Data (parsed)'!$C$2:$C$235,$A25)</f>
        <v>0</v>
      </c>
      <c r="E25" s="16">
        <f>COUNTIFS('Data (parsed)'!$E$2:$E$235,E$19,'Data (parsed)'!$B$2:$B$235,"Shame",'Data (parsed)'!$C$2:$C$235,$A25)</f>
        <v>2</v>
      </c>
      <c r="F25" s="16">
        <f>SUMIFS('Data (parsed)'!$I$2:$I$235,'Data (parsed)'!$B$2:$B$235,"Shame",'Data (parsed)'!$C$2:$C$235,$A25,'Data (parsed)'!$J$2:$J$235,0)</f>
        <v>3</v>
      </c>
      <c r="G25" s="18">
        <f>SUMIFS('Data (parsed)'!$I$2:$I$235,'Data (parsed)'!$B$2:$B$235,"Shame",'Data (parsed)'!$C$2:$C$235,$A25)</f>
        <v>7</v>
      </c>
      <c r="H25" s="10"/>
    </row>
    <row r="26" spans="1:8" ht="26.25" customHeight="1" x14ac:dyDescent="0.35">
      <c r="A26" s="22" t="s">
        <v>961</v>
      </c>
      <c r="B26" s="16">
        <f>COUNTIFS('Data (parsed)'!$E$2:$E$235,B$19,'Data (parsed)'!$B$2:$B$235,"Shame",'Data (parsed)'!$C$2:$C$235,$A26)</f>
        <v>4</v>
      </c>
      <c r="C26" s="16">
        <f>COUNTIFS('Data (parsed)'!$E$2:$E$235,C$19,'Data (parsed)'!$B$2:$B$235,"Shame",'Data (parsed)'!$C$2:$C$235,$A26)</f>
        <v>0</v>
      </c>
      <c r="D26" s="16">
        <f>COUNTIFS('Data (parsed)'!$E$2:$E$235,D$19,'Data (parsed)'!$B$2:$B$235,"Shame",'Data (parsed)'!$C$2:$C$235,$A26)</f>
        <v>0</v>
      </c>
      <c r="E26" s="16">
        <f>COUNTIFS('Data (parsed)'!$E$2:$E$235,E$19,'Data (parsed)'!$B$2:$B$235,"Shame",'Data (parsed)'!$C$2:$C$235,$A26)</f>
        <v>0</v>
      </c>
      <c r="F26" s="16">
        <f>SUMIFS('Data (parsed)'!$I$2:$I$235,'Data (parsed)'!$B$2:$B$235,"Shame",'Data (parsed)'!$C$2:$C$235,$A26,'Data (parsed)'!$J$2:$J$235,0)</f>
        <v>0</v>
      </c>
      <c r="G26" s="18">
        <f>SUMIFS('Data (parsed)'!$I$2:$I$235,'Data (parsed)'!$B$2:$B$235,"Shame",'Data (parsed)'!$C$2:$C$235,$A26)</f>
        <v>4</v>
      </c>
      <c r="H26" s="10"/>
    </row>
    <row r="27" spans="1:8" ht="15" customHeight="1" x14ac:dyDescent="0.35">
      <c r="A27" s="22" t="s">
        <v>962</v>
      </c>
      <c r="B27" s="16">
        <f>COUNTIFS('Data (parsed)'!$E$2:$E$235,B$19,'Data (parsed)'!$B$2:$B$235,"Shame",'Data (parsed)'!$C$2:$C$235,$A27)</f>
        <v>3</v>
      </c>
      <c r="C27" s="16">
        <f>COUNTIFS('Data (parsed)'!$E$2:$E$235,C$19,'Data (parsed)'!$B$2:$B$235,"Shame",'Data (parsed)'!$C$2:$C$235,$A27)</f>
        <v>0</v>
      </c>
      <c r="D27" s="16">
        <f>COUNTIFS('Data (parsed)'!$E$2:$E$235,D$19,'Data (parsed)'!$B$2:$B$235,"Shame",'Data (parsed)'!$C$2:$C$235,$A27)</f>
        <v>0</v>
      </c>
      <c r="E27" s="16">
        <f>COUNTIFS('Data (parsed)'!$E$2:$E$235,E$19,'Data (parsed)'!$B$2:$B$235,"Shame",'Data (parsed)'!$C$2:$C$235,$A27)</f>
        <v>1</v>
      </c>
      <c r="F27" s="16">
        <f>SUMIFS('Data (parsed)'!$I$2:$I$235,'Data (parsed)'!$B$2:$B$235,"Shame",'Data (parsed)'!$C$2:$C$235,$A27,'Data (parsed)'!$J$2:$J$235,0)</f>
        <v>0</v>
      </c>
      <c r="G27" s="18">
        <f>SUMIFS('Data (parsed)'!$I$2:$I$235,'Data (parsed)'!$B$2:$B$235,"Shame",'Data (parsed)'!$C$2:$C$235,$A27)</f>
        <v>4</v>
      </c>
      <c r="H27" s="10"/>
    </row>
    <row r="28" spans="1:8" ht="15" customHeight="1" x14ac:dyDescent="0.35">
      <c r="A28" s="22" t="s">
        <v>963</v>
      </c>
      <c r="B28" s="16">
        <f>COUNTIFS('Data (parsed)'!$E$2:$E$235,B$19,'Data (parsed)'!$B$2:$B$235,"Shame",'Data (parsed)'!$C$2:$C$235,$A28)</f>
        <v>3</v>
      </c>
      <c r="C28" s="16">
        <f>COUNTIFS('Data (parsed)'!$E$2:$E$235,C$19,'Data (parsed)'!$B$2:$B$235,"Shame",'Data (parsed)'!$C$2:$C$235,$A28)</f>
        <v>0</v>
      </c>
      <c r="D28" s="16">
        <f>COUNTIFS('Data (parsed)'!$E$2:$E$235,D$19,'Data (parsed)'!$B$2:$B$235,"Shame",'Data (parsed)'!$C$2:$C$235,$A28)</f>
        <v>0</v>
      </c>
      <c r="E28" s="16">
        <f>COUNTIFS('Data (parsed)'!$E$2:$E$235,E$19,'Data (parsed)'!$B$2:$B$235,"Shame",'Data (parsed)'!$C$2:$C$235,$A28)</f>
        <v>0</v>
      </c>
      <c r="F28" s="16">
        <f>SUMIFS('Data (parsed)'!$I$2:$I$235,'Data (parsed)'!$B$2:$B$235,"Shame",'Data (parsed)'!$C$2:$C$235,$A28,'Data (parsed)'!$J$2:$J$235,0)</f>
        <v>0</v>
      </c>
      <c r="G28" s="18">
        <f>SUMIFS('Data (parsed)'!$I$2:$I$235,'Data (parsed)'!$B$2:$B$235,"Shame",'Data (parsed)'!$C$2:$C$235,$A28)</f>
        <v>3</v>
      </c>
      <c r="H28" s="10"/>
    </row>
    <row r="29" spans="1:8" ht="26.25" customHeight="1" x14ac:dyDescent="0.35">
      <c r="A29" s="22" t="s">
        <v>964</v>
      </c>
      <c r="B29" s="16">
        <f>COUNTIFS('Data (parsed)'!$E$2:$E$235,B$19,'Data (parsed)'!$B$2:$B$235,"Shame",'Data (parsed)'!$C$2:$C$235,$A29)</f>
        <v>2</v>
      </c>
      <c r="C29" s="16">
        <f>COUNTIFS('Data (parsed)'!$E$2:$E$235,C$19,'Data (parsed)'!$B$2:$B$235,"Shame",'Data (parsed)'!$C$2:$C$235,$A29)</f>
        <v>0</v>
      </c>
      <c r="D29" s="16">
        <f>COUNTIFS('Data (parsed)'!$E$2:$E$235,D$19,'Data (parsed)'!$B$2:$B$235,"Shame",'Data (parsed)'!$C$2:$C$235,$A29)</f>
        <v>0</v>
      </c>
      <c r="E29" s="16">
        <f>COUNTIFS('Data (parsed)'!$E$2:$E$235,E$19,'Data (parsed)'!$B$2:$B$235,"Shame",'Data (parsed)'!$C$2:$C$235,$A29)</f>
        <v>0</v>
      </c>
      <c r="F29" s="16">
        <f>SUMIFS('Data (parsed)'!$I$2:$I$235,'Data (parsed)'!$B$2:$B$235,"Shame",'Data (parsed)'!$C$2:$C$235,$A29,'Data (parsed)'!$J$2:$J$235,0)</f>
        <v>0</v>
      </c>
      <c r="G29" s="18">
        <f>SUMIFS('Data (parsed)'!$I$2:$I$235,'Data (parsed)'!$B$2:$B$235,"Shame",'Data (parsed)'!$C$2:$C$235,$A29)</f>
        <v>2</v>
      </c>
      <c r="H29" s="10"/>
    </row>
    <row r="30" spans="1:8" ht="15" customHeight="1" x14ac:dyDescent="0.35">
      <c r="A30" s="22" t="s">
        <v>965</v>
      </c>
      <c r="B30" s="16">
        <f>COUNTIFS('Data (parsed)'!$E$2:$E$235,B$19,'Data (parsed)'!$B$2:$B$235,"Shame",'Data (parsed)'!$C$2:$C$235,$A30)</f>
        <v>0</v>
      </c>
      <c r="C30" s="16">
        <f>COUNTIFS('Data (parsed)'!$E$2:$E$235,C$19,'Data (parsed)'!$B$2:$B$235,"Shame",'Data (parsed)'!$C$2:$C$235,$A30)</f>
        <v>0</v>
      </c>
      <c r="D30" s="16">
        <f>COUNTIFS('Data (parsed)'!$E$2:$E$235,D$19,'Data (parsed)'!$B$2:$B$235,"Shame",'Data (parsed)'!$C$2:$C$235,$A30)</f>
        <v>0</v>
      </c>
      <c r="E30" s="16">
        <f>COUNTIFS('Data (parsed)'!$E$2:$E$235,E$19,'Data (parsed)'!$B$2:$B$235,"Shame",'Data (parsed)'!$C$2:$C$235,$A30)</f>
        <v>0</v>
      </c>
      <c r="F30" s="16">
        <f>SUMIFS('Data (parsed)'!$I$2:$I$235,'Data (parsed)'!$B$2:$B$235,"Shame",'Data (parsed)'!$C$2:$C$235,$A30,'Data (parsed)'!$J$2:$J$235,0)</f>
        <v>2</v>
      </c>
      <c r="G30" s="18">
        <f>SUMIFS('Data (parsed)'!$I$2:$I$235,'Data (parsed)'!$B$2:$B$235,"Shame",'Data (parsed)'!$C$2:$C$235,$A30)</f>
        <v>2</v>
      </c>
      <c r="H30" s="10"/>
    </row>
    <row r="31" spans="1:8" ht="15" customHeight="1" x14ac:dyDescent="0.35">
      <c r="A31" s="17" t="s">
        <v>944</v>
      </c>
      <c r="B31" s="18">
        <f t="shared" ref="B31:G31" si="2">SUM(B20:B30)</f>
        <v>48</v>
      </c>
      <c r="C31" s="18">
        <f t="shared" si="2"/>
        <v>7</v>
      </c>
      <c r="D31" s="18">
        <f t="shared" si="2"/>
        <v>20</v>
      </c>
      <c r="E31" s="18">
        <f t="shared" si="2"/>
        <v>8</v>
      </c>
      <c r="F31" s="18">
        <f t="shared" si="2"/>
        <v>22</v>
      </c>
      <c r="G31" s="18">
        <f t="shared" si="2"/>
        <v>104</v>
      </c>
      <c r="H31" s="10"/>
    </row>
    <row r="32" spans="1:8" ht="14.25" customHeight="1" x14ac:dyDescent="0.35">
      <c r="A32" s="10"/>
      <c r="B32" s="10"/>
      <c r="C32" s="10"/>
      <c r="D32" s="10"/>
      <c r="E32" s="10"/>
      <c r="F32" s="10"/>
      <c r="G32" s="10"/>
      <c r="H32" s="10"/>
    </row>
    <row r="33" spans="1:8" ht="14.25" customHeight="1" x14ac:dyDescent="0.35">
      <c r="A33" s="10"/>
      <c r="B33" s="10"/>
      <c r="C33" s="10"/>
      <c r="D33" s="10"/>
      <c r="E33" s="10"/>
      <c r="F33" s="10"/>
      <c r="G33" s="10"/>
      <c r="H33" s="10"/>
    </row>
    <row r="34" spans="1:8" ht="14.25" customHeight="1" x14ac:dyDescent="0.35">
      <c r="A34" s="10"/>
      <c r="B34" s="10"/>
      <c r="C34" s="10"/>
      <c r="D34" s="10"/>
      <c r="E34" s="10"/>
      <c r="F34" s="10"/>
      <c r="G34" s="10"/>
      <c r="H34" s="10"/>
    </row>
    <row r="35" spans="1:8" ht="14.25" customHeight="1" x14ac:dyDescent="0.35">
      <c r="A35" s="10"/>
      <c r="B35" s="10"/>
      <c r="C35" s="10"/>
      <c r="D35" s="10"/>
      <c r="E35" s="10"/>
      <c r="F35" s="10"/>
      <c r="G35" s="10"/>
      <c r="H35" s="10"/>
    </row>
    <row r="36" spans="1:8" ht="14.25" customHeight="1" x14ac:dyDescent="0.35">
      <c r="A36" s="10"/>
      <c r="B36" s="10"/>
      <c r="C36" s="10"/>
      <c r="D36" s="10"/>
      <c r="E36" s="10"/>
      <c r="F36" s="10"/>
      <c r="G36" s="10"/>
      <c r="H36" s="10"/>
    </row>
    <row r="37" spans="1:8" ht="14.25" customHeight="1" x14ac:dyDescent="0.35">
      <c r="A37" s="10"/>
      <c r="B37" s="10"/>
      <c r="C37" s="10"/>
      <c r="D37" s="10"/>
      <c r="E37" s="10"/>
      <c r="F37" s="10"/>
      <c r="G37" s="10"/>
      <c r="H37" s="10"/>
    </row>
    <row r="38" spans="1:8" ht="14.25" customHeight="1" x14ac:dyDescent="0.35">
      <c r="A38" s="10"/>
      <c r="B38" s="10"/>
      <c r="C38" s="10"/>
      <c r="D38" s="10"/>
      <c r="E38" s="10"/>
      <c r="F38" s="10"/>
      <c r="G38" s="10"/>
      <c r="H38" s="10"/>
    </row>
    <row r="39" spans="1:8" ht="14.25" customHeight="1" x14ac:dyDescent="0.35">
      <c r="A39" s="10"/>
      <c r="B39" s="10"/>
      <c r="C39" s="10"/>
      <c r="D39" s="10"/>
      <c r="E39" s="10"/>
      <c r="F39" s="10"/>
      <c r="G39" s="10"/>
      <c r="H39" s="10"/>
    </row>
    <row r="40" spans="1:8" ht="14.25" customHeight="1" x14ac:dyDescent="0.35">
      <c r="A40" s="10"/>
      <c r="B40" s="10"/>
      <c r="C40" s="10"/>
      <c r="D40" s="10"/>
      <c r="E40" s="10"/>
      <c r="F40" s="10"/>
      <c r="G40" s="10"/>
      <c r="H40" s="10"/>
    </row>
    <row r="41" spans="1:8" ht="14.25" customHeight="1" x14ac:dyDescent="0.35">
      <c r="A41" s="10"/>
      <c r="B41" s="10"/>
      <c r="C41" s="10"/>
      <c r="D41" s="10"/>
      <c r="E41" s="10"/>
      <c r="F41" s="10"/>
      <c r="G41" s="10"/>
      <c r="H41" s="10"/>
    </row>
    <row r="42" spans="1:8" ht="14.25" customHeight="1" x14ac:dyDescent="0.35">
      <c r="A42" s="10"/>
      <c r="B42" s="10"/>
      <c r="C42" s="10"/>
      <c r="D42" s="10"/>
      <c r="E42" s="10"/>
      <c r="F42" s="10"/>
      <c r="G42" s="10"/>
      <c r="H42" s="10"/>
    </row>
    <row r="43" spans="1:8" ht="14.25" customHeight="1" x14ac:dyDescent="0.35">
      <c r="A43" s="10"/>
      <c r="B43" s="10"/>
      <c r="C43" s="10"/>
      <c r="D43" s="10"/>
      <c r="E43" s="10"/>
      <c r="F43" s="10"/>
      <c r="G43" s="10"/>
      <c r="H43" s="10"/>
    </row>
    <row r="44" spans="1:8" ht="14.25" customHeight="1" x14ac:dyDescent="0.35">
      <c r="A44" s="10"/>
      <c r="B44" s="10"/>
      <c r="C44" s="10"/>
      <c r="D44" s="10"/>
      <c r="E44" s="10"/>
      <c r="F44" s="10"/>
      <c r="G44" s="10"/>
      <c r="H44" s="10"/>
    </row>
    <row r="45" spans="1:8" ht="14.25" customHeight="1" x14ac:dyDescent="0.35">
      <c r="A45" s="10"/>
      <c r="B45" s="10"/>
      <c r="C45" s="10"/>
      <c r="D45" s="10"/>
      <c r="E45" s="10"/>
      <c r="F45" s="10"/>
      <c r="G45" s="10"/>
      <c r="H45" s="10"/>
    </row>
    <row r="46" spans="1:8" ht="14.25" customHeight="1" x14ac:dyDescent="0.35">
      <c r="A46" s="10"/>
      <c r="B46" s="10"/>
      <c r="C46" s="10"/>
      <c r="D46" s="10"/>
      <c r="E46" s="10"/>
      <c r="F46" s="10"/>
      <c r="G46" s="10"/>
      <c r="H46" s="10"/>
    </row>
    <row r="47" spans="1:8" ht="14.25" customHeight="1" x14ac:dyDescent="0.35">
      <c r="A47" s="10"/>
      <c r="B47" s="10"/>
      <c r="C47" s="10"/>
      <c r="D47" s="10"/>
      <c r="E47" s="10"/>
      <c r="F47" s="10"/>
      <c r="G47" s="10"/>
      <c r="H47" s="10"/>
    </row>
    <row r="48" spans="1:8" ht="14.25" customHeight="1" x14ac:dyDescent="0.35">
      <c r="A48" s="10"/>
      <c r="B48" s="10"/>
      <c r="C48" s="10"/>
      <c r="D48" s="10"/>
      <c r="E48" s="10"/>
      <c r="F48" s="10"/>
      <c r="G48" s="10"/>
      <c r="H48" s="10"/>
    </row>
    <row r="49" spans="1:8" ht="14.25" customHeight="1" x14ac:dyDescent="0.35">
      <c r="A49" s="10"/>
      <c r="B49" s="10"/>
      <c r="C49" s="10"/>
      <c r="D49" s="10"/>
      <c r="E49" s="10"/>
      <c r="F49" s="10"/>
      <c r="G49" s="10"/>
      <c r="H49" s="10"/>
    </row>
    <row r="50" spans="1:8" ht="14.25" customHeight="1" x14ac:dyDescent="0.35">
      <c r="A50" s="10"/>
      <c r="B50" s="10"/>
      <c r="C50" s="10"/>
      <c r="D50" s="10"/>
      <c r="E50" s="10"/>
      <c r="F50" s="10"/>
      <c r="G50" s="10"/>
      <c r="H50" s="10"/>
    </row>
    <row r="51" spans="1:8" ht="14.25" customHeight="1" x14ac:dyDescent="0.35">
      <c r="A51" s="10"/>
      <c r="B51" s="10"/>
      <c r="C51" s="10"/>
      <c r="D51" s="10"/>
      <c r="E51" s="10"/>
      <c r="F51" s="10"/>
      <c r="G51" s="10"/>
      <c r="H51" s="10"/>
    </row>
    <row r="52" spans="1:8" ht="14.25" customHeight="1" x14ac:dyDescent="0.35">
      <c r="A52" s="10"/>
      <c r="B52" s="10"/>
      <c r="C52" s="10"/>
      <c r="D52" s="10"/>
      <c r="E52" s="10"/>
      <c r="F52" s="10"/>
      <c r="G52" s="10"/>
      <c r="H52" s="10"/>
    </row>
    <row r="53" spans="1:8" ht="14.25" customHeight="1" x14ac:dyDescent="0.35">
      <c r="A53" s="10"/>
      <c r="B53" s="10"/>
      <c r="C53" s="10"/>
      <c r="D53" s="10"/>
      <c r="E53" s="10"/>
      <c r="F53" s="10"/>
      <c r="G53" s="10"/>
      <c r="H53" s="10"/>
    </row>
    <row r="54" spans="1:8" ht="14.25" customHeight="1" x14ac:dyDescent="0.35">
      <c r="A54" s="10"/>
      <c r="B54" s="10"/>
      <c r="C54" s="10"/>
      <c r="D54" s="10"/>
      <c r="E54" s="10"/>
      <c r="F54" s="10"/>
      <c r="G54" s="10"/>
      <c r="H54" s="10"/>
    </row>
    <row r="55" spans="1:8" ht="14.25" customHeight="1" x14ac:dyDescent="0.35">
      <c r="A55" s="10"/>
      <c r="B55" s="10"/>
      <c r="C55" s="10"/>
      <c r="D55" s="10"/>
      <c r="E55" s="10"/>
      <c r="F55" s="10"/>
      <c r="G55" s="10"/>
      <c r="H55" s="10"/>
    </row>
    <row r="56" spans="1:8" ht="14.25" customHeight="1" x14ac:dyDescent="0.35">
      <c r="A56" s="10"/>
      <c r="B56" s="10"/>
      <c r="C56" s="10"/>
      <c r="D56" s="10"/>
      <c r="E56" s="10"/>
      <c r="F56" s="10"/>
      <c r="G56" s="10"/>
      <c r="H56" s="10"/>
    </row>
    <row r="57" spans="1:8" ht="14.25" customHeight="1" x14ac:dyDescent="0.35">
      <c r="A57" s="10"/>
      <c r="B57" s="10"/>
      <c r="C57" s="10"/>
      <c r="D57" s="10"/>
      <c r="E57" s="10"/>
      <c r="F57" s="10"/>
      <c r="G57" s="10"/>
      <c r="H57" s="10"/>
    </row>
    <row r="58" spans="1:8" ht="14.25" customHeight="1" x14ac:dyDescent="0.35">
      <c r="A58" s="10"/>
      <c r="B58" s="10"/>
      <c r="C58" s="10"/>
      <c r="D58" s="10"/>
      <c r="E58" s="10"/>
      <c r="F58" s="10"/>
      <c r="G58" s="10"/>
      <c r="H58" s="10"/>
    </row>
    <row r="59" spans="1:8" ht="14.25" customHeight="1" x14ac:dyDescent="0.35">
      <c r="A59" s="10"/>
      <c r="B59" s="10"/>
      <c r="C59" s="10"/>
      <c r="D59" s="10"/>
      <c r="E59" s="10"/>
      <c r="F59" s="10"/>
      <c r="G59" s="10"/>
      <c r="H59" s="10"/>
    </row>
    <row r="60" spans="1:8" ht="14.25" customHeight="1" x14ac:dyDescent="0.35">
      <c r="A60" s="10"/>
      <c r="B60" s="10"/>
      <c r="C60" s="10"/>
      <c r="D60" s="10"/>
      <c r="E60" s="10"/>
      <c r="F60" s="10"/>
      <c r="G60" s="10"/>
      <c r="H60" s="10"/>
    </row>
    <row r="61" spans="1:8" ht="14.25" customHeight="1" x14ac:dyDescent="0.35">
      <c r="A61" s="10"/>
      <c r="B61" s="10"/>
      <c r="C61" s="10"/>
      <c r="D61" s="10"/>
      <c r="E61" s="10"/>
      <c r="F61" s="10"/>
      <c r="G61" s="10"/>
      <c r="H61" s="10"/>
    </row>
    <row r="62" spans="1:8" ht="14.25" customHeight="1" x14ac:dyDescent="0.35">
      <c r="A62" s="10"/>
      <c r="B62" s="10"/>
      <c r="C62" s="10"/>
      <c r="D62" s="10"/>
      <c r="E62" s="10"/>
      <c r="F62" s="10"/>
      <c r="G62" s="10"/>
      <c r="H62" s="10"/>
    </row>
    <row r="63" spans="1:8" ht="14.25" customHeight="1" x14ac:dyDescent="0.35">
      <c r="A63" s="10"/>
      <c r="B63" s="10"/>
      <c r="C63" s="10"/>
      <c r="D63" s="10"/>
      <c r="E63" s="10"/>
      <c r="F63" s="10"/>
      <c r="G63" s="10"/>
      <c r="H63" s="10"/>
    </row>
    <row r="64" spans="1:8" ht="14.25" customHeight="1" x14ac:dyDescent="0.35">
      <c r="A64" s="10"/>
      <c r="B64" s="10"/>
      <c r="C64" s="10"/>
      <c r="D64" s="10"/>
      <c r="E64" s="10"/>
      <c r="F64" s="10"/>
      <c r="G64" s="10"/>
      <c r="H64" s="10"/>
    </row>
    <row r="65" spans="1:8" ht="14.25" customHeight="1" x14ac:dyDescent="0.35">
      <c r="A65" s="10"/>
      <c r="B65" s="10"/>
      <c r="C65" s="10"/>
      <c r="D65" s="10"/>
      <c r="E65" s="10"/>
      <c r="F65" s="10"/>
      <c r="G65" s="10"/>
      <c r="H65" s="10"/>
    </row>
    <row r="66" spans="1:8" ht="14.25" customHeight="1" x14ac:dyDescent="0.35">
      <c r="A66" s="10"/>
      <c r="B66" s="10"/>
      <c r="C66" s="10"/>
      <c r="D66" s="10"/>
      <c r="E66" s="10"/>
      <c r="F66" s="10"/>
      <c r="G66" s="10"/>
      <c r="H66" s="10"/>
    </row>
    <row r="67" spans="1:8" ht="14.25" customHeight="1" x14ac:dyDescent="0.35">
      <c r="A67" s="10"/>
      <c r="B67" s="10"/>
      <c r="C67" s="10"/>
      <c r="D67" s="10"/>
      <c r="E67" s="10"/>
      <c r="F67" s="10"/>
      <c r="G67" s="10"/>
      <c r="H67" s="10"/>
    </row>
    <row r="68" spans="1:8" ht="14.25" customHeight="1" x14ac:dyDescent="0.35">
      <c r="A68" s="10"/>
      <c r="B68" s="10"/>
      <c r="C68" s="10"/>
      <c r="D68" s="10"/>
      <c r="E68" s="10"/>
      <c r="F68" s="10"/>
      <c r="G68" s="10"/>
      <c r="H68" s="10"/>
    </row>
    <row r="69" spans="1:8" ht="14.25" customHeight="1" x14ac:dyDescent="0.35">
      <c r="A69" s="10"/>
      <c r="B69" s="10"/>
      <c r="C69" s="10"/>
      <c r="D69" s="10"/>
      <c r="E69" s="10"/>
      <c r="F69" s="10"/>
      <c r="G69" s="10"/>
      <c r="H69" s="10"/>
    </row>
    <row r="70" spans="1:8" ht="14.25" customHeight="1" x14ac:dyDescent="0.35">
      <c r="A70" s="10"/>
      <c r="B70" s="10"/>
      <c r="C70" s="10"/>
      <c r="D70" s="10"/>
      <c r="E70" s="10"/>
      <c r="F70" s="10"/>
      <c r="G70" s="10"/>
      <c r="H70" s="10"/>
    </row>
    <row r="71" spans="1:8" ht="14.25" customHeight="1" x14ac:dyDescent="0.35">
      <c r="A71" s="10"/>
      <c r="B71" s="10"/>
      <c r="C71" s="10"/>
      <c r="D71" s="10"/>
      <c r="E71" s="10"/>
      <c r="F71" s="10"/>
      <c r="G71" s="10"/>
      <c r="H71" s="10"/>
    </row>
    <row r="72" spans="1:8" ht="14.25" customHeight="1" x14ac:dyDescent="0.35">
      <c r="A72" s="10"/>
      <c r="B72" s="10"/>
      <c r="C72" s="10"/>
      <c r="D72" s="10"/>
      <c r="E72" s="10"/>
      <c r="F72" s="10"/>
      <c r="G72" s="10"/>
      <c r="H72" s="10"/>
    </row>
    <row r="73" spans="1:8" ht="14.25" customHeight="1" x14ac:dyDescent="0.35">
      <c r="A73" s="10"/>
      <c r="B73" s="10"/>
      <c r="C73" s="10"/>
      <c r="D73" s="10"/>
      <c r="E73" s="10"/>
      <c r="F73" s="10"/>
      <c r="G73" s="10"/>
      <c r="H73" s="10"/>
    </row>
    <row r="74" spans="1:8" ht="14.25" customHeight="1" x14ac:dyDescent="0.35">
      <c r="A74" s="10"/>
      <c r="B74" s="10"/>
      <c r="C74" s="10"/>
      <c r="D74" s="10"/>
      <c r="E74" s="10"/>
      <c r="F74" s="10"/>
      <c r="G74" s="10"/>
      <c r="H74" s="10"/>
    </row>
    <row r="75" spans="1:8" ht="14.25" customHeight="1" x14ac:dyDescent="0.35">
      <c r="A75" s="10"/>
      <c r="B75" s="10"/>
      <c r="C75" s="10"/>
      <c r="D75" s="10"/>
      <c r="E75" s="10"/>
      <c r="F75" s="10"/>
      <c r="G75" s="10"/>
      <c r="H75" s="10"/>
    </row>
    <row r="76" spans="1:8" ht="14.25" customHeight="1" x14ac:dyDescent="0.35">
      <c r="A76" s="10"/>
      <c r="B76" s="10"/>
      <c r="C76" s="10"/>
      <c r="D76" s="10"/>
      <c r="E76" s="10"/>
      <c r="F76" s="10"/>
      <c r="G76" s="10"/>
      <c r="H76" s="10"/>
    </row>
    <row r="77" spans="1:8" ht="14.25" customHeight="1" x14ac:dyDescent="0.35">
      <c r="A77" s="10"/>
      <c r="B77" s="10"/>
      <c r="C77" s="10"/>
      <c r="D77" s="10"/>
      <c r="E77" s="10"/>
      <c r="F77" s="10"/>
      <c r="G77" s="10"/>
      <c r="H77" s="10"/>
    </row>
    <row r="78" spans="1:8" ht="14.25" customHeight="1" x14ac:dyDescent="0.35">
      <c r="A78" s="10"/>
      <c r="B78" s="10"/>
      <c r="C78" s="10"/>
      <c r="D78" s="10"/>
      <c r="E78" s="10"/>
      <c r="F78" s="10"/>
      <c r="G78" s="10"/>
      <c r="H78" s="10"/>
    </row>
    <row r="79" spans="1:8" ht="14.25" customHeight="1" x14ac:dyDescent="0.35">
      <c r="A79" s="10"/>
      <c r="B79" s="10"/>
      <c r="C79" s="10"/>
      <c r="D79" s="10"/>
      <c r="E79" s="10"/>
      <c r="F79" s="10"/>
      <c r="G79" s="10"/>
      <c r="H79" s="10"/>
    </row>
    <row r="80" spans="1:8" ht="14.25" customHeight="1" x14ac:dyDescent="0.35">
      <c r="A80" s="10"/>
      <c r="B80" s="10"/>
      <c r="C80" s="10"/>
      <c r="D80" s="10"/>
      <c r="E80" s="10"/>
      <c r="F80" s="10"/>
      <c r="G80" s="10"/>
      <c r="H80" s="10"/>
    </row>
    <row r="81" spans="1:8" ht="14.25" customHeight="1" x14ac:dyDescent="0.35">
      <c r="A81" s="10"/>
      <c r="B81" s="10"/>
      <c r="C81" s="10"/>
      <c r="D81" s="10"/>
      <c r="E81" s="10"/>
      <c r="F81" s="10"/>
      <c r="G81" s="10"/>
      <c r="H81" s="10"/>
    </row>
    <row r="82" spans="1:8" ht="14.25" customHeight="1" x14ac:dyDescent="0.35">
      <c r="A82" s="10"/>
      <c r="B82" s="10"/>
      <c r="C82" s="10"/>
      <c r="D82" s="10"/>
      <c r="E82" s="10"/>
      <c r="F82" s="10"/>
      <c r="G82" s="10"/>
      <c r="H82" s="10"/>
    </row>
    <row r="83" spans="1:8" ht="14.25" customHeight="1" x14ac:dyDescent="0.35">
      <c r="A83" s="10"/>
      <c r="B83" s="10"/>
      <c r="C83" s="10"/>
      <c r="D83" s="10"/>
      <c r="E83" s="10"/>
      <c r="F83" s="10"/>
      <c r="G83" s="10"/>
      <c r="H83" s="10"/>
    </row>
    <row r="84" spans="1:8" ht="14.25" customHeight="1" x14ac:dyDescent="0.35">
      <c r="A84" s="10"/>
      <c r="B84" s="10"/>
      <c r="C84" s="10"/>
      <c r="D84" s="10"/>
      <c r="E84" s="10"/>
      <c r="F84" s="10"/>
      <c r="G84" s="10"/>
      <c r="H84" s="10"/>
    </row>
    <row r="85" spans="1:8" ht="14.25" customHeight="1" x14ac:dyDescent="0.35">
      <c r="A85" s="10"/>
      <c r="B85" s="10"/>
      <c r="C85" s="10"/>
      <c r="D85" s="10"/>
      <c r="E85" s="10"/>
      <c r="F85" s="10"/>
      <c r="G85" s="10"/>
      <c r="H85" s="10"/>
    </row>
    <row r="86" spans="1:8" ht="14.25" customHeight="1" x14ac:dyDescent="0.35">
      <c r="A86" s="10"/>
      <c r="B86" s="10"/>
      <c r="C86" s="10"/>
      <c r="D86" s="10"/>
      <c r="E86" s="10"/>
      <c r="F86" s="10"/>
      <c r="G86" s="10"/>
      <c r="H86" s="10"/>
    </row>
    <row r="87" spans="1:8" ht="14.25" customHeight="1" x14ac:dyDescent="0.35">
      <c r="A87" s="10"/>
      <c r="B87" s="10"/>
      <c r="C87" s="10"/>
      <c r="D87" s="10"/>
      <c r="E87" s="10"/>
      <c r="F87" s="10"/>
      <c r="G87" s="10"/>
      <c r="H87" s="10"/>
    </row>
    <row r="88" spans="1:8" ht="14.25" customHeight="1" x14ac:dyDescent="0.35">
      <c r="A88" s="10"/>
      <c r="B88" s="10"/>
      <c r="C88" s="10"/>
      <c r="D88" s="10"/>
      <c r="E88" s="10"/>
      <c r="F88" s="10"/>
      <c r="G88" s="10"/>
      <c r="H88" s="10"/>
    </row>
    <row r="89" spans="1:8" ht="14.25" customHeight="1" x14ac:dyDescent="0.35">
      <c r="A89" s="10"/>
      <c r="B89" s="10"/>
      <c r="C89" s="10"/>
      <c r="D89" s="10"/>
      <c r="E89" s="10"/>
      <c r="F89" s="10"/>
      <c r="G89" s="10"/>
      <c r="H89" s="10"/>
    </row>
    <row r="90" spans="1:8" ht="14.25" customHeight="1" x14ac:dyDescent="0.35">
      <c r="A90" s="10"/>
      <c r="B90" s="10"/>
      <c r="C90" s="10"/>
      <c r="D90" s="10"/>
      <c r="E90" s="10"/>
      <c r="F90" s="10"/>
      <c r="G90" s="10"/>
      <c r="H90" s="10"/>
    </row>
    <row r="91" spans="1:8" ht="14.25" customHeight="1" x14ac:dyDescent="0.35">
      <c r="A91" s="10"/>
      <c r="B91" s="10"/>
      <c r="C91" s="10"/>
      <c r="D91" s="10"/>
      <c r="E91" s="10"/>
      <c r="F91" s="10"/>
      <c r="G91" s="10"/>
      <c r="H91" s="10"/>
    </row>
    <row r="92" spans="1:8" ht="14.25" customHeight="1" x14ac:dyDescent="0.35">
      <c r="A92" s="10"/>
      <c r="B92" s="10"/>
      <c r="C92" s="10"/>
      <c r="D92" s="10"/>
      <c r="E92" s="10"/>
      <c r="F92" s="10"/>
      <c r="G92" s="10"/>
      <c r="H92" s="10"/>
    </row>
    <row r="93" spans="1:8" ht="14.25" customHeight="1" x14ac:dyDescent="0.35">
      <c r="A93" s="10"/>
      <c r="B93" s="10"/>
      <c r="C93" s="10"/>
      <c r="D93" s="10"/>
      <c r="E93" s="10"/>
      <c r="F93" s="10"/>
      <c r="G93" s="10"/>
      <c r="H93" s="10"/>
    </row>
    <row r="94" spans="1:8" ht="14.25" customHeight="1" x14ac:dyDescent="0.35">
      <c r="A94" s="10"/>
      <c r="B94" s="10"/>
      <c r="C94" s="10"/>
      <c r="D94" s="10"/>
      <c r="E94" s="10"/>
      <c r="F94" s="10"/>
      <c r="G94" s="10"/>
      <c r="H94" s="10"/>
    </row>
    <row r="95" spans="1:8" ht="14.25" customHeight="1" x14ac:dyDescent="0.35">
      <c r="A95" s="10"/>
      <c r="B95" s="10"/>
      <c r="C95" s="10"/>
      <c r="D95" s="10"/>
      <c r="E95" s="10"/>
      <c r="F95" s="10"/>
      <c r="G95" s="10"/>
      <c r="H95" s="10"/>
    </row>
    <row r="96" spans="1:8" ht="14.25" customHeight="1" x14ac:dyDescent="0.35">
      <c r="A96" s="10"/>
      <c r="B96" s="10"/>
      <c r="C96" s="10"/>
      <c r="D96" s="10"/>
      <c r="E96" s="10"/>
      <c r="F96" s="10"/>
      <c r="G96" s="10"/>
      <c r="H96" s="10"/>
    </row>
    <row r="97" spans="1:8" ht="14.25" customHeight="1" x14ac:dyDescent="0.35">
      <c r="A97" s="10"/>
      <c r="B97" s="10"/>
      <c r="C97" s="10"/>
      <c r="D97" s="10"/>
      <c r="E97" s="10"/>
      <c r="F97" s="10"/>
      <c r="G97" s="10"/>
      <c r="H97" s="10"/>
    </row>
    <row r="98" spans="1:8" ht="14.25" customHeight="1" x14ac:dyDescent="0.35">
      <c r="A98" s="10"/>
      <c r="B98" s="10"/>
      <c r="C98" s="10"/>
      <c r="D98" s="10"/>
      <c r="E98" s="10"/>
      <c r="F98" s="10"/>
      <c r="G98" s="10"/>
      <c r="H98" s="10"/>
    </row>
    <row r="99" spans="1:8" ht="14.25" customHeight="1" x14ac:dyDescent="0.35">
      <c r="A99" s="10"/>
      <c r="B99" s="10"/>
      <c r="C99" s="10"/>
      <c r="D99" s="10"/>
      <c r="E99" s="10"/>
      <c r="F99" s="10"/>
      <c r="G99" s="10"/>
      <c r="H99" s="10"/>
    </row>
    <row r="100" spans="1:8" ht="14.25" customHeight="1" x14ac:dyDescent="0.35">
      <c r="A100" s="10"/>
      <c r="B100" s="10"/>
      <c r="C100" s="10"/>
      <c r="D100" s="10"/>
      <c r="E100" s="10"/>
      <c r="F100" s="10"/>
      <c r="G100" s="10"/>
      <c r="H100" s="10"/>
    </row>
    <row r="101" spans="1:8" ht="14.25" customHeight="1" x14ac:dyDescent="0.35">
      <c r="A101" s="10"/>
      <c r="B101" s="10"/>
      <c r="C101" s="10"/>
      <c r="D101" s="10"/>
      <c r="E101" s="10"/>
      <c r="F101" s="10"/>
      <c r="G101" s="10"/>
      <c r="H101" s="10"/>
    </row>
    <row r="102" spans="1:8" ht="14.25" customHeight="1" x14ac:dyDescent="0.35">
      <c r="A102" s="10"/>
      <c r="B102" s="10"/>
      <c r="C102" s="10"/>
      <c r="D102" s="10"/>
      <c r="E102" s="10"/>
      <c r="F102" s="10"/>
      <c r="G102" s="10"/>
      <c r="H102" s="10"/>
    </row>
    <row r="103" spans="1:8" ht="14.25" customHeight="1" x14ac:dyDescent="0.35">
      <c r="A103" s="10"/>
      <c r="B103" s="10"/>
      <c r="C103" s="10"/>
      <c r="D103" s="10"/>
      <c r="E103" s="10"/>
      <c r="F103" s="10"/>
      <c r="G103" s="10"/>
      <c r="H103" s="10"/>
    </row>
    <row r="104" spans="1:8" ht="14.25" customHeight="1" x14ac:dyDescent="0.35">
      <c r="A104" s="10"/>
      <c r="B104" s="10"/>
      <c r="C104" s="10"/>
      <c r="D104" s="10"/>
      <c r="E104" s="10"/>
      <c r="F104" s="10"/>
      <c r="G104" s="10"/>
      <c r="H104" s="10"/>
    </row>
    <row r="105" spans="1:8" ht="14.25" customHeight="1" x14ac:dyDescent="0.35">
      <c r="A105" s="10"/>
      <c r="B105" s="10"/>
      <c r="C105" s="10"/>
      <c r="D105" s="10"/>
      <c r="E105" s="10"/>
      <c r="F105" s="10"/>
      <c r="G105" s="10"/>
      <c r="H105" s="10"/>
    </row>
    <row r="106" spans="1:8" ht="14.25" customHeight="1" x14ac:dyDescent="0.35">
      <c r="A106" s="10"/>
      <c r="B106" s="10"/>
      <c r="C106" s="10"/>
      <c r="D106" s="10"/>
      <c r="E106" s="10"/>
      <c r="F106" s="10"/>
      <c r="G106" s="10"/>
      <c r="H106" s="10"/>
    </row>
    <row r="107" spans="1:8" ht="14.25" customHeight="1" x14ac:dyDescent="0.35">
      <c r="A107" s="10"/>
      <c r="B107" s="10"/>
      <c r="C107" s="10"/>
      <c r="D107" s="10"/>
      <c r="E107" s="10"/>
      <c r="F107" s="10"/>
      <c r="G107" s="10"/>
      <c r="H107" s="10"/>
    </row>
    <row r="108" spans="1:8" ht="14.25" customHeight="1" x14ac:dyDescent="0.35">
      <c r="A108" s="10"/>
      <c r="B108" s="10"/>
      <c r="C108" s="10"/>
      <c r="D108" s="10"/>
      <c r="E108" s="10"/>
      <c r="F108" s="10"/>
      <c r="G108" s="10"/>
      <c r="H108" s="10"/>
    </row>
    <row r="109" spans="1:8" ht="14.25" customHeight="1" x14ac:dyDescent="0.35">
      <c r="A109" s="10"/>
      <c r="B109" s="10"/>
      <c r="C109" s="10"/>
      <c r="D109" s="10"/>
      <c r="E109" s="10"/>
      <c r="F109" s="10"/>
      <c r="G109" s="10"/>
      <c r="H109" s="10"/>
    </row>
    <row r="110" spans="1:8" ht="14.25" customHeight="1" x14ac:dyDescent="0.35">
      <c r="A110" s="10"/>
      <c r="B110" s="10"/>
      <c r="C110" s="10"/>
      <c r="D110" s="10"/>
      <c r="E110" s="10"/>
      <c r="F110" s="10"/>
      <c r="G110" s="10"/>
      <c r="H110" s="10"/>
    </row>
    <row r="111" spans="1:8" ht="14.25" customHeight="1" x14ac:dyDescent="0.35">
      <c r="A111" s="10"/>
      <c r="B111" s="10"/>
      <c r="C111" s="10"/>
      <c r="D111" s="10"/>
      <c r="E111" s="10"/>
      <c r="F111" s="10"/>
      <c r="G111" s="10"/>
      <c r="H111" s="10"/>
    </row>
    <row r="112" spans="1:8" ht="14.25" customHeight="1" x14ac:dyDescent="0.35">
      <c r="A112" s="10"/>
      <c r="B112" s="10"/>
      <c r="C112" s="10"/>
      <c r="D112" s="10"/>
      <c r="E112" s="10"/>
      <c r="F112" s="10"/>
      <c r="G112" s="10"/>
      <c r="H112" s="10"/>
    </row>
    <row r="113" spans="1:8" ht="14.25" customHeight="1" x14ac:dyDescent="0.35">
      <c r="A113" s="10"/>
      <c r="B113" s="10"/>
      <c r="C113" s="10"/>
      <c r="D113" s="10"/>
      <c r="E113" s="10"/>
      <c r="F113" s="10"/>
      <c r="G113" s="10"/>
      <c r="H113" s="10"/>
    </row>
    <row r="114" spans="1:8" ht="14.25" customHeight="1" x14ac:dyDescent="0.35">
      <c r="A114" s="10"/>
      <c r="B114" s="10"/>
      <c r="C114" s="10"/>
      <c r="D114" s="10"/>
      <c r="E114" s="10"/>
      <c r="F114" s="10"/>
      <c r="G114" s="10"/>
      <c r="H114" s="10"/>
    </row>
    <row r="115" spans="1:8" ht="14.25" customHeight="1" x14ac:dyDescent="0.35">
      <c r="A115" s="10"/>
      <c r="B115" s="10"/>
      <c r="C115" s="10"/>
      <c r="D115" s="10"/>
      <c r="E115" s="10"/>
      <c r="F115" s="10"/>
      <c r="G115" s="10"/>
      <c r="H115" s="10"/>
    </row>
    <row r="116" spans="1:8" ht="14.25" customHeight="1" x14ac:dyDescent="0.35">
      <c r="A116" s="10"/>
      <c r="B116" s="10"/>
      <c r="C116" s="10"/>
      <c r="D116" s="10"/>
      <c r="E116" s="10"/>
      <c r="F116" s="10"/>
      <c r="G116" s="10"/>
      <c r="H116" s="10"/>
    </row>
    <row r="117" spans="1:8" ht="14.25" customHeight="1" x14ac:dyDescent="0.35">
      <c r="A117" s="10"/>
      <c r="B117" s="10"/>
      <c r="C117" s="10"/>
      <c r="D117" s="10"/>
      <c r="E117" s="10"/>
      <c r="F117" s="10"/>
      <c r="G117" s="10"/>
      <c r="H117" s="10"/>
    </row>
    <row r="118" spans="1:8" ht="14.25" customHeight="1" x14ac:dyDescent="0.35">
      <c r="A118" s="10"/>
      <c r="B118" s="10"/>
      <c r="C118" s="10"/>
      <c r="D118" s="10"/>
      <c r="E118" s="10"/>
      <c r="F118" s="10"/>
      <c r="G118" s="10"/>
      <c r="H118" s="10"/>
    </row>
    <row r="119" spans="1:8" ht="14.25" customHeight="1" x14ac:dyDescent="0.35">
      <c r="A119" s="10"/>
      <c r="B119" s="10"/>
      <c r="C119" s="10"/>
      <c r="D119" s="10"/>
      <c r="E119" s="10"/>
      <c r="F119" s="10"/>
      <c r="G119" s="10"/>
      <c r="H119" s="10"/>
    </row>
    <row r="120" spans="1:8" ht="14.25" customHeight="1" x14ac:dyDescent="0.35">
      <c r="A120" s="10"/>
      <c r="B120" s="10"/>
      <c r="C120" s="10"/>
      <c r="D120" s="10"/>
      <c r="E120" s="10"/>
      <c r="F120" s="10"/>
      <c r="G120" s="10"/>
      <c r="H120" s="10"/>
    </row>
    <row r="121" spans="1:8" ht="14.25" customHeight="1" x14ac:dyDescent="0.35">
      <c r="A121" s="10"/>
      <c r="B121" s="10"/>
      <c r="C121" s="10"/>
      <c r="D121" s="10"/>
      <c r="E121" s="10"/>
      <c r="F121" s="10"/>
      <c r="G121" s="10"/>
      <c r="H121" s="10"/>
    </row>
    <row r="122" spans="1:8" ht="14.25" customHeight="1" x14ac:dyDescent="0.35">
      <c r="A122" s="10"/>
      <c r="B122" s="10"/>
      <c r="C122" s="10"/>
      <c r="D122" s="10"/>
      <c r="E122" s="10"/>
      <c r="F122" s="10"/>
      <c r="G122" s="10"/>
      <c r="H122" s="10"/>
    </row>
    <row r="123" spans="1:8" ht="14.25" customHeight="1" x14ac:dyDescent="0.35">
      <c r="A123" s="10"/>
      <c r="B123" s="10"/>
      <c r="C123" s="10"/>
      <c r="D123" s="10"/>
      <c r="E123" s="10"/>
      <c r="F123" s="10"/>
      <c r="G123" s="10"/>
      <c r="H123" s="10"/>
    </row>
    <row r="124" spans="1:8" ht="14.25" customHeight="1" x14ac:dyDescent="0.35">
      <c r="A124" s="10"/>
      <c r="B124" s="10"/>
      <c r="C124" s="10"/>
      <c r="D124" s="10"/>
      <c r="E124" s="10"/>
      <c r="F124" s="10"/>
      <c r="G124" s="10"/>
      <c r="H124" s="10"/>
    </row>
    <row r="125" spans="1:8" ht="14.25" customHeight="1" x14ac:dyDescent="0.35">
      <c r="A125" s="10"/>
      <c r="B125" s="10"/>
      <c r="C125" s="10"/>
      <c r="D125" s="10"/>
      <c r="E125" s="10"/>
      <c r="F125" s="10"/>
      <c r="G125" s="10"/>
      <c r="H125" s="10"/>
    </row>
    <row r="126" spans="1:8" ht="14.25" customHeight="1" x14ac:dyDescent="0.35">
      <c r="A126" s="10"/>
      <c r="B126" s="10"/>
      <c r="C126" s="10"/>
      <c r="D126" s="10"/>
      <c r="E126" s="10"/>
      <c r="F126" s="10"/>
      <c r="G126" s="10"/>
      <c r="H126" s="10"/>
    </row>
    <row r="127" spans="1:8" ht="14.25" customHeight="1" x14ac:dyDescent="0.35">
      <c r="A127" s="10"/>
      <c r="B127" s="10"/>
      <c r="C127" s="10"/>
      <c r="D127" s="10"/>
      <c r="E127" s="10"/>
      <c r="F127" s="10"/>
      <c r="G127" s="10"/>
      <c r="H127" s="10"/>
    </row>
    <row r="128" spans="1:8" ht="14.25" customHeight="1" x14ac:dyDescent="0.35">
      <c r="A128" s="10"/>
      <c r="B128" s="10"/>
      <c r="C128" s="10"/>
      <c r="D128" s="10"/>
      <c r="E128" s="10"/>
      <c r="F128" s="10"/>
      <c r="G128" s="10"/>
      <c r="H128" s="10"/>
    </row>
    <row r="129" spans="1:8" ht="14.25" customHeight="1" x14ac:dyDescent="0.35">
      <c r="A129" s="10"/>
      <c r="B129" s="10"/>
      <c r="C129" s="10"/>
      <c r="D129" s="10"/>
      <c r="E129" s="10"/>
      <c r="F129" s="10"/>
      <c r="G129" s="10"/>
      <c r="H129" s="10"/>
    </row>
    <row r="130" spans="1:8" ht="14.25" customHeight="1" x14ac:dyDescent="0.35">
      <c r="A130" s="10"/>
      <c r="B130" s="10"/>
      <c r="C130" s="10"/>
      <c r="D130" s="10"/>
      <c r="E130" s="10"/>
      <c r="F130" s="10"/>
      <c r="G130" s="10"/>
      <c r="H130" s="10"/>
    </row>
    <row r="131" spans="1:8" ht="14.25" customHeight="1" x14ac:dyDescent="0.35">
      <c r="A131" s="10"/>
      <c r="B131" s="10"/>
      <c r="C131" s="10"/>
      <c r="D131" s="10"/>
      <c r="E131" s="10"/>
      <c r="F131" s="10"/>
      <c r="G131" s="10"/>
      <c r="H131" s="10"/>
    </row>
    <row r="132" spans="1:8" ht="14.25" customHeight="1" x14ac:dyDescent="0.35">
      <c r="A132" s="10"/>
      <c r="B132" s="10"/>
      <c r="C132" s="10"/>
      <c r="D132" s="10"/>
      <c r="E132" s="10"/>
      <c r="F132" s="10"/>
      <c r="G132" s="10"/>
      <c r="H132" s="10"/>
    </row>
    <row r="133" spans="1:8" ht="14.25" customHeight="1" x14ac:dyDescent="0.35">
      <c r="A133" s="10"/>
      <c r="B133" s="10"/>
      <c r="C133" s="10"/>
      <c r="D133" s="10"/>
      <c r="E133" s="10"/>
      <c r="F133" s="10"/>
      <c r="G133" s="10"/>
      <c r="H133" s="10"/>
    </row>
    <row r="134" spans="1:8" ht="14.25" customHeight="1" x14ac:dyDescent="0.35">
      <c r="A134" s="10"/>
      <c r="B134" s="10"/>
      <c r="C134" s="10"/>
      <c r="D134" s="10"/>
      <c r="E134" s="10"/>
      <c r="F134" s="10"/>
      <c r="G134" s="10"/>
      <c r="H134" s="10"/>
    </row>
    <row r="135" spans="1:8" ht="14.25" customHeight="1" x14ac:dyDescent="0.35">
      <c r="A135" s="10"/>
      <c r="B135" s="10"/>
      <c r="C135" s="10"/>
      <c r="D135" s="10"/>
      <c r="E135" s="10"/>
      <c r="F135" s="10"/>
      <c r="G135" s="10"/>
      <c r="H135" s="10"/>
    </row>
    <row r="136" spans="1:8" ht="14.25" customHeight="1" x14ac:dyDescent="0.35">
      <c r="A136" s="10"/>
      <c r="B136" s="10"/>
      <c r="C136" s="10"/>
      <c r="D136" s="10"/>
      <c r="E136" s="10"/>
      <c r="F136" s="10"/>
      <c r="G136" s="10"/>
      <c r="H136" s="10"/>
    </row>
    <row r="137" spans="1:8" ht="14.25" customHeight="1" x14ac:dyDescent="0.35">
      <c r="A137" s="10"/>
      <c r="B137" s="10"/>
      <c r="C137" s="10"/>
      <c r="D137" s="10"/>
      <c r="E137" s="10"/>
      <c r="F137" s="10"/>
      <c r="G137" s="10"/>
      <c r="H137" s="10"/>
    </row>
    <row r="138" spans="1:8" ht="14.25" customHeight="1" x14ac:dyDescent="0.35">
      <c r="A138" s="10"/>
      <c r="B138" s="10"/>
      <c r="C138" s="10"/>
      <c r="D138" s="10"/>
      <c r="E138" s="10"/>
      <c r="F138" s="10"/>
      <c r="G138" s="10"/>
      <c r="H138" s="10"/>
    </row>
    <row r="139" spans="1:8" ht="14.25" customHeight="1" x14ac:dyDescent="0.35">
      <c r="A139" s="10"/>
      <c r="B139" s="10"/>
      <c r="C139" s="10"/>
      <c r="D139" s="10"/>
      <c r="E139" s="10"/>
      <c r="F139" s="10"/>
      <c r="G139" s="10"/>
      <c r="H139" s="10"/>
    </row>
    <row r="140" spans="1:8" ht="14.25" customHeight="1" x14ac:dyDescent="0.35">
      <c r="A140" s="10"/>
      <c r="B140" s="10"/>
      <c r="C140" s="10"/>
      <c r="D140" s="10"/>
      <c r="E140" s="10"/>
      <c r="F140" s="10"/>
      <c r="G140" s="10"/>
      <c r="H140" s="10"/>
    </row>
    <row r="141" spans="1:8" ht="14.25" customHeight="1" x14ac:dyDescent="0.35">
      <c r="A141" s="10"/>
      <c r="B141" s="10"/>
      <c r="C141" s="10"/>
      <c r="D141" s="10"/>
      <c r="E141" s="10"/>
      <c r="F141" s="10"/>
      <c r="G141" s="10"/>
      <c r="H141" s="10"/>
    </row>
    <row r="142" spans="1:8" ht="14.25" customHeight="1" x14ac:dyDescent="0.35">
      <c r="A142" s="10"/>
      <c r="B142" s="10"/>
      <c r="C142" s="10"/>
      <c r="D142" s="10"/>
      <c r="E142" s="10"/>
      <c r="F142" s="10"/>
      <c r="G142" s="10"/>
      <c r="H142" s="10"/>
    </row>
    <row r="143" spans="1:8" ht="14.25" customHeight="1" x14ac:dyDescent="0.35">
      <c r="A143" s="10"/>
      <c r="B143" s="10"/>
      <c r="C143" s="10"/>
      <c r="D143" s="10"/>
      <c r="E143" s="10"/>
      <c r="F143" s="10"/>
      <c r="G143" s="10"/>
      <c r="H143" s="10"/>
    </row>
    <row r="144" spans="1:8" ht="14.25" customHeight="1" x14ac:dyDescent="0.35">
      <c r="A144" s="10"/>
      <c r="B144" s="10"/>
      <c r="C144" s="10"/>
      <c r="D144" s="10"/>
      <c r="E144" s="10"/>
      <c r="F144" s="10"/>
      <c r="G144" s="10"/>
      <c r="H144" s="10"/>
    </row>
    <row r="145" spans="1:8" ht="14.25" customHeight="1" x14ac:dyDescent="0.35">
      <c r="A145" s="10"/>
      <c r="B145" s="10"/>
      <c r="C145" s="10"/>
      <c r="D145" s="10"/>
      <c r="E145" s="10"/>
      <c r="F145" s="10"/>
      <c r="G145" s="10"/>
      <c r="H145" s="10"/>
    </row>
    <row r="146" spans="1:8" ht="14.25" customHeight="1" x14ac:dyDescent="0.35">
      <c r="A146" s="10"/>
      <c r="B146" s="10"/>
      <c r="C146" s="10"/>
      <c r="D146" s="10"/>
      <c r="E146" s="10"/>
      <c r="F146" s="10"/>
      <c r="G146" s="10"/>
      <c r="H146" s="10"/>
    </row>
    <row r="147" spans="1:8" ht="14.25" customHeight="1" x14ac:dyDescent="0.35">
      <c r="A147" s="10"/>
      <c r="B147" s="10"/>
      <c r="C147" s="10"/>
      <c r="D147" s="10"/>
      <c r="E147" s="10"/>
      <c r="F147" s="10"/>
      <c r="G147" s="10"/>
      <c r="H147" s="10"/>
    </row>
    <row r="148" spans="1:8" ht="14.25" customHeight="1" x14ac:dyDescent="0.35">
      <c r="A148" s="10"/>
      <c r="B148" s="10"/>
      <c r="C148" s="10"/>
      <c r="D148" s="10"/>
      <c r="E148" s="10"/>
      <c r="F148" s="10"/>
      <c r="G148" s="10"/>
      <c r="H148" s="10"/>
    </row>
    <row r="149" spans="1:8" ht="14.25" customHeight="1" x14ac:dyDescent="0.35">
      <c r="A149" s="10"/>
      <c r="B149" s="10"/>
      <c r="C149" s="10"/>
      <c r="D149" s="10"/>
      <c r="E149" s="10"/>
      <c r="F149" s="10"/>
      <c r="G149" s="10"/>
      <c r="H149" s="10"/>
    </row>
    <row r="150" spans="1:8" ht="14.25" customHeight="1" x14ac:dyDescent="0.35">
      <c r="A150" s="10"/>
      <c r="B150" s="10"/>
      <c r="C150" s="10"/>
      <c r="D150" s="10"/>
      <c r="E150" s="10"/>
      <c r="F150" s="10"/>
      <c r="G150" s="10"/>
      <c r="H150" s="10"/>
    </row>
    <row r="151" spans="1:8" ht="14.25" customHeight="1" x14ac:dyDescent="0.35">
      <c r="A151" s="10"/>
      <c r="B151" s="10"/>
      <c r="C151" s="10"/>
      <c r="D151" s="10"/>
      <c r="E151" s="10"/>
      <c r="F151" s="10"/>
      <c r="G151" s="10"/>
      <c r="H151" s="10"/>
    </row>
    <row r="152" spans="1:8" ht="14.25" customHeight="1" x14ac:dyDescent="0.35">
      <c r="A152" s="10"/>
      <c r="B152" s="10"/>
      <c r="C152" s="10"/>
      <c r="D152" s="10"/>
      <c r="E152" s="10"/>
      <c r="F152" s="10"/>
      <c r="G152" s="10"/>
      <c r="H152" s="10"/>
    </row>
    <row r="153" spans="1:8" ht="14.25" customHeight="1" x14ac:dyDescent="0.35">
      <c r="A153" s="10"/>
      <c r="B153" s="10"/>
      <c r="C153" s="10"/>
      <c r="D153" s="10"/>
      <c r="E153" s="10"/>
      <c r="F153" s="10"/>
      <c r="G153" s="10"/>
      <c r="H153" s="10"/>
    </row>
    <row r="154" spans="1:8" ht="14.25" customHeight="1" x14ac:dyDescent="0.35">
      <c r="A154" s="10"/>
      <c r="B154" s="10"/>
      <c r="C154" s="10"/>
      <c r="D154" s="10"/>
      <c r="E154" s="10"/>
      <c r="F154" s="10"/>
      <c r="G154" s="10"/>
      <c r="H154" s="10"/>
    </row>
    <row r="155" spans="1:8" ht="14.25" customHeight="1" x14ac:dyDescent="0.35">
      <c r="A155" s="10"/>
      <c r="B155" s="10"/>
      <c r="C155" s="10"/>
      <c r="D155" s="10"/>
      <c r="E155" s="10"/>
      <c r="F155" s="10"/>
      <c r="G155" s="10"/>
      <c r="H155" s="10"/>
    </row>
    <row r="156" spans="1:8" ht="14.25" customHeight="1" x14ac:dyDescent="0.35">
      <c r="A156" s="10"/>
      <c r="B156" s="10"/>
      <c r="C156" s="10"/>
      <c r="D156" s="10"/>
      <c r="E156" s="10"/>
      <c r="F156" s="10"/>
      <c r="G156" s="10"/>
      <c r="H156" s="10"/>
    </row>
    <row r="157" spans="1:8" ht="14.25" customHeight="1" x14ac:dyDescent="0.35">
      <c r="A157" s="10"/>
      <c r="B157" s="10"/>
      <c r="C157" s="10"/>
      <c r="D157" s="10"/>
      <c r="E157" s="10"/>
      <c r="F157" s="10"/>
      <c r="G157" s="10"/>
      <c r="H157" s="10"/>
    </row>
    <row r="158" spans="1:8" ht="14.25" customHeight="1" x14ac:dyDescent="0.35">
      <c r="A158" s="10"/>
      <c r="B158" s="10"/>
      <c r="C158" s="10"/>
      <c r="D158" s="10"/>
      <c r="E158" s="10"/>
      <c r="F158" s="10"/>
      <c r="G158" s="10"/>
      <c r="H158" s="10"/>
    </row>
    <row r="159" spans="1:8" ht="14.25" customHeight="1" x14ac:dyDescent="0.35">
      <c r="A159" s="10"/>
      <c r="B159" s="10"/>
      <c r="C159" s="10"/>
      <c r="D159" s="10"/>
      <c r="E159" s="10"/>
      <c r="F159" s="10"/>
      <c r="G159" s="10"/>
      <c r="H159" s="10"/>
    </row>
    <row r="160" spans="1:8" ht="14.25" customHeight="1" x14ac:dyDescent="0.35">
      <c r="A160" s="10"/>
      <c r="B160" s="10"/>
      <c r="C160" s="10"/>
      <c r="D160" s="10"/>
      <c r="E160" s="10"/>
      <c r="F160" s="10"/>
      <c r="G160" s="10"/>
      <c r="H160" s="10"/>
    </row>
    <row r="161" spans="1:8" ht="14.25" customHeight="1" x14ac:dyDescent="0.35">
      <c r="A161" s="10"/>
      <c r="B161" s="10"/>
      <c r="C161" s="10"/>
      <c r="D161" s="10"/>
      <c r="E161" s="10"/>
      <c r="F161" s="10"/>
      <c r="G161" s="10"/>
      <c r="H161" s="10"/>
    </row>
    <row r="162" spans="1:8" ht="14.25" customHeight="1" x14ac:dyDescent="0.35">
      <c r="A162" s="10"/>
      <c r="B162" s="10"/>
      <c r="C162" s="10"/>
      <c r="D162" s="10"/>
      <c r="E162" s="10"/>
      <c r="F162" s="10"/>
      <c r="G162" s="10"/>
      <c r="H162" s="10"/>
    </row>
    <row r="163" spans="1:8" ht="14.25" customHeight="1" x14ac:dyDescent="0.35">
      <c r="A163" s="10"/>
      <c r="B163" s="10"/>
      <c r="C163" s="10"/>
      <c r="D163" s="10"/>
      <c r="E163" s="10"/>
      <c r="F163" s="10"/>
      <c r="G163" s="10"/>
      <c r="H163" s="10"/>
    </row>
    <row r="164" spans="1:8" ht="14.25" customHeight="1" x14ac:dyDescent="0.35">
      <c r="A164" s="10"/>
      <c r="B164" s="10"/>
      <c r="C164" s="10"/>
      <c r="D164" s="10"/>
      <c r="E164" s="10"/>
      <c r="F164" s="10"/>
      <c r="G164" s="10"/>
      <c r="H164" s="10"/>
    </row>
    <row r="165" spans="1:8" ht="14.25" customHeight="1" x14ac:dyDescent="0.35">
      <c r="A165" s="10"/>
      <c r="B165" s="10"/>
      <c r="C165" s="10"/>
      <c r="D165" s="10"/>
      <c r="E165" s="10"/>
      <c r="F165" s="10"/>
      <c r="G165" s="10"/>
      <c r="H165" s="10"/>
    </row>
    <row r="166" spans="1:8" ht="14.25" customHeight="1" x14ac:dyDescent="0.35">
      <c r="A166" s="10"/>
      <c r="B166" s="10"/>
      <c r="C166" s="10"/>
      <c r="D166" s="10"/>
      <c r="E166" s="10"/>
      <c r="F166" s="10"/>
      <c r="G166" s="10"/>
      <c r="H166" s="10"/>
    </row>
    <row r="167" spans="1:8" ht="14.25" customHeight="1" x14ac:dyDescent="0.35">
      <c r="A167" s="10"/>
      <c r="B167" s="10"/>
      <c r="C167" s="10"/>
      <c r="D167" s="10"/>
      <c r="E167" s="10"/>
      <c r="F167" s="10"/>
      <c r="G167" s="10"/>
      <c r="H167" s="10"/>
    </row>
    <row r="168" spans="1:8" ht="14.25" customHeight="1" x14ac:dyDescent="0.35">
      <c r="A168" s="10"/>
      <c r="B168" s="10"/>
      <c r="C168" s="10"/>
      <c r="D168" s="10"/>
      <c r="E168" s="10"/>
      <c r="F168" s="10"/>
      <c r="G168" s="10"/>
      <c r="H168" s="10"/>
    </row>
    <row r="169" spans="1:8" ht="14.25" customHeight="1" x14ac:dyDescent="0.35">
      <c r="A169" s="10"/>
      <c r="B169" s="10"/>
      <c r="C169" s="10"/>
      <c r="D169" s="10"/>
      <c r="E169" s="10"/>
      <c r="F169" s="10"/>
      <c r="G169" s="10"/>
      <c r="H169" s="10"/>
    </row>
    <row r="170" spans="1:8" ht="14.25" customHeight="1" x14ac:dyDescent="0.35">
      <c r="A170" s="10"/>
      <c r="B170" s="10"/>
      <c r="C170" s="10"/>
      <c r="D170" s="10"/>
      <c r="E170" s="10"/>
      <c r="F170" s="10"/>
      <c r="G170" s="10"/>
      <c r="H170" s="10"/>
    </row>
    <row r="171" spans="1:8" ht="14.25" customHeight="1" x14ac:dyDescent="0.35">
      <c r="A171" s="10"/>
      <c r="B171" s="10"/>
      <c r="C171" s="10"/>
      <c r="D171" s="10"/>
      <c r="E171" s="10"/>
      <c r="F171" s="10"/>
      <c r="G171" s="10"/>
      <c r="H171" s="10"/>
    </row>
    <row r="172" spans="1:8" ht="14.25" customHeight="1" x14ac:dyDescent="0.35">
      <c r="A172" s="10"/>
      <c r="B172" s="10"/>
      <c r="C172" s="10"/>
      <c r="D172" s="10"/>
      <c r="E172" s="10"/>
      <c r="F172" s="10"/>
      <c r="G172" s="10"/>
      <c r="H172" s="10"/>
    </row>
    <row r="173" spans="1:8" ht="14.25" customHeight="1" x14ac:dyDescent="0.35">
      <c r="A173" s="10"/>
      <c r="B173" s="10"/>
      <c r="C173" s="10"/>
      <c r="D173" s="10"/>
      <c r="E173" s="10"/>
      <c r="F173" s="10"/>
      <c r="G173" s="10"/>
      <c r="H173" s="10"/>
    </row>
    <row r="174" spans="1:8" ht="14.25" customHeight="1" x14ac:dyDescent="0.35">
      <c r="A174" s="10"/>
      <c r="B174" s="10"/>
      <c r="C174" s="10"/>
      <c r="D174" s="10"/>
      <c r="E174" s="10"/>
      <c r="F174" s="10"/>
      <c r="G174" s="10"/>
      <c r="H174" s="10"/>
    </row>
    <row r="175" spans="1:8" ht="14.25" customHeight="1" x14ac:dyDescent="0.35">
      <c r="A175" s="10"/>
      <c r="B175" s="10"/>
      <c r="C175" s="10"/>
      <c r="D175" s="10"/>
      <c r="E175" s="10"/>
      <c r="F175" s="10"/>
      <c r="G175" s="10"/>
      <c r="H175" s="10"/>
    </row>
    <row r="176" spans="1:8" ht="14.25" customHeight="1" x14ac:dyDescent="0.35">
      <c r="A176" s="10"/>
      <c r="B176" s="10"/>
      <c r="C176" s="10"/>
      <c r="D176" s="10"/>
      <c r="E176" s="10"/>
      <c r="F176" s="10"/>
      <c r="G176" s="10"/>
      <c r="H176" s="10"/>
    </row>
    <row r="177" spans="1:8" ht="14.25" customHeight="1" x14ac:dyDescent="0.35">
      <c r="A177" s="10"/>
      <c r="B177" s="10"/>
      <c r="C177" s="10"/>
      <c r="D177" s="10"/>
      <c r="E177" s="10"/>
      <c r="F177" s="10"/>
      <c r="G177" s="10"/>
      <c r="H177" s="10"/>
    </row>
    <row r="178" spans="1:8" ht="14.25" customHeight="1" x14ac:dyDescent="0.35">
      <c r="A178" s="10"/>
      <c r="B178" s="10"/>
      <c r="C178" s="10"/>
      <c r="D178" s="10"/>
      <c r="E178" s="10"/>
      <c r="F178" s="10"/>
      <c r="G178" s="10"/>
      <c r="H178" s="10"/>
    </row>
    <row r="179" spans="1:8" ht="14.25" customHeight="1" x14ac:dyDescent="0.35">
      <c r="A179" s="10"/>
      <c r="B179" s="10"/>
      <c r="C179" s="10"/>
      <c r="D179" s="10"/>
      <c r="E179" s="10"/>
      <c r="F179" s="10"/>
      <c r="G179" s="10"/>
      <c r="H179" s="10"/>
    </row>
    <row r="180" spans="1:8" ht="14.25" customHeight="1" x14ac:dyDescent="0.35">
      <c r="A180" s="10"/>
      <c r="B180" s="10"/>
      <c r="C180" s="10"/>
      <c r="D180" s="10"/>
      <c r="E180" s="10"/>
      <c r="F180" s="10"/>
      <c r="G180" s="10"/>
      <c r="H180" s="10"/>
    </row>
    <row r="181" spans="1:8" ht="14.25" customHeight="1" x14ac:dyDescent="0.35">
      <c r="A181" s="10"/>
      <c r="B181" s="10"/>
      <c r="C181" s="10"/>
      <c r="D181" s="10"/>
      <c r="E181" s="10"/>
      <c r="F181" s="10"/>
      <c r="G181" s="10"/>
      <c r="H181" s="10"/>
    </row>
    <row r="182" spans="1:8" ht="14.25" customHeight="1" x14ac:dyDescent="0.35">
      <c r="A182" s="10"/>
      <c r="B182" s="10"/>
      <c r="C182" s="10"/>
      <c r="D182" s="10"/>
      <c r="E182" s="10"/>
      <c r="F182" s="10"/>
      <c r="G182" s="10"/>
      <c r="H182" s="10"/>
    </row>
    <row r="183" spans="1:8" ht="14.25" customHeight="1" x14ac:dyDescent="0.35">
      <c r="A183" s="10"/>
      <c r="B183" s="10"/>
      <c r="C183" s="10"/>
      <c r="D183" s="10"/>
      <c r="E183" s="10"/>
      <c r="F183" s="10"/>
      <c r="G183" s="10"/>
      <c r="H183" s="10"/>
    </row>
    <row r="184" spans="1:8" ht="14.25" customHeight="1" x14ac:dyDescent="0.35">
      <c r="A184" s="10"/>
      <c r="B184" s="10"/>
      <c r="C184" s="10"/>
      <c r="D184" s="10"/>
      <c r="E184" s="10"/>
      <c r="F184" s="10"/>
      <c r="G184" s="10"/>
      <c r="H184" s="10"/>
    </row>
    <row r="185" spans="1:8" ht="14.25" customHeight="1" x14ac:dyDescent="0.35">
      <c r="A185" s="10"/>
      <c r="B185" s="10"/>
      <c r="C185" s="10"/>
      <c r="D185" s="10"/>
      <c r="E185" s="10"/>
      <c r="F185" s="10"/>
      <c r="G185" s="10"/>
      <c r="H185" s="10"/>
    </row>
    <row r="186" spans="1:8" ht="14.25" customHeight="1" x14ac:dyDescent="0.35">
      <c r="A186" s="10"/>
      <c r="B186" s="10"/>
      <c r="C186" s="10"/>
      <c r="D186" s="10"/>
      <c r="E186" s="10"/>
      <c r="F186" s="10"/>
      <c r="G186" s="10"/>
      <c r="H186" s="10"/>
    </row>
    <row r="187" spans="1:8" ht="14.25" customHeight="1" x14ac:dyDescent="0.35">
      <c r="A187" s="10"/>
      <c r="B187" s="10"/>
      <c r="C187" s="10"/>
      <c r="D187" s="10"/>
      <c r="E187" s="10"/>
      <c r="F187" s="10"/>
      <c r="G187" s="10"/>
      <c r="H187" s="10"/>
    </row>
    <row r="188" spans="1:8" ht="14.25" customHeight="1" x14ac:dyDescent="0.35">
      <c r="A188" s="10"/>
      <c r="B188" s="10"/>
      <c r="C188" s="10"/>
      <c r="D188" s="10"/>
      <c r="E188" s="10"/>
      <c r="F188" s="10"/>
      <c r="G188" s="10"/>
      <c r="H188" s="10"/>
    </row>
    <row r="189" spans="1:8" ht="14.25" customHeight="1" x14ac:dyDescent="0.35">
      <c r="A189" s="10"/>
      <c r="B189" s="10"/>
      <c r="C189" s="10"/>
      <c r="D189" s="10"/>
      <c r="E189" s="10"/>
      <c r="F189" s="10"/>
      <c r="G189" s="10"/>
      <c r="H189" s="10"/>
    </row>
    <row r="190" spans="1:8" ht="14.25" customHeight="1" x14ac:dyDescent="0.35">
      <c r="A190" s="10"/>
      <c r="B190" s="10"/>
      <c r="C190" s="10"/>
      <c r="D190" s="10"/>
      <c r="E190" s="10"/>
      <c r="F190" s="10"/>
      <c r="G190" s="10"/>
      <c r="H190" s="10"/>
    </row>
    <row r="191" spans="1:8" ht="14.25" customHeight="1" x14ac:dyDescent="0.35">
      <c r="A191" s="10"/>
      <c r="B191" s="10"/>
      <c r="C191" s="10"/>
      <c r="D191" s="10"/>
      <c r="E191" s="10"/>
      <c r="F191" s="10"/>
      <c r="G191" s="10"/>
      <c r="H191" s="10"/>
    </row>
    <row r="192" spans="1:8" ht="14.25" customHeight="1" x14ac:dyDescent="0.35">
      <c r="A192" s="10"/>
      <c r="B192" s="10"/>
      <c r="C192" s="10"/>
      <c r="D192" s="10"/>
      <c r="E192" s="10"/>
      <c r="F192" s="10"/>
      <c r="G192" s="10"/>
      <c r="H192" s="10"/>
    </row>
    <row r="193" spans="1:8" ht="14.25" customHeight="1" x14ac:dyDescent="0.35">
      <c r="A193" s="10"/>
      <c r="B193" s="10"/>
      <c r="C193" s="10"/>
      <c r="D193" s="10"/>
      <c r="E193" s="10"/>
      <c r="F193" s="10"/>
      <c r="G193" s="10"/>
      <c r="H193" s="10"/>
    </row>
    <row r="194" spans="1:8" ht="14.25" customHeight="1" x14ac:dyDescent="0.35">
      <c r="A194" s="10"/>
      <c r="B194" s="10"/>
      <c r="C194" s="10"/>
      <c r="D194" s="10"/>
      <c r="E194" s="10"/>
      <c r="F194" s="10"/>
      <c r="G194" s="10"/>
      <c r="H194" s="10"/>
    </row>
    <row r="195" spans="1:8" ht="14.25" customHeight="1" x14ac:dyDescent="0.35">
      <c r="A195" s="10"/>
      <c r="B195" s="10"/>
      <c r="C195" s="10"/>
      <c r="D195" s="10"/>
      <c r="E195" s="10"/>
      <c r="F195" s="10"/>
      <c r="G195" s="10"/>
      <c r="H195" s="10"/>
    </row>
    <row r="196" spans="1:8" ht="14.25" customHeight="1" x14ac:dyDescent="0.35">
      <c r="A196" s="10"/>
      <c r="B196" s="10"/>
      <c r="C196" s="10"/>
      <c r="D196" s="10"/>
      <c r="E196" s="10"/>
      <c r="F196" s="10"/>
      <c r="G196" s="10"/>
      <c r="H196" s="10"/>
    </row>
    <row r="197" spans="1:8" ht="14.25" customHeight="1" x14ac:dyDescent="0.35">
      <c r="A197" s="10"/>
      <c r="B197" s="10"/>
      <c r="C197" s="10"/>
      <c r="D197" s="10"/>
      <c r="E197" s="10"/>
      <c r="F197" s="10"/>
      <c r="G197" s="10"/>
      <c r="H197" s="10"/>
    </row>
    <row r="198" spans="1:8" ht="14.25" customHeight="1" x14ac:dyDescent="0.35">
      <c r="A198" s="10"/>
      <c r="B198" s="10"/>
      <c r="C198" s="10"/>
      <c r="D198" s="10"/>
      <c r="E198" s="10"/>
      <c r="F198" s="10"/>
      <c r="G198" s="10"/>
      <c r="H198" s="10"/>
    </row>
    <row r="199" spans="1:8" ht="14.25" customHeight="1" x14ac:dyDescent="0.35">
      <c r="A199" s="10"/>
      <c r="B199" s="10"/>
      <c r="C199" s="10"/>
      <c r="D199" s="10"/>
      <c r="E199" s="10"/>
      <c r="F199" s="10"/>
      <c r="G199" s="10"/>
      <c r="H199" s="10"/>
    </row>
    <row r="200" spans="1:8" ht="14.25" customHeight="1" x14ac:dyDescent="0.35">
      <c r="A200" s="10"/>
      <c r="B200" s="10"/>
      <c r="C200" s="10"/>
      <c r="D200" s="10"/>
      <c r="E200" s="10"/>
      <c r="F200" s="10"/>
      <c r="G200" s="10"/>
      <c r="H200" s="10"/>
    </row>
    <row r="201" spans="1:8" ht="14.25" customHeight="1" x14ac:dyDescent="0.35">
      <c r="A201" s="10"/>
      <c r="B201" s="10"/>
      <c r="C201" s="10"/>
      <c r="D201" s="10"/>
      <c r="E201" s="10"/>
      <c r="F201" s="10"/>
      <c r="G201" s="10"/>
      <c r="H201" s="10"/>
    </row>
    <row r="202" spans="1:8" ht="14.25" customHeight="1" x14ac:dyDescent="0.35">
      <c r="A202" s="10"/>
      <c r="B202" s="10"/>
      <c r="C202" s="10"/>
      <c r="D202" s="10"/>
      <c r="E202" s="10"/>
      <c r="F202" s="10"/>
      <c r="G202" s="10"/>
      <c r="H202" s="10"/>
    </row>
    <row r="203" spans="1:8" ht="14.25" customHeight="1" x14ac:dyDescent="0.35">
      <c r="A203" s="10"/>
      <c r="B203" s="10"/>
      <c r="C203" s="10"/>
      <c r="D203" s="10"/>
      <c r="E203" s="10"/>
      <c r="F203" s="10"/>
      <c r="G203" s="10"/>
      <c r="H203" s="10"/>
    </row>
    <row r="204" spans="1:8" ht="14.25" customHeight="1" x14ac:dyDescent="0.35">
      <c r="A204" s="10"/>
      <c r="B204" s="10"/>
      <c r="C204" s="10"/>
      <c r="D204" s="10"/>
      <c r="E204" s="10"/>
      <c r="F204" s="10"/>
      <c r="G204" s="10"/>
      <c r="H204" s="10"/>
    </row>
    <row r="205" spans="1:8" ht="14.25" customHeight="1" x14ac:dyDescent="0.35">
      <c r="A205" s="10"/>
      <c r="B205" s="10"/>
      <c r="C205" s="10"/>
      <c r="D205" s="10"/>
      <c r="E205" s="10"/>
      <c r="F205" s="10"/>
      <c r="G205" s="10"/>
      <c r="H205" s="10"/>
    </row>
    <row r="206" spans="1:8" ht="14.25" customHeight="1" x14ac:dyDescent="0.35">
      <c r="A206" s="10"/>
      <c r="B206" s="10"/>
      <c r="C206" s="10"/>
      <c r="D206" s="10"/>
      <c r="E206" s="10"/>
      <c r="F206" s="10"/>
      <c r="G206" s="10"/>
      <c r="H206" s="10"/>
    </row>
    <row r="207" spans="1:8" ht="14.25" customHeight="1" x14ac:dyDescent="0.35">
      <c r="A207" s="10"/>
      <c r="B207" s="10"/>
      <c r="C207" s="10"/>
      <c r="D207" s="10"/>
      <c r="E207" s="10"/>
      <c r="F207" s="10"/>
      <c r="G207" s="10"/>
      <c r="H207" s="10"/>
    </row>
    <row r="208" spans="1:8" ht="14.25" customHeight="1" x14ac:dyDescent="0.35">
      <c r="A208" s="10"/>
      <c r="B208" s="10"/>
      <c r="C208" s="10"/>
      <c r="D208" s="10"/>
      <c r="E208" s="10"/>
      <c r="F208" s="10"/>
      <c r="G208" s="10"/>
      <c r="H208" s="10"/>
    </row>
    <row r="209" spans="1:8" ht="14.25" customHeight="1" x14ac:dyDescent="0.35">
      <c r="A209" s="10"/>
      <c r="B209" s="10"/>
      <c r="C209" s="10"/>
      <c r="D209" s="10"/>
      <c r="E209" s="10"/>
      <c r="F209" s="10"/>
      <c r="G209" s="10"/>
      <c r="H209" s="10"/>
    </row>
    <row r="210" spans="1:8" ht="14.25" customHeight="1" x14ac:dyDescent="0.35">
      <c r="A210" s="10"/>
      <c r="B210" s="10"/>
      <c r="C210" s="10"/>
      <c r="D210" s="10"/>
      <c r="E210" s="10"/>
      <c r="F210" s="10"/>
      <c r="G210" s="10"/>
      <c r="H210" s="10"/>
    </row>
    <row r="211" spans="1:8" ht="14.25" customHeight="1" x14ac:dyDescent="0.35">
      <c r="A211" s="10"/>
      <c r="B211" s="10"/>
      <c r="C211" s="10"/>
      <c r="D211" s="10"/>
      <c r="E211" s="10"/>
      <c r="F211" s="10"/>
      <c r="G211" s="10"/>
      <c r="H211" s="10"/>
    </row>
    <row r="212" spans="1:8" ht="14.25" customHeight="1" x14ac:dyDescent="0.35">
      <c r="A212" s="10"/>
      <c r="B212" s="10"/>
      <c r="C212" s="10"/>
      <c r="D212" s="10"/>
      <c r="E212" s="10"/>
      <c r="F212" s="10"/>
      <c r="G212" s="10"/>
      <c r="H212" s="10"/>
    </row>
    <row r="213" spans="1:8" ht="14.25" customHeight="1" x14ac:dyDescent="0.35">
      <c r="A213" s="10"/>
      <c r="B213" s="10"/>
      <c r="C213" s="10"/>
      <c r="D213" s="10"/>
      <c r="E213" s="10"/>
      <c r="F213" s="10"/>
      <c r="G213" s="10"/>
      <c r="H213" s="10"/>
    </row>
    <row r="214" spans="1:8" ht="14.25" customHeight="1" x14ac:dyDescent="0.35">
      <c r="A214" s="10"/>
      <c r="B214" s="10"/>
      <c r="C214" s="10"/>
      <c r="D214" s="10"/>
      <c r="E214" s="10"/>
      <c r="F214" s="10"/>
      <c r="G214" s="10"/>
      <c r="H214" s="10"/>
    </row>
    <row r="215" spans="1:8" ht="14.25" customHeight="1" x14ac:dyDescent="0.35">
      <c r="A215" s="10"/>
      <c r="B215" s="10"/>
      <c r="C215" s="10"/>
      <c r="D215" s="10"/>
      <c r="E215" s="10"/>
      <c r="F215" s="10"/>
      <c r="G215" s="10"/>
      <c r="H215" s="10"/>
    </row>
    <row r="216" spans="1:8" ht="14.25" customHeight="1" x14ac:dyDescent="0.35">
      <c r="A216" s="10"/>
      <c r="B216" s="10"/>
      <c r="C216" s="10"/>
      <c r="D216" s="10"/>
      <c r="E216" s="10"/>
      <c r="F216" s="10"/>
      <c r="G216" s="10"/>
      <c r="H216" s="10"/>
    </row>
    <row r="217" spans="1:8" ht="14.25" customHeight="1" x14ac:dyDescent="0.35">
      <c r="A217" s="10"/>
      <c r="B217" s="10"/>
      <c r="C217" s="10"/>
      <c r="D217" s="10"/>
      <c r="E217" s="10"/>
      <c r="F217" s="10"/>
      <c r="G217" s="10"/>
      <c r="H217" s="10"/>
    </row>
    <row r="218" spans="1:8" ht="14.25" customHeight="1" x14ac:dyDescent="0.35">
      <c r="A218" s="10"/>
      <c r="B218" s="10"/>
      <c r="C218" s="10"/>
      <c r="D218" s="10"/>
      <c r="E218" s="10"/>
      <c r="F218" s="10"/>
      <c r="G218" s="10"/>
      <c r="H218" s="10"/>
    </row>
    <row r="219" spans="1:8" ht="14.25" customHeight="1" x14ac:dyDescent="0.35">
      <c r="A219" s="10"/>
      <c r="B219" s="10"/>
      <c r="C219" s="10"/>
      <c r="D219" s="10"/>
      <c r="E219" s="10"/>
      <c r="F219" s="10"/>
      <c r="G219" s="10"/>
      <c r="H219" s="10"/>
    </row>
    <row r="220" spans="1:8" ht="14.25" customHeight="1" x14ac:dyDescent="0.35">
      <c r="A220" s="10"/>
      <c r="B220" s="10"/>
      <c r="C220" s="10"/>
      <c r="D220" s="10"/>
      <c r="E220" s="10"/>
      <c r="F220" s="10"/>
      <c r="G220" s="10"/>
      <c r="H220" s="10"/>
    </row>
    <row r="221" spans="1:8" ht="14.25" customHeight="1" x14ac:dyDescent="0.35">
      <c r="A221" s="10"/>
      <c r="B221" s="10"/>
      <c r="C221" s="10"/>
      <c r="D221" s="10"/>
      <c r="E221" s="10"/>
      <c r="F221" s="10"/>
      <c r="G221" s="10"/>
      <c r="H221" s="10"/>
    </row>
    <row r="222" spans="1:8" ht="14.25" customHeight="1" x14ac:dyDescent="0.35">
      <c r="A222" s="10"/>
      <c r="B222" s="10"/>
      <c r="C222" s="10"/>
      <c r="D222" s="10"/>
      <c r="E222" s="10"/>
      <c r="F222" s="10"/>
      <c r="G222" s="10"/>
      <c r="H222" s="10"/>
    </row>
    <row r="223" spans="1:8" ht="14.25" customHeight="1" x14ac:dyDescent="0.35">
      <c r="A223" s="10"/>
      <c r="B223" s="10"/>
      <c r="C223" s="10"/>
      <c r="D223" s="10"/>
      <c r="E223" s="10"/>
      <c r="F223" s="10"/>
      <c r="G223" s="10"/>
      <c r="H223" s="10"/>
    </row>
    <row r="224" spans="1:8" ht="14.25" customHeight="1" x14ac:dyDescent="0.35">
      <c r="A224" s="10"/>
      <c r="B224" s="10"/>
      <c r="C224" s="10"/>
      <c r="D224" s="10"/>
      <c r="E224" s="10"/>
      <c r="F224" s="10"/>
      <c r="G224" s="10"/>
      <c r="H224" s="10"/>
    </row>
    <row r="225" spans="1:8" ht="14.25" customHeight="1" x14ac:dyDescent="0.35">
      <c r="A225" s="10"/>
      <c r="B225" s="10"/>
      <c r="C225" s="10"/>
      <c r="D225" s="10"/>
      <c r="E225" s="10"/>
      <c r="F225" s="10"/>
      <c r="G225" s="10"/>
      <c r="H225" s="10"/>
    </row>
    <row r="226" spans="1:8" ht="14.25" customHeight="1" x14ac:dyDescent="0.35">
      <c r="A226" s="10"/>
      <c r="B226" s="10"/>
      <c r="C226" s="10"/>
      <c r="D226" s="10"/>
      <c r="E226" s="10"/>
      <c r="F226" s="10"/>
      <c r="G226" s="10"/>
      <c r="H226" s="10"/>
    </row>
    <row r="227" spans="1:8" ht="14.25" customHeight="1" x14ac:dyDescent="0.35">
      <c r="A227" s="10"/>
      <c r="B227" s="10"/>
      <c r="C227" s="10"/>
      <c r="D227" s="10"/>
      <c r="E227" s="10"/>
      <c r="F227" s="10"/>
      <c r="G227" s="10"/>
      <c r="H227" s="10"/>
    </row>
    <row r="228" spans="1:8" ht="14.25" customHeight="1" x14ac:dyDescent="0.35">
      <c r="A228" s="10"/>
      <c r="B228" s="10"/>
      <c r="C228" s="10"/>
      <c r="D228" s="10"/>
      <c r="E228" s="10"/>
      <c r="F228" s="10"/>
      <c r="G228" s="10"/>
      <c r="H228" s="10"/>
    </row>
    <row r="229" spans="1:8" ht="14.25" customHeight="1" x14ac:dyDescent="0.35">
      <c r="A229" s="10"/>
      <c r="B229" s="10"/>
      <c r="C229" s="10"/>
      <c r="D229" s="10"/>
      <c r="E229" s="10"/>
      <c r="F229" s="10"/>
      <c r="G229" s="10"/>
      <c r="H229" s="10"/>
    </row>
    <row r="230" spans="1:8" ht="14.25" customHeight="1" x14ac:dyDescent="0.35">
      <c r="A230" s="10"/>
      <c r="B230" s="10"/>
      <c r="C230" s="10"/>
      <c r="D230" s="10"/>
      <c r="E230" s="10"/>
      <c r="F230" s="10"/>
      <c r="G230" s="10"/>
      <c r="H230" s="10"/>
    </row>
    <row r="231" spans="1:8" ht="14.25" customHeight="1" x14ac:dyDescent="0.35">
      <c r="A231" s="10"/>
      <c r="B231" s="10"/>
      <c r="C231" s="10"/>
      <c r="D231" s="10"/>
      <c r="E231" s="10"/>
      <c r="F231" s="10"/>
      <c r="G231" s="10"/>
      <c r="H231" s="10"/>
    </row>
    <row r="232" spans="1:8" ht="14.25" customHeight="1" x14ac:dyDescent="0.35">
      <c r="A232" s="10"/>
      <c r="B232" s="10"/>
      <c r="C232" s="10"/>
      <c r="D232" s="10"/>
      <c r="E232" s="10"/>
      <c r="F232" s="10"/>
      <c r="G232" s="10"/>
      <c r="H232" s="10"/>
    </row>
    <row r="233" spans="1:8" ht="14.25" customHeight="1" x14ac:dyDescent="0.35">
      <c r="A233" s="10"/>
      <c r="B233" s="10"/>
      <c r="C233" s="10"/>
      <c r="D233" s="10"/>
      <c r="E233" s="10"/>
      <c r="F233" s="10"/>
      <c r="G233" s="10"/>
      <c r="H233" s="10"/>
    </row>
    <row r="234" spans="1:8" ht="14.25" customHeight="1" x14ac:dyDescent="0.35">
      <c r="A234" s="10"/>
      <c r="B234" s="10"/>
      <c r="C234" s="10"/>
      <c r="D234" s="10"/>
      <c r="E234" s="10"/>
      <c r="F234" s="10"/>
      <c r="G234" s="10"/>
      <c r="H234" s="10"/>
    </row>
    <row r="235" spans="1:8" ht="14.25" customHeight="1" x14ac:dyDescent="0.35">
      <c r="A235" s="10"/>
      <c r="B235" s="10"/>
      <c r="C235" s="10"/>
      <c r="D235" s="10"/>
      <c r="E235" s="10"/>
      <c r="F235" s="10"/>
      <c r="G235" s="10"/>
      <c r="H235" s="10"/>
    </row>
    <row r="236" spans="1:8" ht="14.25" customHeight="1" x14ac:dyDescent="0.35">
      <c r="A236" s="10"/>
      <c r="B236" s="10"/>
      <c r="C236" s="10"/>
      <c r="D236" s="10"/>
      <c r="E236" s="10"/>
      <c r="F236" s="10"/>
      <c r="G236" s="10"/>
      <c r="H236" s="10"/>
    </row>
    <row r="237" spans="1:8" ht="14.25" customHeight="1" x14ac:dyDescent="0.35">
      <c r="A237" s="10"/>
      <c r="B237" s="10"/>
      <c r="C237" s="10"/>
      <c r="D237" s="10"/>
      <c r="E237" s="10"/>
      <c r="F237" s="10"/>
      <c r="G237" s="10"/>
      <c r="H237" s="10"/>
    </row>
    <row r="238" spans="1:8" ht="14.25" customHeight="1" x14ac:dyDescent="0.35">
      <c r="A238" s="10"/>
      <c r="B238" s="10"/>
      <c r="C238" s="10"/>
      <c r="D238" s="10"/>
      <c r="E238" s="10"/>
      <c r="F238" s="10"/>
      <c r="G238" s="10"/>
      <c r="H238" s="10"/>
    </row>
    <row r="239" spans="1:8" ht="14.25" customHeight="1" x14ac:dyDescent="0.35">
      <c r="A239" s="10"/>
      <c r="B239" s="10"/>
      <c r="C239" s="10"/>
      <c r="D239" s="10"/>
      <c r="E239" s="10"/>
      <c r="F239" s="10"/>
      <c r="G239" s="10"/>
      <c r="H239" s="10"/>
    </row>
    <row r="240" spans="1:8" ht="14.25" customHeight="1" x14ac:dyDescent="0.35">
      <c r="A240" s="10"/>
      <c r="B240" s="10"/>
      <c r="C240" s="10"/>
      <c r="D240" s="10"/>
      <c r="E240" s="10"/>
      <c r="F240" s="10"/>
      <c r="G240" s="10"/>
      <c r="H240" s="10"/>
    </row>
    <row r="241" spans="1:8" ht="14.25" customHeight="1" x14ac:dyDescent="0.35">
      <c r="A241" s="10"/>
      <c r="B241" s="10"/>
      <c r="C241" s="10"/>
      <c r="D241" s="10"/>
      <c r="E241" s="10"/>
      <c r="F241" s="10"/>
      <c r="G241" s="10"/>
      <c r="H241" s="10"/>
    </row>
    <row r="242" spans="1:8" ht="14.25" customHeight="1" x14ac:dyDescent="0.35">
      <c r="A242" s="10"/>
      <c r="B242" s="10"/>
      <c r="C242" s="10"/>
      <c r="D242" s="10"/>
      <c r="E242" s="10"/>
      <c r="F242" s="10"/>
      <c r="G242" s="10"/>
      <c r="H242" s="10"/>
    </row>
    <row r="243" spans="1:8" ht="14.25" customHeight="1" x14ac:dyDescent="0.35">
      <c r="A243" s="10"/>
      <c r="B243" s="10"/>
      <c r="C243" s="10"/>
      <c r="D243" s="10"/>
      <c r="E243" s="10"/>
      <c r="F243" s="10"/>
      <c r="G243" s="10"/>
      <c r="H243" s="10"/>
    </row>
    <row r="244" spans="1:8" ht="14.25" customHeight="1" x14ac:dyDescent="0.35">
      <c r="A244" s="10"/>
      <c r="B244" s="10"/>
      <c r="C244" s="10"/>
      <c r="D244" s="10"/>
      <c r="E244" s="10"/>
      <c r="F244" s="10"/>
      <c r="G244" s="10"/>
      <c r="H244" s="10"/>
    </row>
    <row r="245" spans="1:8" ht="14.25" customHeight="1" x14ac:dyDescent="0.35">
      <c r="A245" s="10"/>
      <c r="B245" s="10"/>
      <c r="C245" s="10"/>
      <c r="D245" s="10"/>
      <c r="E245" s="10"/>
      <c r="F245" s="10"/>
      <c r="G245" s="10"/>
      <c r="H245" s="10"/>
    </row>
    <row r="246" spans="1:8" ht="14.25" customHeight="1" x14ac:dyDescent="0.35">
      <c r="A246" s="10"/>
      <c r="B246" s="10"/>
      <c r="C246" s="10"/>
      <c r="D246" s="10"/>
      <c r="E246" s="10"/>
      <c r="F246" s="10"/>
      <c r="G246" s="10"/>
      <c r="H246" s="10"/>
    </row>
    <row r="247" spans="1:8" ht="14.25" customHeight="1" x14ac:dyDescent="0.35">
      <c r="A247" s="10"/>
      <c r="B247" s="10"/>
      <c r="C247" s="10"/>
      <c r="D247" s="10"/>
      <c r="E247" s="10"/>
      <c r="F247" s="10"/>
      <c r="G247" s="10"/>
      <c r="H247" s="10"/>
    </row>
    <row r="248" spans="1:8" ht="14.25" customHeight="1" x14ac:dyDescent="0.35">
      <c r="A248" s="10"/>
      <c r="B248" s="10"/>
      <c r="C248" s="10"/>
      <c r="D248" s="10"/>
      <c r="E248" s="10"/>
      <c r="F248" s="10"/>
      <c r="G248" s="10"/>
      <c r="H248" s="10"/>
    </row>
    <row r="249" spans="1:8" ht="14.25" customHeight="1" x14ac:dyDescent="0.35">
      <c r="A249" s="10"/>
      <c r="B249" s="10"/>
      <c r="C249" s="10"/>
      <c r="D249" s="10"/>
      <c r="E249" s="10"/>
      <c r="F249" s="10"/>
      <c r="G249" s="10"/>
      <c r="H249" s="10"/>
    </row>
    <row r="250" spans="1:8" ht="14.25" customHeight="1" x14ac:dyDescent="0.35">
      <c r="A250" s="10"/>
      <c r="B250" s="10"/>
      <c r="C250" s="10"/>
      <c r="D250" s="10"/>
      <c r="E250" s="10"/>
      <c r="F250" s="10"/>
      <c r="G250" s="10"/>
      <c r="H250" s="10"/>
    </row>
    <row r="251" spans="1:8" ht="14.25" customHeight="1" x14ac:dyDescent="0.35">
      <c r="A251" s="10"/>
      <c r="B251" s="10"/>
      <c r="C251" s="10"/>
      <c r="D251" s="10"/>
      <c r="E251" s="10"/>
      <c r="F251" s="10"/>
      <c r="G251" s="10"/>
      <c r="H251" s="10"/>
    </row>
    <row r="252" spans="1:8" ht="14.25" customHeight="1" x14ac:dyDescent="0.35">
      <c r="A252" s="10"/>
      <c r="B252" s="10"/>
      <c r="C252" s="10"/>
      <c r="D252" s="10"/>
      <c r="E252" s="10"/>
      <c r="F252" s="10"/>
      <c r="G252" s="10"/>
      <c r="H252" s="10"/>
    </row>
    <row r="253" spans="1:8" ht="14.25" customHeight="1" x14ac:dyDescent="0.35">
      <c r="A253" s="10"/>
      <c r="B253" s="10"/>
      <c r="C253" s="10"/>
      <c r="D253" s="10"/>
      <c r="E253" s="10"/>
      <c r="F253" s="10"/>
      <c r="G253" s="10"/>
      <c r="H253" s="10"/>
    </row>
    <row r="254" spans="1:8" ht="14.25" customHeight="1" x14ac:dyDescent="0.35">
      <c r="A254" s="10"/>
      <c r="B254" s="10"/>
      <c r="C254" s="10"/>
      <c r="D254" s="10"/>
      <c r="E254" s="10"/>
      <c r="F254" s="10"/>
      <c r="G254" s="10"/>
      <c r="H254" s="10"/>
    </row>
    <row r="255" spans="1:8" ht="14.25" customHeight="1" x14ac:dyDescent="0.35">
      <c r="A255" s="10"/>
      <c r="B255" s="10"/>
      <c r="C255" s="10"/>
      <c r="D255" s="10"/>
      <c r="E255" s="10"/>
      <c r="F255" s="10"/>
      <c r="G255" s="10"/>
      <c r="H255" s="10"/>
    </row>
    <row r="256" spans="1:8" ht="14.25" customHeight="1" x14ac:dyDescent="0.35">
      <c r="A256" s="10"/>
      <c r="B256" s="10"/>
      <c r="C256" s="10"/>
      <c r="D256" s="10"/>
      <c r="E256" s="10"/>
      <c r="F256" s="10"/>
      <c r="G256" s="10"/>
      <c r="H256" s="10"/>
    </row>
    <row r="257" spans="1:8" ht="14.25" customHeight="1" x14ac:dyDescent="0.35">
      <c r="A257" s="10"/>
      <c r="B257" s="10"/>
      <c r="C257" s="10"/>
      <c r="D257" s="10"/>
      <c r="E257" s="10"/>
      <c r="F257" s="10"/>
      <c r="G257" s="10"/>
      <c r="H257" s="10"/>
    </row>
    <row r="258" spans="1:8" ht="14.25" customHeight="1" x14ac:dyDescent="0.35">
      <c r="A258" s="10"/>
      <c r="B258" s="10"/>
      <c r="C258" s="10"/>
      <c r="D258" s="10"/>
      <c r="E258" s="10"/>
      <c r="F258" s="10"/>
      <c r="G258" s="10"/>
      <c r="H258" s="10"/>
    </row>
    <row r="259" spans="1:8" ht="14.25" customHeight="1" x14ac:dyDescent="0.35">
      <c r="A259" s="10"/>
      <c r="B259" s="10"/>
      <c r="C259" s="10"/>
      <c r="D259" s="10"/>
      <c r="E259" s="10"/>
      <c r="F259" s="10"/>
      <c r="G259" s="10"/>
      <c r="H259" s="10"/>
    </row>
    <row r="260" spans="1:8" ht="14.25" customHeight="1" x14ac:dyDescent="0.35">
      <c r="A260" s="10"/>
      <c r="B260" s="10"/>
      <c r="C260" s="10"/>
      <c r="D260" s="10"/>
      <c r="E260" s="10"/>
      <c r="F260" s="10"/>
      <c r="G260" s="10"/>
      <c r="H260" s="10"/>
    </row>
    <row r="261" spans="1:8" ht="14.25" customHeight="1" x14ac:dyDescent="0.35">
      <c r="A261" s="10"/>
      <c r="B261" s="10"/>
      <c r="C261" s="10"/>
      <c r="D261" s="10"/>
      <c r="E261" s="10"/>
      <c r="F261" s="10"/>
      <c r="G261" s="10"/>
      <c r="H261" s="10"/>
    </row>
    <row r="262" spans="1:8" ht="14.25" customHeight="1" x14ac:dyDescent="0.35">
      <c r="A262" s="10"/>
      <c r="B262" s="10"/>
      <c r="C262" s="10"/>
      <c r="D262" s="10"/>
      <c r="E262" s="10"/>
      <c r="F262" s="10"/>
      <c r="G262" s="10"/>
      <c r="H262" s="10"/>
    </row>
    <row r="263" spans="1:8" ht="14.25" customHeight="1" x14ac:dyDescent="0.35">
      <c r="A263" s="10"/>
      <c r="B263" s="10"/>
      <c r="C263" s="10"/>
      <c r="D263" s="10"/>
      <c r="E263" s="10"/>
      <c r="F263" s="10"/>
      <c r="G263" s="10"/>
      <c r="H263" s="10"/>
    </row>
    <row r="264" spans="1:8" ht="14.25" customHeight="1" x14ac:dyDescent="0.35">
      <c r="A264" s="10"/>
      <c r="B264" s="10"/>
      <c r="C264" s="10"/>
      <c r="D264" s="10"/>
      <c r="E264" s="10"/>
      <c r="F264" s="10"/>
      <c r="G264" s="10"/>
      <c r="H264" s="10"/>
    </row>
    <row r="265" spans="1:8" ht="14.25" customHeight="1" x14ac:dyDescent="0.35">
      <c r="A265" s="10"/>
      <c r="B265" s="10"/>
      <c r="C265" s="10"/>
      <c r="D265" s="10"/>
      <c r="E265" s="10"/>
      <c r="F265" s="10"/>
      <c r="G265" s="10"/>
      <c r="H265" s="10"/>
    </row>
    <row r="266" spans="1:8" ht="14.25" customHeight="1" x14ac:dyDescent="0.35">
      <c r="A266" s="10"/>
      <c r="B266" s="10"/>
      <c r="C266" s="10"/>
      <c r="D266" s="10"/>
      <c r="E266" s="10"/>
      <c r="F266" s="10"/>
      <c r="G266" s="10"/>
      <c r="H266" s="10"/>
    </row>
    <row r="267" spans="1:8" ht="14.25" customHeight="1" x14ac:dyDescent="0.35">
      <c r="A267" s="10"/>
      <c r="B267" s="10"/>
      <c r="C267" s="10"/>
      <c r="D267" s="10"/>
      <c r="E267" s="10"/>
      <c r="F267" s="10"/>
      <c r="G267" s="10"/>
      <c r="H267" s="10"/>
    </row>
    <row r="268" spans="1:8" ht="14.25" customHeight="1" x14ac:dyDescent="0.35">
      <c r="A268" s="10"/>
      <c r="B268" s="10"/>
      <c r="C268" s="10"/>
      <c r="D268" s="10"/>
      <c r="E268" s="10"/>
      <c r="F268" s="10"/>
      <c r="G268" s="10"/>
      <c r="H268" s="10"/>
    </row>
    <row r="269" spans="1:8" ht="14.25" customHeight="1" x14ac:dyDescent="0.35">
      <c r="A269" s="10"/>
      <c r="B269" s="10"/>
      <c r="C269" s="10"/>
      <c r="D269" s="10"/>
      <c r="E269" s="10"/>
      <c r="F269" s="10"/>
      <c r="G269" s="10"/>
      <c r="H269" s="10"/>
    </row>
    <row r="270" spans="1:8" ht="14.25" customHeight="1" x14ac:dyDescent="0.35">
      <c r="A270" s="10"/>
      <c r="B270" s="10"/>
      <c r="C270" s="10"/>
      <c r="D270" s="10"/>
      <c r="E270" s="10"/>
      <c r="F270" s="10"/>
      <c r="G270" s="10"/>
      <c r="H270" s="10"/>
    </row>
    <row r="271" spans="1:8" ht="14.25" customHeight="1" x14ac:dyDescent="0.35">
      <c r="A271" s="10"/>
      <c r="B271" s="10"/>
      <c r="C271" s="10"/>
      <c r="D271" s="10"/>
      <c r="E271" s="10"/>
      <c r="F271" s="10"/>
      <c r="G271" s="10"/>
      <c r="H271" s="10"/>
    </row>
    <row r="272" spans="1:8" ht="14.25" customHeight="1" x14ac:dyDescent="0.35">
      <c r="A272" s="10"/>
      <c r="B272" s="10"/>
      <c r="C272" s="10"/>
      <c r="D272" s="10"/>
      <c r="E272" s="10"/>
      <c r="F272" s="10"/>
      <c r="G272" s="10"/>
      <c r="H272" s="10"/>
    </row>
    <row r="273" spans="1:8" ht="14.25" customHeight="1" x14ac:dyDescent="0.35">
      <c r="A273" s="10"/>
      <c r="B273" s="10"/>
      <c r="C273" s="10"/>
      <c r="D273" s="10"/>
      <c r="E273" s="10"/>
      <c r="F273" s="10"/>
      <c r="G273" s="10"/>
      <c r="H273" s="10"/>
    </row>
    <row r="274" spans="1:8" ht="14.25" customHeight="1" x14ac:dyDescent="0.35">
      <c r="A274" s="10"/>
      <c r="B274" s="10"/>
      <c r="C274" s="10"/>
      <c r="D274" s="10"/>
      <c r="E274" s="10"/>
      <c r="F274" s="10"/>
      <c r="G274" s="10"/>
      <c r="H274" s="10"/>
    </row>
    <row r="275" spans="1:8" ht="14.25" customHeight="1" x14ac:dyDescent="0.35">
      <c r="A275" s="10"/>
      <c r="B275" s="10"/>
      <c r="C275" s="10"/>
      <c r="D275" s="10"/>
      <c r="E275" s="10"/>
      <c r="F275" s="10"/>
      <c r="G275" s="10"/>
      <c r="H275" s="10"/>
    </row>
    <row r="276" spans="1:8" ht="14.25" customHeight="1" x14ac:dyDescent="0.35">
      <c r="A276" s="10"/>
      <c r="B276" s="10"/>
      <c r="C276" s="10"/>
      <c r="D276" s="10"/>
      <c r="E276" s="10"/>
      <c r="F276" s="10"/>
      <c r="G276" s="10"/>
      <c r="H276" s="10"/>
    </row>
    <row r="277" spans="1:8" ht="14.25" customHeight="1" x14ac:dyDescent="0.35">
      <c r="A277" s="10"/>
      <c r="B277" s="10"/>
      <c r="C277" s="10"/>
      <c r="D277" s="10"/>
      <c r="E277" s="10"/>
      <c r="F277" s="10"/>
      <c r="G277" s="10"/>
      <c r="H277" s="10"/>
    </row>
    <row r="278" spans="1:8" ht="14.25" customHeight="1" x14ac:dyDescent="0.35">
      <c r="A278" s="10"/>
      <c r="B278" s="10"/>
      <c r="C278" s="10"/>
      <c r="D278" s="10"/>
      <c r="E278" s="10"/>
      <c r="F278" s="10"/>
      <c r="G278" s="10"/>
      <c r="H278" s="10"/>
    </row>
    <row r="279" spans="1:8" ht="14.25" customHeight="1" x14ac:dyDescent="0.35">
      <c r="A279" s="10"/>
      <c r="B279" s="10"/>
      <c r="C279" s="10"/>
      <c r="D279" s="10"/>
      <c r="E279" s="10"/>
      <c r="F279" s="10"/>
      <c r="G279" s="10"/>
      <c r="H279" s="10"/>
    </row>
    <row r="280" spans="1:8" ht="14.25" customHeight="1" x14ac:dyDescent="0.35">
      <c r="A280" s="10"/>
      <c r="B280" s="10"/>
      <c r="C280" s="10"/>
      <c r="D280" s="10"/>
      <c r="E280" s="10"/>
      <c r="F280" s="10"/>
      <c r="G280" s="10"/>
      <c r="H280" s="10"/>
    </row>
    <row r="281" spans="1:8" ht="14.25" customHeight="1" x14ac:dyDescent="0.35">
      <c r="A281" s="10"/>
      <c r="B281" s="10"/>
      <c r="C281" s="10"/>
      <c r="D281" s="10"/>
      <c r="E281" s="10"/>
      <c r="F281" s="10"/>
      <c r="G281" s="10"/>
      <c r="H281" s="10"/>
    </row>
    <row r="282" spans="1:8" ht="14.25" customHeight="1" x14ac:dyDescent="0.35">
      <c r="A282" s="10"/>
      <c r="B282" s="10"/>
      <c r="C282" s="10"/>
      <c r="D282" s="10"/>
      <c r="E282" s="10"/>
      <c r="F282" s="10"/>
      <c r="G282" s="10"/>
      <c r="H282" s="10"/>
    </row>
    <row r="283" spans="1:8" ht="14.25" customHeight="1" x14ac:dyDescent="0.35">
      <c r="A283" s="10"/>
      <c r="B283" s="10"/>
      <c r="C283" s="10"/>
      <c r="D283" s="10"/>
      <c r="E283" s="10"/>
      <c r="F283" s="10"/>
      <c r="G283" s="10"/>
      <c r="H283" s="10"/>
    </row>
    <row r="284" spans="1:8" ht="14.25" customHeight="1" x14ac:dyDescent="0.35">
      <c r="A284" s="10"/>
      <c r="B284" s="10"/>
      <c r="C284" s="10"/>
      <c r="D284" s="10"/>
      <c r="E284" s="10"/>
      <c r="F284" s="10"/>
      <c r="G284" s="10"/>
      <c r="H284" s="10"/>
    </row>
    <row r="285" spans="1:8" ht="14.25" customHeight="1" x14ac:dyDescent="0.35">
      <c r="A285" s="10"/>
      <c r="B285" s="10"/>
      <c r="C285" s="10"/>
      <c r="D285" s="10"/>
      <c r="E285" s="10"/>
      <c r="F285" s="10"/>
      <c r="G285" s="10"/>
      <c r="H285" s="10"/>
    </row>
    <row r="286" spans="1:8" ht="14.25" customHeight="1" x14ac:dyDescent="0.35">
      <c r="A286" s="10"/>
      <c r="B286" s="10"/>
      <c r="C286" s="10"/>
      <c r="D286" s="10"/>
      <c r="E286" s="10"/>
      <c r="F286" s="10"/>
      <c r="G286" s="10"/>
      <c r="H286" s="10"/>
    </row>
    <row r="287" spans="1:8" ht="14.25" customHeight="1" x14ac:dyDescent="0.35">
      <c r="A287" s="10"/>
      <c r="B287" s="10"/>
      <c r="C287" s="10"/>
      <c r="D287" s="10"/>
      <c r="E287" s="10"/>
      <c r="F287" s="10"/>
      <c r="G287" s="10"/>
      <c r="H287" s="10"/>
    </row>
    <row r="288" spans="1:8" ht="14.25" customHeight="1" x14ac:dyDescent="0.35">
      <c r="A288" s="10"/>
      <c r="B288" s="10"/>
      <c r="C288" s="10"/>
      <c r="D288" s="10"/>
      <c r="E288" s="10"/>
      <c r="F288" s="10"/>
      <c r="G288" s="10"/>
      <c r="H288" s="10"/>
    </row>
    <row r="289" spans="1:8" ht="14.25" customHeight="1" x14ac:dyDescent="0.35">
      <c r="A289" s="10"/>
      <c r="B289" s="10"/>
      <c r="C289" s="10"/>
      <c r="D289" s="10"/>
      <c r="E289" s="10"/>
      <c r="F289" s="10"/>
      <c r="G289" s="10"/>
      <c r="H289" s="10"/>
    </row>
    <row r="290" spans="1:8" ht="14.25" customHeight="1" x14ac:dyDescent="0.35">
      <c r="A290" s="10"/>
      <c r="B290" s="10"/>
      <c r="C290" s="10"/>
      <c r="D290" s="10"/>
      <c r="E290" s="10"/>
      <c r="F290" s="10"/>
      <c r="G290" s="10"/>
      <c r="H290" s="10"/>
    </row>
    <row r="291" spans="1:8" ht="14.25" customHeight="1" x14ac:dyDescent="0.35">
      <c r="A291" s="10"/>
      <c r="B291" s="10"/>
      <c r="C291" s="10"/>
      <c r="D291" s="10"/>
      <c r="E291" s="10"/>
      <c r="F291" s="10"/>
      <c r="G291" s="10"/>
      <c r="H291" s="10"/>
    </row>
    <row r="292" spans="1:8" ht="14.25" customHeight="1" x14ac:dyDescent="0.35">
      <c r="A292" s="10"/>
      <c r="B292" s="10"/>
      <c r="C292" s="10"/>
      <c r="D292" s="10"/>
      <c r="E292" s="10"/>
      <c r="F292" s="10"/>
      <c r="G292" s="10"/>
      <c r="H292" s="10"/>
    </row>
    <row r="293" spans="1:8" ht="14.25" customHeight="1" x14ac:dyDescent="0.35">
      <c r="A293" s="10"/>
      <c r="B293" s="10"/>
      <c r="C293" s="10"/>
      <c r="D293" s="10"/>
      <c r="E293" s="10"/>
      <c r="F293" s="10"/>
      <c r="G293" s="10"/>
      <c r="H293" s="10"/>
    </row>
    <row r="294" spans="1:8" ht="14.25" customHeight="1" x14ac:dyDescent="0.35">
      <c r="A294" s="10"/>
      <c r="B294" s="10"/>
      <c r="C294" s="10"/>
      <c r="D294" s="10"/>
      <c r="E294" s="10"/>
      <c r="F294" s="10"/>
      <c r="G294" s="10"/>
      <c r="H294" s="10"/>
    </row>
    <row r="295" spans="1:8" ht="14.25" customHeight="1" x14ac:dyDescent="0.35">
      <c r="A295" s="10"/>
      <c r="B295" s="10"/>
      <c r="C295" s="10"/>
      <c r="D295" s="10"/>
      <c r="E295" s="10"/>
      <c r="F295" s="10"/>
      <c r="G295" s="10"/>
      <c r="H295" s="10"/>
    </row>
    <row r="296" spans="1:8" ht="14.25" customHeight="1" x14ac:dyDescent="0.35">
      <c r="A296" s="10"/>
      <c r="B296" s="10"/>
      <c r="C296" s="10"/>
      <c r="D296" s="10"/>
      <c r="E296" s="10"/>
      <c r="F296" s="10"/>
      <c r="G296" s="10"/>
      <c r="H296" s="10"/>
    </row>
    <row r="297" spans="1:8" ht="14.25" customHeight="1" x14ac:dyDescent="0.35">
      <c r="A297" s="10"/>
      <c r="B297" s="10"/>
      <c r="C297" s="10"/>
      <c r="D297" s="10"/>
      <c r="E297" s="10"/>
      <c r="F297" s="10"/>
      <c r="G297" s="10"/>
      <c r="H297" s="10"/>
    </row>
    <row r="298" spans="1:8" ht="14.25" customHeight="1" x14ac:dyDescent="0.35">
      <c r="A298" s="10"/>
      <c r="B298" s="10"/>
      <c r="C298" s="10"/>
      <c r="D298" s="10"/>
      <c r="E298" s="10"/>
      <c r="F298" s="10"/>
      <c r="G298" s="10"/>
      <c r="H298" s="10"/>
    </row>
    <row r="299" spans="1:8" ht="14.25" customHeight="1" x14ac:dyDescent="0.35">
      <c r="A299" s="10"/>
      <c r="B299" s="10"/>
      <c r="C299" s="10"/>
      <c r="D299" s="10"/>
      <c r="E299" s="10"/>
      <c r="F299" s="10"/>
      <c r="G299" s="10"/>
      <c r="H299" s="10"/>
    </row>
    <row r="300" spans="1:8" ht="14.25" customHeight="1" x14ac:dyDescent="0.35">
      <c r="A300" s="10"/>
      <c r="B300" s="10"/>
      <c r="C300" s="10"/>
      <c r="D300" s="10"/>
      <c r="E300" s="10"/>
      <c r="F300" s="10"/>
      <c r="G300" s="10"/>
      <c r="H300" s="10"/>
    </row>
    <row r="301" spans="1:8" ht="14.25" customHeight="1" x14ac:dyDescent="0.35">
      <c r="A301" s="10"/>
      <c r="B301" s="10"/>
      <c r="C301" s="10"/>
      <c r="D301" s="10"/>
      <c r="E301" s="10"/>
      <c r="F301" s="10"/>
      <c r="G301" s="10"/>
      <c r="H301" s="10"/>
    </row>
    <row r="302" spans="1:8" ht="14.25" customHeight="1" x14ac:dyDescent="0.35">
      <c r="A302" s="10"/>
      <c r="B302" s="10"/>
      <c r="C302" s="10"/>
      <c r="D302" s="10"/>
      <c r="E302" s="10"/>
      <c r="F302" s="10"/>
      <c r="G302" s="10"/>
      <c r="H302" s="10"/>
    </row>
    <row r="303" spans="1:8" ht="14.25" customHeight="1" x14ac:dyDescent="0.35">
      <c r="A303" s="10"/>
      <c r="B303" s="10"/>
      <c r="C303" s="10"/>
      <c r="D303" s="10"/>
      <c r="E303" s="10"/>
      <c r="F303" s="10"/>
      <c r="G303" s="10"/>
      <c r="H303" s="10"/>
    </row>
    <row r="304" spans="1:8" ht="14.25" customHeight="1" x14ac:dyDescent="0.35">
      <c r="A304" s="10"/>
      <c r="B304" s="10"/>
      <c r="C304" s="10"/>
      <c r="D304" s="10"/>
      <c r="E304" s="10"/>
      <c r="F304" s="10"/>
      <c r="G304" s="10"/>
      <c r="H304" s="10"/>
    </row>
    <row r="305" spans="1:8" ht="14.25" customHeight="1" x14ac:dyDescent="0.35">
      <c r="A305" s="10"/>
      <c r="B305" s="10"/>
      <c r="C305" s="10"/>
      <c r="D305" s="10"/>
      <c r="E305" s="10"/>
      <c r="F305" s="10"/>
      <c r="G305" s="10"/>
      <c r="H305" s="10"/>
    </row>
    <row r="306" spans="1:8" ht="14.25" customHeight="1" x14ac:dyDescent="0.35">
      <c r="A306" s="10"/>
      <c r="B306" s="10"/>
      <c r="C306" s="10"/>
      <c r="D306" s="10"/>
      <c r="E306" s="10"/>
      <c r="F306" s="10"/>
      <c r="G306" s="10"/>
      <c r="H306" s="10"/>
    </row>
    <row r="307" spans="1:8" ht="14.25" customHeight="1" x14ac:dyDescent="0.35">
      <c r="A307" s="10"/>
      <c r="B307" s="10"/>
      <c r="C307" s="10"/>
      <c r="D307" s="10"/>
      <c r="E307" s="10"/>
      <c r="F307" s="10"/>
      <c r="G307" s="10"/>
      <c r="H307" s="10"/>
    </row>
    <row r="308" spans="1:8" ht="14.25" customHeight="1" x14ac:dyDescent="0.35">
      <c r="A308" s="10"/>
      <c r="B308" s="10"/>
      <c r="C308" s="10"/>
      <c r="D308" s="10"/>
      <c r="E308" s="10"/>
      <c r="F308" s="10"/>
      <c r="G308" s="10"/>
      <c r="H308" s="10"/>
    </row>
    <row r="309" spans="1:8" ht="14.25" customHeight="1" x14ac:dyDescent="0.35">
      <c r="A309" s="10"/>
      <c r="B309" s="10"/>
      <c r="C309" s="10"/>
      <c r="D309" s="10"/>
      <c r="E309" s="10"/>
      <c r="F309" s="10"/>
      <c r="G309" s="10"/>
      <c r="H309" s="10"/>
    </row>
    <row r="310" spans="1:8" ht="14.25" customHeight="1" x14ac:dyDescent="0.35">
      <c r="A310" s="10"/>
      <c r="B310" s="10"/>
      <c r="C310" s="10"/>
      <c r="D310" s="10"/>
      <c r="E310" s="10"/>
      <c r="F310" s="10"/>
      <c r="G310" s="10"/>
      <c r="H310" s="10"/>
    </row>
    <row r="311" spans="1:8" ht="14.25" customHeight="1" x14ac:dyDescent="0.35">
      <c r="A311" s="10"/>
      <c r="B311" s="10"/>
      <c r="C311" s="10"/>
      <c r="D311" s="10"/>
      <c r="E311" s="10"/>
      <c r="F311" s="10"/>
      <c r="G311" s="10"/>
      <c r="H311" s="10"/>
    </row>
    <row r="312" spans="1:8" ht="14.25" customHeight="1" x14ac:dyDescent="0.35">
      <c r="A312" s="10"/>
      <c r="B312" s="10"/>
      <c r="C312" s="10"/>
      <c r="D312" s="10"/>
      <c r="E312" s="10"/>
      <c r="F312" s="10"/>
      <c r="G312" s="10"/>
      <c r="H312" s="10"/>
    </row>
    <row r="313" spans="1:8" ht="14.25" customHeight="1" x14ac:dyDescent="0.35">
      <c r="A313" s="10"/>
      <c r="B313" s="10"/>
      <c r="C313" s="10"/>
      <c r="D313" s="10"/>
      <c r="E313" s="10"/>
      <c r="F313" s="10"/>
      <c r="G313" s="10"/>
      <c r="H313" s="10"/>
    </row>
    <row r="314" spans="1:8" ht="14.25" customHeight="1" x14ac:dyDescent="0.35">
      <c r="A314" s="10"/>
      <c r="B314" s="10"/>
      <c r="C314" s="10"/>
      <c r="D314" s="10"/>
      <c r="E314" s="10"/>
      <c r="F314" s="10"/>
      <c r="G314" s="10"/>
      <c r="H314" s="10"/>
    </row>
    <row r="315" spans="1:8" ht="14.25" customHeight="1" x14ac:dyDescent="0.35">
      <c r="A315" s="10"/>
      <c r="B315" s="10"/>
      <c r="C315" s="10"/>
      <c r="D315" s="10"/>
      <c r="E315" s="10"/>
      <c r="F315" s="10"/>
      <c r="G315" s="10"/>
      <c r="H315" s="10"/>
    </row>
    <row r="316" spans="1:8" ht="14.25" customHeight="1" x14ac:dyDescent="0.35">
      <c r="A316" s="10"/>
      <c r="B316" s="10"/>
      <c r="C316" s="10"/>
      <c r="D316" s="10"/>
      <c r="E316" s="10"/>
      <c r="F316" s="10"/>
      <c r="G316" s="10"/>
      <c r="H316" s="10"/>
    </row>
    <row r="317" spans="1:8" ht="14.25" customHeight="1" x14ac:dyDescent="0.35">
      <c r="A317" s="10"/>
      <c r="B317" s="10"/>
      <c r="C317" s="10"/>
      <c r="D317" s="10"/>
      <c r="E317" s="10"/>
      <c r="F317" s="10"/>
      <c r="G317" s="10"/>
      <c r="H317" s="10"/>
    </row>
    <row r="318" spans="1:8" ht="14.25" customHeight="1" x14ac:dyDescent="0.35">
      <c r="A318" s="10"/>
      <c r="B318" s="10"/>
      <c r="C318" s="10"/>
      <c r="D318" s="10"/>
      <c r="E318" s="10"/>
      <c r="F318" s="10"/>
      <c r="G318" s="10"/>
      <c r="H318" s="10"/>
    </row>
    <row r="319" spans="1:8" ht="14.25" customHeight="1" x14ac:dyDescent="0.35">
      <c r="A319" s="10"/>
      <c r="B319" s="10"/>
      <c r="C319" s="10"/>
      <c r="D319" s="10"/>
      <c r="E319" s="10"/>
      <c r="F319" s="10"/>
      <c r="G319" s="10"/>
      <c r="H319" s="10"/>
    </row>
    <row r="320" spans="1:8" ht="14.25" customHeight="1" x14ac:dyDescent="0.35">
      <c r="A320" s="10"/>
      <c r="B320" s="10"/>
      <c r="C320" s="10"/>
      <c r="D320" s="10"/>
      <c r="E320" s="10"/>
      <c r="F320" s="10"/>
      <c r="G320" s="10"/>
      <c r="H320" s="10"/>
    </row>
    <row r="321" spans="1:8" ht="14.25" customHeight="1" x14ac:dyDescent="0.35">
      <c r="A321" s="10"/>
      <c r="B321" s="10"/>
      <c r="C321" s="10"/>
      <c r="D321" s="10"/>
      <c r="E321" s="10"/>
      <c r="F321" s="10"/>
      <c r="G321" s="10"/>
      <c r="H321" s="10"/>
    </row>
    <row r="322" spans="1:8" ht="14.25" customHeight="1" x14ac:dyDescent="0.35">
      <c r="A322" s="10"/>
      <c r="B322" s="10"/>
      <c r="C322" s="10"/>
      <c r="D322" s="10"/>
      <c r="E322" s="10"/>
      <c r="F322" s="10"/>
      <c r="G322" s="10"/>
      <c r="H322" s="10"/>
    </row>
    <row r="323" spans="1:8" ht="14.25" customHeight="1" x14ac:dyDescent="0.35">
      <c r="A323" s="10"/>
      <c r="B323" s="10"/>
      <c r="C323" s="10"/>
      <c r="D323" s="10"/>
      <c r="E323" s="10"/>
      <c r="F323" s="10"/>
      <c r="G323" s="10"/>
      <c r="H323" s="10"/>
    </row>
    <row r="324" spans="1:8" ht="14.25" customHeight="1" x14ac:dyDescent="0.35">
      <c r="A324" s="10"/>
      <c r="B324" s="10"/>
      <c r="C324" s="10"/>
      <c r="D324" s="10"/>
      <c r="E324" s="10"/>
      <c r="F324" s="10"/>
      <c r="G324" s="10"/>
      <c r="H324" s="10"/>
    </row>
    <row r="325" spans="1:8" ht="14.25" customHeight="1" x14ac:dyDescent="0.35">
      <c r="A325" s="10"/>
      <c r="B325" s="10"/>
      <c r="C325" s="10"/>
      <c r="D325" s="10"/>
      <c r="E325" s="10"/>
      <c r="F325" s="10"/>
      <c r="G325" s="10"/>
      <c r="H325" s="10"/>
    </row>
    <row r="326" spans="1:8" ht="14.25" customHeight="1" x14ac:dyDescent="0.35">
      <c r="A326" s="10"/>
      <c r="B326" s="10"/>
      <c r="C326" s="10"/>
      <c r="D326" s="10"/>
      <c r="E326" s="10"/>
      <c r="F326" s="10"/>
      <c r="G326" s="10"/>
      <c r="H326" s="10"/>
    </row>
    <row r="327" spans="1:8" ht="14.25" customHeight="1" x14ac:dyDescent="0.35">
      <c r="A327" s="10"/>
      <c r="B327" s="10"/>
      <c r="C327" s="10"/>
      <c r="D327" s="10"/>
      <c r="E327" s="10"/>
      <c r="F327" s="10"/>
      <c r="G327" s="10"/>
      <c r="H327" s="10"/>
    </row>
    <row r="328" spans="1:8" ht="14.25" customHeight="1" x14ac:dyDescent="0.35">
      <c r="A328" s="10"/>
      <c r="B328" s="10"/>
      <c r="C328" s="10"/>
      <c r="D328" s="10"/>
      <c r="E328" s="10"/>
      <c r="F328" s="10"/>
      <c r="G328" s="10"/>
      <c r="H328" s="10"/>
    </row>
    <row r="329" spans="1:8" ht="14.25" customHeight="1" x14ac:dyDescent="0.35">
      <c r="A329" s="10"/>
      <c r="B329" s="10"/>
      <c r="C329" s="10"/>
      <c r="D329" s="10"/>
      <c r="E329" s="10"/>
      <c r="F329" s="10"/>
      <c r="G329" s="10"/>
      <c r="H329" s="10"/>
    </row>
    <row r="330" spans="1:8" ht="14.25" customHeight="1" x14ac:dyDescent="0.35">
      <c r="A330" s="10"/>
      <c r="B330" s="10"/>
      <c r="C330" s="10"/>
      <c r="D330" s="10"/>
      <c r="E330" s="10"/>
      <c r="F330" s="10"/>
      <c r="G330" s="10"/>
      <c r="H330" s="10"/>
    </row>
    <row r="331" spans="1:8" ht="14.25" customHeight="1" x14ac:dyDescent="0.35">
      <c r="A331" s="10"/>
      <c r="B331" s="10"/>
      <c r="C331" s="10"/>
      <c r="D331" s="10"/>
      <c r="E331" s="10"/>
      <c r="F331" s="10"/>
      <c r="G331" s="10"/>
      <c r="H331" s="10"/>
    </row>
    <row r="332" spans="1:8" ht="14.25" customHeight="1" x14ac:dyDescent="0.35">
      <c r="A332" s="10"/>
      <c r="B332" s="10"/>
      <c r="C332" s="10"/>
      <c r="D332" s="10"/>
      <c r="E332" s="10"/>
      <c r="F332" s="10"/>
      <c r="G332" s="10"/>
      <c r="H332" s="10"/>
    </row>
    <row r="333" spans="1:8" ht="14.25" customHeight="1" x14ac:dyDescent="0.35">
      <c r="A333" s="10"/>
      <c r="B333" s="10"/>
      <c r="C333" s="10"/>
      <c r="D333" s="10"/>
      <c r="E333" s="10"/>
      <c r="F333" s="10"/>
      <c r="G333" s="10"/>
      <c r="H333" s="10"/>
    </row>
    <row r="334" spans="1:8" ht="14.25" customHeight="1" x14ac:dyDescent="0.35">
      <c r="A334" s="10"/>
      <c r="B334" s="10"/>
      <c r="C334" s="10"/>
      <c r="D334" s="10"/>
      <c r="E334" s="10"/>
      <c r="F334" s="10"/>
      <c r="G334" s="10"/>
      <c r="H334" s="10"/>
    </row>
    <row r="335" spans="1:8" ht="14.25" customHeight="1" x14ac:dyDescent="0.35">
      <c r="A335" s="10"/>
      <c r="B335" s="10"/>
      <c r="C335" s="10"/>
      <c r="D335" s="10"/>
      <c r="E335" s="10"/>
      <c r="F335" s="10"/>
      <c r="G335" s="10"/>
      <c r="H335" s="10"/>
    </row>
    <row r="336" spans="1:8" ht="14.25" customHeight="1" x14ac:dyDescent="0.35">
      <c r="A336" s="10"/>
      <c r="B336" s="10"/>
      <c r="C336" s="10"/>
      <c r="D336" s="10"/>
      <c r="E336" s="10"/>
      <c r="F336" s="10"/>
      <c r="G336" s="10"/>
      <c r="H336" s="10"/>
    </row>
    <row r="337" spans="1:8" ht="14.25" customHeight="1" x14ac:dyDescent="0.35">
      <c r="A337" s="10"/>
      <c r="B337" s="10"/>
      <c r="C337" s="10"/>
      <c r="D337" s="10"/>
      <c r="E337" s="10"/>
      <c r="F337" s="10"/>
      <c r="G337" s="10"/>
      <c r="H337" s="10"/>
    </row>
    <row r="338" spans="1:8" ht="14.25" customHeight="1" x14ac:dyDescent="0.35">
      <c r="A338" s="10"/>
      <c r="B338" s="10"/>
      <c r="C338" s="10"/>
      <c r="D338" s="10"/>
      <c r="E338" s="10"/>
      <c r="F338" s="10"/>
      <c r="G338" s="10"/>
      <c r="H338" s="10"/>
    </row>
    <row r="339" spans="1:8" ht="14.25" customHeight="1" x14ac:dyDescent="0.35">
      <c r="A339" s="10"/>
      <c r="B339" s="10"/>
      <c r="C339" s="10"/>
      <c r="D339" s="10"/>
      <c r="E339" s="10"/>
      <c r="F339" s="10"/>
      <c r="G339" s="10"/>
      <c r="H339" s="10"/>
    </row>
    <row r="340" spans="1:8" ht="14.25" customHeight="1" x14ac:dyDescent="0.35">
      <c r="A340" s="10"/>
      <c r="B340" s="10"/>
      <c r="C340" s="10"/>
      <c r="D340" s="10"/>
      <c r="E340" s="10"/>
      <c r="F340" s="10"/>
      <c r="G340" s="10"/>
      <c r="H340" s="10"/>
    </row>
    <row r="341" spans="1:8" ht="14.25" customHeight="1" x14ac:dyDescent="0.35">
      <c r="A341" s="10"/>
      <c r="B341" s="10"/>
      <c r="C341" s="10"/>
      <c r="D341" s="10"/>
      <c r="E341" s="10"/>
      <c r="F341" s="10"/>
      <c r="G341" s="10"/>
      <c r="H341" s="10"/>
    </row>
    <row r="342" spans="1:8" ht="14.25" customHeight="1" x14ac:dyDescent="0.35">
      <c r="A342" s="10"/>
      <c r="B342" s="10"/>
      <c r="C342" s="10"/>
      <c r="D342" s="10"/>
      <c r="E342" s="10"/>
      <c r="F342" s="10"/>
      <c r="G342" s="10"/>
      <c r="H342" s="10"/>
    </row>
    <row r="343" spans="1:8" ht="14.25" customHeight="1" x14ac:dyDescent="0.35">
      <c r="A343" s="10"/>
      <c r="B343" s="10"/>
      <c r="C343" s="10"/>
      <c r="D343" s="10"/>
      <c r="E343" s="10"/>
      <c r="F343" s="10"/>
      <c r="G343" s="10"/>
      <c r="H343" s="10"/>
    </row>
    <row r="344" spans="1:8" ht="14.25" customHeight="1" x14ac:dyDescent="0.35">
      <c r="A344" s="10"/>
      <c r="B344" s="10"/>
      <c r="C344" s="10"/>
      <c r="D344" s="10"/>
      <c r="E344" s="10"/>
      <c r="F344" s="10"/>
      <c r="G344" s="10"/>
      <c r="H344" s="10"/>
    </row>
    <row r="345" spans="1:8" ht="14.25" customHeight="1" x14ac:dyDescent="0.35">
      <c r="A345" s="10"/>
      <c r="B345" s="10"/>
      <c r="C345" s="10"/>
      <c r="D345" s="10"/>
      <c r="E345" s="10"/>
      <c r="F345" s="10"/>
      <c r="G345" s="10"/>
      <c r="H345" s="10"/>
    </row>
    <row r="346" spans="1:8" ht="14.25" customHeight="1" x14ac:dyDescent="0.35">
      <c r="A346" s="10"/>
      <c r="B346" s="10"/>
      <c r="C346" s="10"/>
      <c r="D346" s="10"/>
      <c r="E346" s="10"/>
      <c r="F346" s="10"/>
      <c r="G346" s="10"/>
      <c r="H346" s="10"/>
    </row>
    <row r="347" spans="1:8" ht="14.25" customHeight="1" x14ac:dyDescent="0.35">
      <c r="A347" s="10"/>
      <c r="B347" s="10"/>
      <c r="C347" s="10"/>
      <c r="D347" s="10"/>
      <c r="E347" s="10"/>
      <c r="F347" s="10"/>
      <c r="G347" s="10"/>
      <c r="H347" s="10"/>
    </row>
    <row r="348" spans="1:8" ht="14.25" customHeight="1" x14ac:dyDescent="0.35">
      <c r="A348" s="10"/>
      <c r="B348" s="10"/>
      <c r="C348" s="10"/>
      <c r="D348" s="10"/>
      <c r="E348" s="10"/>
      <c r="F348" s="10"/>
      <c r="G348" s="10"/>
      <c r="H348" s="10"/>
    </row>
    <row r="349" spans="1:8" ht="14.25" customHeight="1" x14ac:dyDescent="0.35">
      <c r="A349" s="10"/>
      <c r="B349" s="10"/>
      <c r="C349" s="10"/>
      <c r="D349" s="10"/>
      <c r="E349" s="10"/>
      <c r="F349" s="10"/>
      <c r="G349" s="10"/>
      <c r="H349" s="10"/>
    </row>
    <row r="350" spans="1:8" ht="14.25" customHeight="1" x14ac:dyDescent="0.35">
      <c r="A350" s="10"/>
      <c r="B350" s="10"/>
      <c r="C350" s="10"/>
      <c r="D350" s="10"/>
      <c r="E350" s="10"/>
      <c r="F350" s="10"/>
      <c r="G350" s="10"/>
      <c r="H350" s="10"/>
    </row>
    <row r="351" spans="1:8" ht="14.25" customHeight="1" x14ac:dyDescent="0.35">
      <c r="A351" s="10"/>
      <c r="B351" s="10"/>
      <c r="C351" s="10"/>
      <c r="D351" s="10"/>
      <c r="E351" s="10"/>
      <c r="F351" s="10"/>
      <c r="G351" s="10"/>
      <c r="H351" s="10"/>
    </row>
    <row r="352" spans="1:8" ht="14.25" customHeight="1" x14ac:dyDescent="0.35">
      <c r="A352" s="10"/>
      <c r="B352" s="10"/>
      <c r="C352" s="10"/>
      <c r="D352" s="10"/>
      <c r="E352" s="10"/>
      <c r="F352" s="10"/>
      <c r="G352" s="10"/>
      <c r="H352" s="10"/>
    </row>
    <row r="353" spans="1:8" ht="14.25" customHeight="1" x14ac:dyDescent="0.35">
      <c r="A353" s="10"/>
      <c r="B353" s="10"/>
      <c r="C353" s="10"/>
      <c r="D353" s="10"/>
      <c r="E353" s="10"/>
      <c r="F353" s="10"/>
      <c r="G353" s="10"/>
      <c r="H353" s="10"/>
    </row>
    <row r="354" spans="1:8" ht="14.25" customHeight="1" x14ac:dyDescent="0.35">
      <c r="A354" s="10"/>
      <c r="B354" s="10"/>
      <c r="C354" s="10"/>
      <c r="D354" s="10"/>
      <c r="E354" s="10"/>
      <c r="F354" s="10"/>
      <c r="G354" s="10"/>
      <c r="H354" s="10"/>
    </row>
    <row r="355" spans="1:8" ht="14.25" customHeight="1" x14ac:dyDescent="0.35">
      <c r="A355" s="10"/>
      <c r="B355" s="10"/>
      <c r="C355" s="10"/>
      <c r="D355" s="10"/>
      <c r="E355" s="10"/>
      <c r="F355" s="10"/>
      <c r="G355" s="10"/>
      <c r="H355" s="10"/>
    </row>
    <row r="356" spans="1:8" ht="14.25" customHeight="1" x14ac:dyDescent="0.35">
      <c r="A356" s="10"/>
      <c r="B356" s="10"/>
      <c r="C356" s="10"/>
      <c r="D356" s="10"/>
      <c r="E356" s="10"/>
      <c r="F356" s="10"/>
      <c r="G356" s="10"/>
      <c r="H356" s="10"/>
    </row>
    <row r="357" spans="1:8" ht="14.25" customHeight="1" x14ac:dyDescent="0.35">
      <c r="A357" s="10"/>
      <c r="B357" s="10"/>
      <c r="C357" s="10"/>
      <c r="D357" s="10"/>
      <c r="E357" s="10"/>
      <c r="F357" s="10"/>
      <c r="G357" s="10"/>
      <c r="H357" s="10"/>
    </row>
    <row r="358" spans="1:8" ht="14.25" customHeight="1" x14ac:dyDescent="0.35">
      <c r="A358" s="10"/>
      <c r="B358" s="10"/>
      <c r="C358" s="10"/>
      <c r="D358" s="10"/>
      <c r="E358" s="10"/>
      <c r="F358" s="10"/>
      <c r="G358" s="10"/>
      <c r="H358" s="10"/>
    </row>
    <row r="359" spans="1:8" ht="14.25" customHeight="1" x14ac:dyDescent="0.35">
      <c r="A359" s="10"/>
      <c r="B359" s="10"/>
      <c r="C359" s="10"/>
      <c r="D359" s="10"/>
      <c r="E359" s="10"/>
      <c r="F359" s="10"/>
      <c r="G359" s="10"/>
      <c r="H359" s="10"/>
    </row>
    <row r="360" spans="1:8" ht="14.25" customHeight="1" x14ac:dyDescent="0.35">
      <c r="A360" s="10"/>
      <c r="B360" s="10"/>
      <c r="C360" s="10"/>
      <c r="D360" s="10"/>
      <c r="E360" s="10"/>
      <c r="F360" s="10"/>
      <c r="G360" s="10"/>
      <c r="H360" s="10"/>
    </row>
    <row r="361" spans="1:8" ht="14.25" customHeight="1" x14ac:dyDescent="0.35">
      <c r="A361" s="10"/>
      <c r="B361" s="10"/>
      <c r="C361" s="10"/>
      <c r="D361" s="10"/>
      <c r="E361" s="10"/>
      <c r="F361" s="10"/>
      <c r="G361" s="10"/>
      <c r="H361" s="10"/>
    </row>
    <row r="362" spans="1:8" ht="14.25" customHeight="1" x14ac:dyDescent="0.35">
      <c r="A362" s="10"/>
      <c r="B362" s="10"/>
      <c r="C362" s="10"/>
      <c r="D362" s="10"/>
      <c r="E362" s="10"/>
      <c r="F362" s="10"/>
      <c r="G362" s="10"/>
      <c r="H362" s="10"/>
    </row>
    <row r="363" spans="1:8" ht="14.25" customHeight="1" x14ac:dyDescent="0.35">
      <c r="A363" s="10"/>
      <c r="B363" s="10"/>
      <c r="C363" s="10"/>
      <c r="D363" s="10"/>
      <c r="E363" s="10"/>
      <c r="F363" s="10"/>
      <c r="G363" s="10"/>
      <c r="H363" s="10"/>
    </row>
    <row r="364" spans="1:8" ht="14.25" customHeight="1" x14ac:dyDescent="0.35">
      <c r="A364" s="10"/>
      <c r="B364" s="10"/>
      <c r="C364" s="10"/>
      <c r="D364" s="10"/>
      <c r="E364" s="10"/>
      <c r="F364" s="10"/>
      <c r="G364" s="10"/>
      <c r="H364" s="10"/>
    </row>
    <row r="365" spans="1:8" ht="14.25" customHeight="1" x14ac:dyDescent="0.35">
      <c r="A365" s="10"/>
      <c r="B365" s="10"/>
      <c r="C365" s="10"/>
      <c r="D365" s="10"/>
      <c r="E365" s="10"/>
      <c r="F365" s="10"/>
      <c r="G365" s="10"/>
      <c r="H365" s="10"/>
    </row>
    <row r="366" spans="1:8" ht="14.25" customHeight="1" x14ac:dyDescent="0.35">
      <c r="A366" s="10"/>
      <c r="B366" s="10"/>
      <c r="C366" s="10"/>
      <c r="D366" s="10"/>
      <c r="E366" s="10"/>
      <c r="F366" s="10"/>
      <c r="G366" s="10"/>
      <c r="H366" s="10"/>
    </row>
    <row r="367" spans="1:8" ht="14.25" customHeight="1" x14ac:dyDescent="0.35">
      <c r="A367" s="10"/>
      <c r="B367" s="10"/>
      <c r="C367" s="10"/>
      <c r="D367" s="10"/>
      <c r="E367" s="10"/>
      <c r="F367" s="10"/>
      <c r="G367" s="10"/>
      <c r="H367" s="10"/>
    </row>
    <row r="368" spans="1:8" ht="14.25" customHeight="1" x14ac:dyDescent="0.35">
      <c r="A368" s="10"/>
      <c r="B368" s="10"/>
      <c r="C368" s="10"/>
      <c r="D368" s="10"/>
      <c r="E368" s="10"/>
      <c r="F368" s="10"/>
      <c r="G368" s="10"/>
      <c r="H368" s="10"/>
    </row>
    <row r="369" spans="1:8" ht="14.25" customHeight="1" x14ac:dyDescent="0.35">
      <c r="A369" s="10"/>
      <c r="B369" s="10"/>
      <c r="C369" s="10"/>
      <c r="D369" s="10"/>
      <c r="E369" s="10"/>
      <c r="F369" s="10"/>
      <c r="G369" s="10"/>
      <c r="H369" s="10"/>
    </row>
    <row r="370" spans="1:8" ht="14.25" customHeight="1" x14ac:dyDescent="0.35">
      <c r="A370" s="10"/>
      <c r="B370" s="10"/>
      <c r="C370" s="10"/>
      <c r="D370" s="10"/>
      <c r="E370" s="10"/>
      <c r="F370" s="10"/>
      <c r="G370" s="10"/>
      <c r="H370" s="10"/>
    </row>
    <row r="371" spans="1:8" ht="14.25" customHeight="1" x14ac:dyDescent="0.35">
      <c r="A371" s="10"/>
      <c r="B371" s="10"/>
      <c r="C371" s="10"/>
      <c r="D371" s="10"/>
      <c r="E371" s="10"/>
      <c r="F371" s="10"/>
      <c r="G371" s="10"/>
      <c r="H371" s="10"/>
    </row>
    <row r="372" spans="1:8" ht="14.25" customHeight="1" x14ac:dyDescent="0.35">
      <c r="A372" s="10"/>
      <c r="B372" s="10"/>
      <c r="C372" s="10"/>
      <c r="D372" s="10"/>
      <c r="E372" s="10"/>
      <c r="F372" s="10"/>
      <c r="G372" s="10"/>
      <c r="H372" s="10"/>
    </row>
    <row r="373" spans="1:8" ht="14.25" customHeight="1" x14ac:dyDescent="0.35">
      <c r="A373" s="10"/>
      <c r="B373" s="10"/>
      <c r="C373" s="10"/>
      <c r="D373" s="10"/>
      <c r="E373" s="10"/>
      <c r="F373" s="10"/>
      <c r="G373" s="10"/>
      <c r="H373" s="10"/>
    </row>
    <row r="374" spans="1:8" ht="14.25" customHeight="1" x14ac:dyDescent="0.35">
      <c r="A374" s="10"/>
      <c r="B374" s="10"/>
      <c r="C374" s="10"/>
      <c r="D374" s="10"/>
      <c r="E374" s="10"/>
      <c r="F374" s="10"/>
      <c r="G374" s="10"/>
      <c r="H374" s="10"/>
    </row>
    <row r="375" spans="1:8" ht="14.25" customHeight="1" x14ac:dyDescent="0.35">
      <c r="A375" s="10"/>
      <c r="B375" s="10"/>
      <c r="C375" s="10"/>
      <c r="D375" s="10"/>
      <c r="E375" s="10"/>
      <c r="F375" s="10"/>
      <c r="G375" s="10"/>
      <c r="H375" s="10"/>
    </row>
    <row r="376" spans="1:8" ht="14.25" customHeight="1" x14ac:dyDescent="0.35">
      <c r="A376" s="10"/>
      <c r="B376" s="10"/>
      <c r="C376" s="10"/>
      <c r="D376" s="10"/>
      <c r="E376" s="10"/>
      <c r="F376" s="10"/>
      <c r="G376" s="10"/>
      <c r="H376" s="10"/>
    </row>
    <row r="377" spans="1:8" ht="14.25" customHeight="1" x14ac:dyDescent="0.35">
      <c r="A377" s="10"/>
      <c r="B377" s="10"/>
      <c r="C377" s="10"/>
      <c r="D377" s="10"/>
      <c r="E377" s="10"/>
      <c r="F377" s="10"/>
      <c r="G377" s="10"/>
      <c r="H377" s="10"/>
    </row>
    <row r="378" spans="1:8" ht="14.25" customHeight="1" x14ac:dyDescent="0.35">
      <c r="A378" s="10"/>
      <c r="B378" s="10"/>
      <c r="C378" s="10"/>
      <c r="D378" s="10"/>
      <c r="E378" s="10"/>
      <c r="F378" s="10"/>
      <c r="G378" s="10"/>
      <c r="H378" s="10"/>
    </row>
    <row r="379" spans="1:8" ht="14.25" customHeight="1" x14ac:dyDescent="0.35">
      <c r="A379" s="10"/>
      <c r="B379" s="10"/>
      <c r="C379" s="10"/>
      <c r="D379" s="10"/>
      <c r="E379" s="10"/>
      <c r="F379" s="10"/>
      <c r="G379" s="10"/>
      <c r="H379" s="10"/>
    </row>
    <row r="380" spans="1:8" ht="14.25" customHeight="1" x14ac:dyDescent="0.35">
      <c r="A380" s="10"/>
      <c r="B380" s="10"/>
      <c r="C380" s="10"/>
      <c r="D380" s="10"/>
      <c r="E380" s="10"/>
      <c r="F380" s="10"/>
      <c r="G380" s="10"/>
      <c r="H380" s="10"/>
    </row>
    <row r="381" spans="1:8" ht="14.25" customHeight="1" x14ac:dyDescent="0.35">
      <c r="A381" s="10"/>
      <c r="B381" s="10"/>
      <c r="C381" s="10"/>
      <c r="D381" s="10"/>
      <c r="E381" s="10"/>
      <c r="F381" s="10"/>
      <c r="G381" s="10"/>
      <c r="H381" s="10"/>
    </row>
    <row r="382" spans="1:8" ht="14.25" customHeight="1" x14ac:dyDescent="0.35">
      <c r="A382" s="10"/>
      <c r="B382" s="10"/>
      <c r="C382" s="10"/>
      <c r="D382" s="10"/>
      <c r="E382" s="10"/>
      <c r="F382" s="10"/>
      <c r="G382" s="10"/>
      <c r="H382" s="10"/>
    </row>
    <row r="383" spans="1:8" ht="14.25" customHeight="1" x14ac:dyDescent="0.35">
      <c r="A383" s="10"/>
      <c r="B383" s="10"/>
      <c r="C383" s="10"/>
      <c r="D383" s="10"/>
      <c r="E383" s="10"/>
      <c r="F383" s="10"/>
      <c r="G383" s="10"/>
      <c r="H383" s="10"/>
    </row>
    <row r="384" spans="1:8" ht="14.25" customHeight="1" x14ac:dyDescent="0.35">
      <c r="A384" s="10"/>
      <c r="B384" s="10"/>
      <c r="C384" s="10"/>
      <c r="D384" s="10"/>
      <c r="E384" s="10"/>
      <c r="F384" s="10"/>
      <c r="G384" s="10"/>
      <c r="H384" s="10"/>
    </row>
    <row r="385" spans="1:8" ht="14.25" customHeight="1" x14ac:dyDescent="0.35">
      <c r="A385" s="10"/>
      <c r="B385" s="10"/>
      <c r="C385" s="10"/>
      <c r="D385" s="10"/>
      <c r="E385" s="10"/>
      <c r="F385" s="10"/>
      <c r="G385" s="10"/>
      <c r="H385" s="10"/>
    </row>
    <row r="386" spans="1:8" ht="14.25" customHeight="1" x14ac:dyDescent="0.35">
      <c r="A386" s="10"/>
      <c r="B386" s="10"/>
      <c r="C386" s="10"/>
      <c r="D386" s="10"/>
      <c r="E386" s="10"/>
      <c r="F386" s="10"/>
      <c r="G386" s="10"/>
      <c r="H386" s="10"/>
    </row>
    <row r="387" spans="1:8" ht="14.25" customHeight="1" x14ac:dyDescent="0.35">
      <c r="A387" s="10"/>
      <c r="B387" s="10"/>
      <c r="C387" s="10"/>
      <c r="D387" s="10"/>
      <c r="E387" s="10"/>
      <c r="F387" s="10"/>
      <c r="G387" s="10"/>
      <c r="H387" s="10"/>
    </row>
    <row r="388" spans="1:8" ht="14.25" customHeight="1" x14ac:dyDescent="0.35">
      <c r="A388" s="10"/>
      <c r="B388" s="10"/>
      <c r="C388" s="10"/>
      <c r="D388" s="10"/>
      <c r="E388" s="10"/>
      <c r="F388" s="10"/>
      <c r="G388" s="10"/>
      <c r="H388" s="10"/>
    </row>
    <row r="389" spans="1:8" ht="14.25" customHeight="1" x14ac:dyDescent="0.35">
      <c r="A389" s="10"/>
      <c r="B389" s="10"/>
      <c r="C389" s="10"/>
      <c r="D389" s="10"/>
      <c r="E389" s="10"/>
      <c r="F389" s="10"/>
      <c r="G389" s="10"/>
      <c r="H389" s="10"/>
    </row>
    <row r="390" spans="1:8" ht="14.25" customHeight="1" x14ac:dyDescent="0.35">
      <c r="A390" s="10"/>
      <c r="B390" s="10"/>
      <c r="C390" s="10"/>
      <c r="D390" s="10"/>
      <c r="E390" s="10"/>
      <c r="F390" s="10"/>
      <c r="G390" s="10"/>
      <c r="H390" s="10"/>
    </row>
    <row r="391" spans="1:8" ht="14.25" customHeight="1" x14ac:dyDescent="0.35">
      <c r="A391" s="10"/>
      <c r="B391" s="10"/>
      <c r="C391" s="10"/>
      <c r="D391" s="10"/>
      <c r="E391" s="10"/>
      <c r="F391" s="10"/>
      <c r="G391" s="10"/>
      <c r="H391" s="10"/>
    </row>
    <row r="392" spans="1:8" ht="14.25" customHeight="1" x14ac:dyDescent="0.35">
      <c r="A392" s="10"/>
      <c r="B392" s="10"/>
      <c r="C392" s="10"/>
      <c r="D392" s="10"/>
      <c r="E392" s="10"/>
      <c r="F392" s="10"/>
      <c r="G392" s="10"/>
      <c r="H392" s="10"/>
    </row>
    <row r="393" spans="1:8" ht="14.25" customHeight="1" x14ac:dyDescent="0.35">
      <c r="A393" s="10"/>
      <c r="B393" s="10"/>
      <c r="C393" s="10"/>
      <c r="D393" s="10"/>
      <c r="E393" s="10"/>
      <c r="F393" s="10"/>
      <c r="G393" s="10"/>
      <c r="H393" s="10"/>
    </row>
    <row r="394" spans="1:8" ht="14.25" customHeight="1" x14ac:dyDescent="0.35">
      <c r="A394" s="10"/>
      <c r="B394" s="10"/>
      <c r="C394" s="10"/>
      <c r="D394" s="10"/>
      <c r="E394" s="10"/>
      <c r="F394" s="10"/>
      <c r="G394" s="10"/>
      <c r="H394" s="10"/>
    </row>
    <row r="395" spans="1:8" ht="14.25" customHeight="1" x14ac:dyDescent="0.35">
      <c r="A395" s="10"/>
      <c r="B395" s="10"/>
      <c r="C395" s="10"/>
      <c r="D395" s="10"/>
      <c r="E395" s="10"/>
      <c r="F395" s="10"/>
      <c r="G395" s="10"/>
      <c r="H395" s="10"/>
    </row>
    <row r="396" spans="1:8" ht="14.25" customHeight="1" x14ac:dyDescent="0.35">
      <c r="A396" s="10"/>
      <c r="B396" s="10"/>
      <c r="C396" s="10"/>
      <c r="D396" s="10"/>
      <c r="E396" s="10"/>
      <c r="F396" s="10"/>
      <c r="G396" s="10"/>
      <c r="H396" s="10"/>
    </row>
    <row r="397" spans="1:8" ht="14.25" customHeight="1" x14ac:dyDescent="0.35">
      <c r="A397" s="10"/>
      <c r="B397" s="10"/>
      <c r="C397" s="10"/>
      <c r="D397" s="10"/>
      <c r="E397" s="10"/>
      <c r="F397" s="10"/>
      <c r="G397" s="10"/>
      <c r="H397" s="10"/>
    </row>
    <row r="398" spans="1:8" ht="14.25" customHeight="1" x14ac:dyDescent="0.35">
      <c r="A398" s="10"/>
      <c r="B398" s="10"/>
      <c r="C398" s="10"/>
      <c r="D398" s="10"/>
      <c r="E398" s="10"/>
      <c r="F398" s="10"/>
      <c r="G398" s="10"/>
      <c r="H398" s="10"/>
    </row>
    <row r="399" spans="1:8" ht="14.25" customHeight="1" x14ac:dyDescent="0.35">
      <c r="A399" s="10"/>
      <c r="B399" s="10"/>
      <c r="C399" s="10"/>
      <c r="D399" s="10"/>
      <c r="E399" s="10"/>
      <c r="F399" s="10"/>
      <c r="G399" s="10"/>
      <c r="H399" s="10"/>
    </row>
    <row r="400" spans="1:8" ht="14.25" customHeight="1" x14ac:dyDescent="0.35">
      <c r="A400" s="10"/>
      <c r="B400" s="10"/>
      <c r="C400" s="10"/>
      <c r="D400" s="10"/>
      <c r="E400" s="10"/>
      <c r="F400" s="10"/>
      <c r="G400" s="10"/>
      <c r="H400" s="10"/>
    </row>
    <row r="401" spans="1:8" ht="14.25" customHeight="1" x14ac:dyDescent="0.35">
      <c r="A401" s="10"/>
      <c r="B401" s="10"/>
      <c r="C401" s="10"/>
      <c r="D401" s="10"/>
      <c r="E401" s="10"/>
      <c r="F401" s="10"/>
      <c r="G401" s="10"/>
      <c r="H401" s="10"/>
    </row>
    <row r="402" spans="1:8" ht="14.25" customHeight="1" x14ac:dyDescent="0.35">
      <c r="A402" s="10"/>
      <c r="B402" s="10"/>
      <c r="C402" s="10"/>
      <c r="D402" s="10"/>
      <c r="E402" s="10"/>
      <c r="F402" s="10"/>
      <c r="G402" s="10"/>
      <c r="H402" s="10"/>
    </row>
    <row r="403" spans="1:8" ht="14.25" customHeight="1" x14ac:dyDescent="0.35">
      <c r="A403" s="10"/>
      <c r="B403" s="10"/>
      <c r="C403" s="10"/>
      <c r="D403" s="10"/>
      <c r="E403" s="10"/>
      <c r="F403" s="10"/>
      <c r="G403" s="10"/>
      <c r="H403" s="10"/>
    </row>
    <row r="404" spans="1:8" ht="14.25" customHeight="1" x14ac:dyDescent="0.35">
      <c r="A404" s="10"/>
      <c r="B404" s="10"/>
      <c r="C404" s="10"/>
      <c r="D404" s="10"/>
      <c r="E404" s="10"/>
      <c r="F404" s="10"/>
      <c r="G404" s="10"/>
      <c r="H404" s="10"/>
    </row>
    <row r="405" spans="1:8" ht="14.25" customHeight="1" x14ac:dyDescent="0.35">
      <c r="A405" s="10"/>
      <c r="B405" s="10"/>
      <c r="C405" s="10"/>
      <c r="D405" s="10"/>
      <c r="E405" s="10"/>
      <c r="F405" s="10"/>
      <c r="G405" s="10"/>
      <c r="H405" s="10"/>
    </row>
    <row r="406" spans="1:8" ht="14.25" customHeight="1" x14ac:dyDescent="0.35">
      <c r="A406" s="10"/>
      <c r="B406" s="10"/>
      <c r="C406" s="10"/>
      <c r="D406" s="10"/>
      <c r="E406" s="10"/>
      <c r="F406" s="10"/>
      <c r="G406" s="10"/>
      <c r="H406" s="10"/>
    </row>
    <row r="407" spans="1:8" ht="14.25" customHeight="1" x14ac:dyDescent="0.35">
      <c r="A407" s="10"/>
      <c r="B407" s="10"/>
      <c r="C407" s="10"/>
      <c r="D407" s="10"/>
      <c r="E407" s="10"/>
      <c r="F407" s="10"/>
      <c r="G407" s="10"/>
      <c r="H407" s="10"/>
    </row>
    <row r="408" spans="1:8" ht="14.25" customHeight="1" x14ac:dyDescent="0.35">
      <c r="A408" s="10"/>
      <c r="B408" s="10"/>
      <c r="C408" s="10"/>
      <c r="D408" s="10"/>
      <c r="E408" s="10"/>
      <c r="F408" s="10"/>
      <c r="G408" s="10"/>
      <c r="H408" s="10"/>
    </row>
    <row r="409" spans="1:8" ht="14.25" customHeight="1" x14ac:dyDescent="0.35">
      <c r="A409" s="10"/>
      <c r="B409" s="10"/>
      <c r="C409" s="10"/>
      <c r="D409" s="10"/>
      <c r="E409" s="10"/>
      <c r="F409" s="10"/>
      <c r="G409" s="10"/>
      <c r="H409" s="10"/>
    </row>
    <row r="410" spans="1:8" ht="14.25" customHeight="1" x14ac:dyDescent="0.35">
      <c r="A410" s="10"/>
      <c r="B410" s="10"/>
      <c r="C410" s="10"/>
      <c r="D410" s="10"/>
      <c r="E410" s="10"/>
      <c r="F410" s="10"/>
      <c r="G410" s="10"/>
      <c r="H410" s="10"/>
    </row>
    <row r="411" spans="1:8" ht="14.25" customHeight="1" x14ac:dyDescent="0.35">
      <c r="A411" s="10"/>
      <c r="B411" s="10"/>
      <c r="C411" s="10"/>
      <c r="D411" s="10"/>
      <c r="E411" s="10"/>
      <c r="F411" s="10"/>
      <c r="G411" s="10"/>
      <c r="H411" s="10"/>
    </row>
    <row r="412" spans="1:8" ht="14.25" customHeight="1" x14ac:dyDescent="0.35">
      <c r="A412" s="10"/>
      <c r="B412" s="10"/>
      <c r="C412" s="10"/>
      <c r="D412" s="10"/>
      <c r="E412" s="10"/>
      <c r="F412" s="10"/>
      <c r="G412" s="10"/>
      <c r="H412" s="10"/>
    </row>
    <row r="413" spans="1:8" ht="14.25" customHeight="1" x14ac:dyDescent="0.35">
      <c r="A413" s="10"/>
      <c r="B413" s="10"/>
      <c r="C413" s="10"/>
      <c r="D413" s="10"/>
      <c r="E413" s="10"/>
      <c r="F413" s="10"/>
      <c r="G413" s="10"/>
      <c r="H413" s="10"/>
    </row>
    <row r="414" spans="1:8" ht="14.25" customHeight="1" x14ac:dyDescent="0.35">
      <c r="A414" s="10"/>
      <c r="B414" s="10"/>
      <c r="C414" s="10"/>
      <c r="D414" s="10"/>
      <c r="E414" s="10"/>
      <c r="F414" s="10"/>
      <c r="G414" s="10"/>
      <c r="H414" s="10"/>
    </row>
    <row r="415" spans="1:8" ht="14.25" customHeight="1" x14ac:dyDescent="0.35">
      <c r="A415" s="10"/>
      <c r="B415" s="10"/>
      <c r="C415" s="10"/>
      <c r="D415" s="10"/>
      <c r="E415" s="10"/>
      <c r="F415" s="10"/>
      <c r="G415" s="10"/>
      <c r="H415" s="10"/>
    </row>
    <row r="416" spans="1:8" ht="14.25" customHeight="1" x14ac:dyDescent="0.35">
      <c r="A416" s="10"/>
      <c r="B416" s="10"/>
      <c r="C416" s="10"/>
      <c r="D416" s="10"/>
      <c r="E416" s="10"/>
      <c r="F416" s="10"/>
      <c r="G416" s="10"/>
      <c r="H416" s="10"/>
    </row>
    <row r="417" spans="1:8" ht="14.25" customHeight="1" x14ac:dyDescent="0.35">
      <c r="A417" s="10"/>
      <c r="B417" s="10"/>
      <c r="C417" s="10"/>
      <c r="D417" s="10"/>
      <c r="E417" s="10"/>
      <c r="F417" s="10"/>
      <c r="G417" s="10"/>
      <c r="H417" s="10"/>
    </row>
    <row r="418" spans="1:8" ht="14.25" customHeight="1" x14ac:dyDescent="0.35">
      <c r="A418" s="10"/>
      <c r="B418" s="10"/>
      <c r="C418" s="10"/>
      <c r="D418" s="10"/>
      <c r="E418" s="10"/>
      <c r="F418" s="10"/>
      <c r="G418" s="10"/>
      <c r="H418" s="10"/>
    </row>
    <row r="419" spans="1:8" ht="14.25" customHeight="1" x14ac:dyDescent="0.35">
      <c r="A419" s="10"/>
      <c r="B419" s="10"/>
      <c r="C419" s="10"/>
      <c r="D419" s="10"/>
      <c r="E419" s="10"/>
      <c r="F419" s="10"/>
      <c r="G419" s="10"/>
      <c r="H419" s="10"/>
    </row>
    <row r="420" spans="1:8" ht="14.25" customHeight="1" x14ac:dyDescent="0.35">
      <c r="A420" s="10"/>
      <c r="B420" s="10"/>
      <c r="C420" s="10"/>
      <c r="D420" s="10"/>
      <c r="E420" s="10"/>
      <c r="F420" s="10"/>
      <c r="G420" s="10"/>
      <c r="H420" s="10"/>
    </row>
    <row r="421" spans="1:8" ht="14.25" customHeight="1" x14ac:dyDescent="0.35">
      <c r="A421" s="10"/>
      <c r="B421" s="10"/>
      <c r="C421" s="10"/>
      <c r="D421" s="10"/>
      <c r="E421" s="10"/>
      <c r="F421" s="10"/>
      <c r="G421" s="10"/>
      <c r="H421" s="10"/>
    </row>
    <row r="422" spans="1:8" ht="14.25" customHeight="1" x14ac:dyDescent="0.35">
      <c r="A422" s="10"/>
      <c r="B422" s="10"/>
      <c r="C422" s="10"/>
      <c r="D422" s="10"/>
      <c r="E422" s="10"/>
      <c r="F422" s="10"/>
      <c r="G422" s="10"/>
      <c r="H422" s="10"/>
    </row>
    <row r="423" spans="1:8" ht="14.25" customHeight="1" x14ac:dyDescent="0.35">
      <c r="A423" s="10"/>
      <c r="B423" s="10"/>
      <c r="C423" s="10"/>
      <c r="D423" s="10"/>
      <c r="E423" s="10"/>
      <c r="F423" s="10"/>
      <c r="G423" s="10"/>
      <c r="H423" s="10"/>
    </row>
    <row r="424" spans="1:8" ht="14.25" customHeight="1" x14ac:dyDescent="0.35">
      <c r="A424" s="10"/>
      <c r="B424" s="10"/>
      <c r="C424" s="10"/>
      <c r="D424" s="10"/>
      <c r="E424" s="10"/>
      <c r="F424" s="10"/>
      <c r="G424" s="10"/>
      <c r="H424" s="10"/>
    </row>
    <row r="425" spans="1:8" ht="14.25" customHeight="1" x14ac:dyDescent="0.35">
      <c r="A425" s="10"/>
      <c r="B425" s="10"/>
      <c r="C425" s="10"/>
      <c r="D425" s="10"/>
      <c r="E425" s="10"/>
      <c r="F425" s="10"/>
      <c r="G425" s="10"/>
      <c r="H425" s="10"/>
    </row>
    <row r="426" spans="1:8" ht="14.25" customHeight="1" x14ac:dyDescent="0.35">
      <c r="A426" s="10"/>
      <c r="B426" s="10"/>
      <c r="C426" s="10"/>
      <c r="D426" s="10"/>
      <c r="E426" s="10"/>
      <c r="F426" s="10"/>
      <c r="G426" s="10"/>
      <c r="H426" s="10"/>
    </row>
    <row r="427" spans="1:8" ht="14.25" customHeight="1" x14ac:dyDescent="0.35">
      <c r="A427" s="10"/>
      <c r="B427" s="10"/>
      <c r="C427" s="10"/>
      <c r="D427" s="10"/>
      <c r="E427" s="10"/>
      <c r="F427" s="10"/>
      <c r="G427" s="10"/>
      <c r="H427" s="10"/>
    </row>
    <row r="428" spans="1:8" ht="14.25" customHeight="1" x14ac:dyDescent="0.35">
      <c r="A428" s="10"/>
      <c r="B428" s="10"/>
      <c r="C428" s="10"/>
      <c r="D428" s="10"/>
      <c r="E428" s="10"/>
      <c r="F428" s="10"/>
      <c r="G428" s="10"/>
      <c r="H428" s="10"/>
    </row>
    <row r="429" spans="1:8" ht="14.25" customHeight="1" x14ac:dyDescent="0.35">
      <c r="A429" s="10"/>
      <c r="B429" s="10"/>
      <c r="C429" s="10"/>
      <c r="D429" s="10"/>
      <c r="E429" s="10"/>
      <c r="F429" s="10"/>
      <c r="G429" s="10"/>
      <c r="H429" s="10"/>
    </row>
    <row r="430" spans="1:8" ht="14.25" customHeight="1" x14ac:dyDescent="0.35">
      <c r="A430" s="10"/>
      <c r="B430" s="10"/>
      <c r="C430" s="10"/>
      <c r="D430" s="10"/>
      <c r="E430" s="10"/>
      <c r="F430" s="10"/>
      <c r="G430" s="10"/>
      <c r="H430" s="10"/>
    </row>
    <row r="431" spans="1:8" ht="14.25" customHeight="1" x14ac:dyDescent="0.35">
      <c r="A431" s="10"/>
      <c r="B431" s="10"/>
      <c r="C431" s="10"/>
      <c r="D431" s="10"/>
      <c r="E431" s="10"/>
      <c r="F431" s="10"/>
      <c r="G431" s="10"/>
      <c r="H431" s="10"/>
    </row>
    <row r="432" spans="1:8" ht="14.25" customHeight="1" x14ac:dyDescent="0.35">
      <c r="A432" s="10"/>
      <c r="B432" s="10"/>
      <c r="C432" s="10"/>
      <c r="D432" s="10"/>
      <c r="E432" s="10"/>
      <c r="F432" s="10"/>
      <c r="G432" s="10"/>
      <c r="H432" s="10"/>
    </row>
    <row r="433" spans="1:8" ht="14.25" customHeight="1" x14ac:dyDescent="0.35">
      <c r="A433" s="10"/>
      <c r="B433" s="10"/>
      <c r="C433" s="10"/>
      <c r="D433" s="10"/>
      <c r="E433" s="10"/>
      <c r="F433" s="10"/>
      <c r="G433" s="10"/>
      <c r="H433" s="10"/>
    </row>
    <row r="434" spans="1:8" ht="14.25" customHeight="1" x14ac:dyDescent="0.35">
      <c r="A434" s="10"/>
      <c r="B434" s="10"/>
      <c r="C434" s="10"/>
      <c r="D434" s="10"/>
      <c r="E434" s="10"/>
      <c r="F434" s="10"/>
      <c r="G434" s="10"/>
      <c r="H434" s="10"/>
    </row>
    <row r="435" spans="1:8" ht="14.25" customHeight="1" x14ac:dyDescent="0.35">
      <c r="A435" s="10"/>
      <c r="B435" s="10"/>
      <c r="C435" s="10"/>
      <c r="D435" s="10"/>
      <c r="E435" s="10"/>
      <c r="F435" s="10"/>
      <c r="G435" s="10"/>
      <c r="H435" s="10"/>
    </row>
    <row r="436" spans="1:8" ht="14.25" customHeight="1" x14ac:dyDescent="0.35">
      <c r="A436" s="10"/>
      <c r="B436" s="10"/>
      <c r="C436" s="10"/>
      <c r="D436" s="10"/>
      <c r="E436" s="10"/>
      <c r="F436" s="10"/>
      <c r="G436" s="10"/>
      <c r="H436" s="10"/>
    </row>
    <row r="437" spans="1:8" ht="14.25" customHeight="1" x14ac:dyDescent="0.35">
      <c r="A437" s="10"/>
      <c r="B437" s="10"/>
      <c r="C437" s="10"/>
      <c r="D437" s="10"/>
      <c r="E437" s="10"/>
      <c r="F437" s="10"/>
      <c r="G437" s="10"/>
      <c r="H437" s="10"/>
    </row>
    <row r="438" spans="1:8" ht="14.25" customHeight="1" x14ac:dyDescent="0.35">
      <c r="A438" s="10"/>
      <c r="B438" s="10"/>
      <c r="C438" s="10"/>
      <c r="D438" s="10"/>
      <c r="E438" s="10"/>
      <c r="F438" s="10"/>
      <c r="G438" s="10"/>
      <c r="H438" s="10"/>
    </row>
    <row r="439" spans="1:8" ht="14.25" customHeight="1" x14ac:dyDescent="0.35">
      <c r="A439" s="10"/>
      <c r="B439" s="10"/>
      <c r="C439" s="10"/>
      <c r="D439" s="10"/>
      <c r="E439" s="10"/>
      <c r="F439" s="10"/>
      <c r="G439" s="10"/>
      <c r="H439" s="10"/>
    </row>
    <row r="440" spans="1:8" ht="14.25" customHeight="1" x14ac:dyDescent="0.35">
      <c r="A440" s="10"/>
      <c r="B440" s="10"/>
      <c r="C440" s="10"/>
      <c r="D440" s="10"/>
      <c r="E440" s="10"/>
      <c r="F440" s="10"/>
      <c r="G440" s="10"/>
      <c r="H440" s="10"/>
    </row>
    <row r="441" spans="1:8" ht="14.25" customHeight="1" x14ac:dyDescent="0.35">
      <c r="A441" s="10"/>
      <c r="B441" s="10"/>
      <c r="C441" s="10"/>
      <c r="D441" s="10"/>
      <c r="E441" s="10"/>
      <c r="F441" s="10"/>
      <c r="G441" s="10"/>
      <c r="H441" s="10"/>
    </row>
    <row r="442" spans="1:8" ht="14.25" customHeight="1" x14ac:dyDescent="0.35">
      <c r="A442" s="10"/>
      <c r="B442" s="10"/>
      <c r="C442" s="10"/>
      <c r="D442" s="10"/>
      <c r="E442" s="10"/>
      <c r="F442" s="10"/>
      <c r="G442" s="10"/>
      <c r="H442" s="10"/>
    </row>
    <row r="443" spans="1:8" ht="14.25" customHeight="1" x14ac:dyDescent="0.35">
      <c r="A443" s="10"/>
      <c r="B443" s="10"/>
      <c r="C443" s="10"/>
      <c r="D443" s="10"/>
      <c r="E443" s="10"/>
      <c r="F443" s="10"/>
      <c r="G443" s="10"/>
      <c r="H443" s="10"/>
    </row>
    <row r="444" spans="1:8" ht="14.25" customHeight="1" x14ac:dyDescent="0.35">
      <c r="A444" s="10"/>
      <c r="B444" s="10"/>
      <c r="C444" s="10"/>
      <c r="D444" s="10"/>
      <c r="E444" s="10"/>
      <c r="F444" s="10"/>
      <c r="G444" s="10"/>
      <c r="H444" s="10"/>
    </row>
    <row r="445" spans="1:8" ht="14.25" customHeight="1" x14ac:dyDescent="0.35">
      <c r="A445" s="10"/>
      <c r="B445" s="10"/>
      <c r="C445" s="10"/>
      <c r="D445" s="10"/>
      <c r="E445" s="10"/>
      <c r="F445" s="10"/>
      <c r="G445" s="10"/>
      <c r="H445" s="10"/>
    </row>
    <row r="446" spans="1:8" ht="14.25" customHeight="1" x14ac:dyDescent="0.35">
      <c r="A446" s="10"/>
      <c r="B446" s="10"/>
      <c r="C446" s="10"/>
      <c r="D446" s="10"/>
      <c r="E446" s="10"/>
      <c r="F446" s="10"/>
      <c r="G446" s="10"/>
      <c r="H446" s="10"/>
    </row>
    <row r="447" spans="1:8" ht="14.25" customHeight="1" x14ac:dyDescent="0.35">
      <c r="A447" s="10"/>
      <c r="B447" s="10"/>
      <c r="C447" s="10"/>
      <c r="D447" s="10"/>
      <c r="E447" s="10"/>
      <c r="F447" s="10"/>
      <c r="G447" s="10"/>
      <c r="H447" s="10"/>
    </row>
    <row r="448" spans="1:8" ht="14.25" customHeight="1" x14ac:dyDescent="0.35">
      <c r="A448" s="10"/>
      <c r="B448" s="10"/>
      <c r="C448" s="10"/>
      <c r="D448" s="10"/>
      <c r="E448" s="10"/>
      <c r="F448" s="10"/>
      <c r="G448" s="10"/>
      <c r="H448" s="10"/>
    </row>
    <row r="449" spans="1:8" ht="14.25" customHeight="1" x14ac:dyDescent="0.35">
      <c r="A449" s="10"/>
      <c r="B449" s="10"/>
      <c r="C449" s="10"/>
      <c r="D449" s="10"/>
      <c r="E449" s="10"/>
      <c r="F449" s="10"/>
      <c r="G449" s="10"/>
      <c r="H449" s="10"/>
    </row>
    <row r="450" spans="1:8" ht="14.25" customHeight="1" x14ac:dyDescent="0.35">
      <c r="A450" s="10"/>
      <c r="B450" s="10"/>
      <c r="C450" s="10"/>
      <c r="D450" s="10"/>
      <c r="E450" s="10"/>
      <c r="F450" s="10"/>
      <c r="G450" s="10"/>
      <c r="H450" s="10"/>
    </row>
    <row r="451" spans="1:8" ht="14.25" customHeight="1" x14ac:dyDescent="0.35">
      <c r="A451" s="10"/>
      <c r="B451" s="10"/>
      <c r="C451" s="10"/>
      <c r="D451" s="10"/>
      <c r="E451" s="10"/>
      <c r="F451" s="10"/>
      <c r="G451" s="10"/>
      <c r="H451" s="10"/>
    </row>
    <row r="452" spans="1:8" ht="14.25" customHeight="1" x14ac:dyDescent="0.35">
      <c r="A452" s="10"/>
      <c r="B452" s="10"/>
      <c r="C452" s="10"/>
      <c r="D452" s="10"/>
      <c r="E452" s="10"/>
      <c r="F452" s="10"/>
      <c r="G452" s="10"/>
      <c r="H452" s="10"/>
    </row>
    <row r="453" spans="1:8" ht="14.25" customHeight="1" x14ac:dyDescent="0.35">
      <c r="A453" s="10"/>
      <c r="B453" s="10"/>
      <c r="C453" s="10"/>
      <c r="D453" s="10"/>
      <c r="E453" s="10"/>
      <c r="F453" s="10"/>
      <c r="G453" s="10"/>
      <c r="H453" s="10"/>
    </row>
    <row r="454" spans="1:8" ht="14.25" customHeight="1" x14ac:dyDescent="0.35">
      <c r="A454" s="10"/>
      <c r="B454" s="10"/>
      <c r="C454" s="10"/>
      <c r="D454" s="10"/>
      <c r="E454" s="10"/>
      <c r="F454" s="10"/>
      <c r="G454" s="10"/>
      <c r="H454" s="10"/>
    </row>
    <row r="455" spans="1:8" ht="14.25" customHeight="1" x14ac:dyDescent="0.35">
      <c r="A455" s="10"/>
      <c r="B455" s="10"/>
      <c r="C455" s="10"/>
      <c r="D455" s="10"/>
      <c r="E455" s="10"/>
      <c r="F455" s="10"/>
      <c r="G455" s="10"/>
      <c r="H455" s="10"/>
    </row>
    <row r="456" spans="1:8" ht="14.25" customHeight="1" x14ac:dyDescent="0.35">
      <c r="A456" s="10"/>
      <c r="B456" s="10"/>
      <c r="C456" s="10"/>
      <c r="D456" s="10"/>
      <c r="E456" s="10"/>
      <c r="F456" s="10"/>
      <c r="G456" s="10"/>
      <c r="H456" s="10"/>
    </row>
    <row r="457" spans="1:8" ht="14.25" customHeight="1" x14ac:dyDescent="0.35">
      <c r="A457" s="10"/>
      <c r="B457" s="10"/>
      <c r="C457" s="10"/>
      <c r="D457" s="10"/>
      <c r="E457" s="10"/>
      <c r="F457" s="10"/>
      <c r="G457" s="10"/>
      <c r="H457" s="10"/>
    </row>
    <row r="458" spans="1:8" ht="14.25" customHeight="1" x14ac:dyDescent="0.35">
      <c r="A458" s="10"/>
      <c r="B458" s="10"/>
      <c r="C458" s="10"/>
      <c r="D458" s="10"/>
      <c r="E458" s="10"/>
      <c r="F458" s="10"/>
      <c r="G458" s="10"/>
      <c r="H458" s="10"/>
    </row>
    <row r="459" spans="1:8" ht="14.25" customHeight="1" x14ac:dyDescent="0.35">
      <c r="A459" s="10"/>
      <c r="B459" s="10"/>
      <c r="C459" s="10"/>
      <c r="D459" s="10"/>
      <c r="E459" s="10"/>
      <c r="F459" s="10"/>
      <c r="G459" s="10"/>
      <c r="H459" s="10"/>
    </row>
    <row r="460" spans="1:8" ht="14.25" customHeight="1" x14ac:dyDescent="0.35">
      <c r="A460" s="10"/>
      <c r="B460" s="10"/>
      <c r="C460" s="10"/>
      <c r="D460" s="10"/>
      <c r="E460" s="10"/>
      <c r="F460" s="10"/>
      <c r="G460" s="10"/>
      <c r="H460" s="10"/>
    </row>
    <row r="461" spans="1:8" ht="14.25" customHeight="1" x14ac:dyDescent="0.35">
      <c r="A461" s="10"/>
      <c r="B461" s="10"/>
      <c r="C461" s="10"/>
      <c r="D461" s="10"/>
      <c r="E461" s="10"/>
      <c r="F461" s="10"/>
      <c r="G461" s="10"/>
      <c r="H461" s="10"/>
    </row>
    <row r="462" spans="1:8" ht="14.25" customHeight="1" x14ac:dyDescent="0.35">
      <c r="A462" s="10"/>
      <c r="B462" s="10"/>
      <c r="C462" s="10"/>
      <c r="D462" s="10"/>
      <c r="E462" s="10"/>
      <c r="F462" s="10"/>
      <c r="G462" s="10"/>
      <c r="H462" s="10"/>
    </row>
    <row r="463" spans="1:8" ht="14.25" customHeight="1" x14ac:dyDescent="0.35">
      <c r="A463" s="10"/>
      <c r="B463" s="10"/>
      <c r="C463" s="10"/>
      <c r="D463" s="10"/>
      <c r="E463" s="10"/>
      <c r="F463" s="10"/>
      <c r="G463" s="10"/>
      <c r="H463" s="10"/>
    </row>
    <row r="464" spans="1:8" ht="14.25" customHeight="1" x14ac:dyDescent="0.35">
      <c r="A464" s="10"/>
      <c r="B464" s="10"/>
      <c r="C464" s="10"/>
      <c r="D464" s="10"/>
      <c r="E464" s="10"/>
      <c r="F464" s="10"/>
      <c r="G464" s="10"/>
      <c r="H464" s="10"/>
    </row>
    <row r="465" spans="1:8" ht="14.25" customHeight="1" x14ac:dyDescent="0.35">
      <c r="A465" s="10"/>
      <c r="B465" s="10"/>
      <c r="C465" s="10"/>
      <c r="D465" s="10"/>
      <c r="E465" s="10"/>
      <c r="F465" s="10"/>
      <c r="G465" s="10"/>
      <c r="H465" s="10"/>
    </row>
    <row r="466" spans="1:8" ht="14.25" customHeight="1" x14ac:dyDescent="0.35">
      <c r="A466" s="10"/>
      <c r="B466" s="10"/>
      <c r="C466" s="10"/>
      <c r="D466" s="10"/>
      <c r="E466" s="10"/>
      <c r="F466" s="10"/>
      <c r="G466" s="10"/>
      <c r="H466" s="10"/>
    </row>
    <row r="467" spans="1:8" ht="14.25" customHeight="1" x14ac:dyDescent="0.35">
      <c r="A467" s="10"/>
      <c r="B467" s="10"/>
      <c r="C467" s="10"/>
      <c r="D467" s="10"/>
      <c r="E467" s="10"/>
      <c r="F467" s="10"/>
      <c r="G467" s="10"/>
      <c r="H467" s="10"/>
    </row>
    <row r="468" spans="1:8" ht="14.25" customHeight="1" x14ac:dyDescent="0.35">
      <c r="A468" s="10"/>
      <c r="B468" s="10"/>
      <c r="C468" s="10"/>
      <c r="D468" s="10"/>
      <c r="E468" s="10"/>
      <c r="F468" s="10"/>
      <c r="G468" s="10"/>
      <c r="H468" s="10"/>
    </row>
    <row r="469" spans="1:8" ht="14.25" customHeight="1" x14ac:dyDescent="0.35">
      <c r="A469" s="10"/>
      <c r="B469" s="10"/>
      <c r="C469" s="10"/>
      <c r="D469" s="10"/>
      <c r="E469" s="10"/>
      <c r="F469" s="10"/>
      <c r="G469" s="10"/>
      <c r="H469" s="10"/>
    </row>
    <row r="470" spans="1:8" ht="14.25" customHeight="1" x14ac:dyDescent="0.35">
      <c r="A470" s="10"/>
      <c r="B470" s="10"/>
      <c r="C470" s="10"/>
      <c r="D470" s="10"/>
      <c r="E470" s="10"/>
      <c r="F470" s="10"/>
      <c r="G470" s="10"/>
      <c r="H470" s="10"/>
    </row>
    <row r="471" spans="1:8" ht="14.25" customHeight="1" x14ac:dyDescent="0.35">
      <c r="A471" s="10"/>
      <c r="B471" s="10"/>
      <c r="C471" s="10"/>
      <c r="D471" s="10"/>
      <c r="E471" s="10"/>
      <c r="F471" s="10"/>
      <c r="G471" s="10"/>
      <c r="H471" s="10"/>
    </row>
    <row r="472" spans="1:8" ht="14.25" customHeight="1" x14ac:dyDescent="0.35">
      <c r="A472" s="10"/>
      <c r="B472" s="10"/>
      <c r="C472" s="10"/>
      <c r="D472" s="10"/>
      <c r="E472" s="10"/>
      <c r="F472" s="10"/>
      <c r="G472" s="10"/>
      <c r="H472" s="10"/>
    </row>
    <row r="473" spans="1:8" ht="14.25" customHeight="1" x14ac:dyDescent="0.35">
      <c r="A473" s="10"/>
      <c r="B473" s="10"/>
      <c r="C473" s="10"/>
      <c r="D473" s="10"/>
      <c r="E473" s="10"/>
      <c r="F473" s="10"/>
      <c r="G473" s="10"/>
      <c r="H473" s="10"/>
    </row>
    <row r="474" spans="1:8" ht="14.25" customHeight="1" x14ac:dyDescent="0.35">
      <c r="A474" s="10"/>
      <c r="B474" s="10"/>
      <c r="C474" s="10"/>
      <c r="D474" s="10"/>
      <c r="E474" s="10"/>
      <c r="F474" s="10"/>
      <c r="G474" s="10"/>
      <c r="H474" s="10"/>
    </row>
    <row r="475" spans="1:8" ht="14.25" customHeight="1" x14ac:dyDescent="0.35">
      <c r="A475" s="10"/>
      <c r="B475" s="10"/>
      <c r="C475" s="10"/>
      <c r="D475" s="10"/>
      <c r="E475" s="10"/>
      <c r="F475" s="10"/>
      <c r="G475" s="10"/>
      <c r="H475" s="10"/>
    </row>
    <row r="476" spans="1:8" ht="14.25" customHeight="1" x14ac:dyDescent="0.35">
      <c r="A476" s="10"/>
      <c r="B476" s="10"/>
      <c r="C476" s="10"/>
      <c r="D476" s="10"/>
      <c r="E476" s="10"/>
      <c r="F476" s="10"/>
      <c r="G476" s="10"/>
      <c r="H476" s="10"/>
    </row>
    <row r="477" spans="1:8" ht="14.25" customHeight="1" x14ac:dyDescent="0.35">
      <c r="A477" s="10"/>
      <c r="B477" s="10"/>
      <c r="C477" s="10"/>
      <c r="D477" s="10"/>
      <c r="E477" s="10"/>
      <c r="F477" s="10"/>
      <c r="G477" s="10"/>
      <c r="H477" s="10"/>
    </row>
    <row r="478" spans="1:8" ht="14.25" customHeight="1" x14ac:dyDescent="0.35">
      <c r="A478" s="10"/>
      <c r="B478" s="10"/>
      <c r="C478" s="10"/>
      <c r="D478" s="10"/>
      <c r="E478" s="10"/>
      <c r="F478" s="10"/>
      <c r="G478" s="10"/>
      <c r="H478" s="10"/>
    </row>
    <row r="479" spans="1:8" ht="14.25" customHeight="1" x14ac:dyDescent="0.35">
      <c r="A479" s="10"/>
      <c r="B479" s="10"/>
      <c r="C479" s="10"/>
      <c r="D479" s="10"/>
      <c r="E479" s="10"/>
      <c r="F479" s="10"/>
      <c r="G479" s="10"/>
      <c r="H479" s="10"/>
    </row>
    <row r="480" spans="1:8" ht="14.25" customHeight="1" x14ac:dyDescent="0.35">
      <c r="A480" s="10"/>
      <c r="B480" s="10"/>
      <c r="C480" s="10"/>
      <c r="D480" s="10"/>
      <c r="E480" s="10"/>
      <c r="F480" s="10"/>
      <c r="G480" s="10"/>
      <c r="H480" s="10"/>
    </row>
    <row r="481" spans="1:8" ht="14.25" customHeight="1" x14ac:dyDescent="0.35">
      <c r="A481" s="10"/>
      <c r="B481" s="10"/>
      <c r="C481" s="10"/>
      <c r="D481" s="10"/>
      <c r="E481" s="10"/>
      <c r="F481" s="10"/>
      <c r="G481" s="10"/>
      <c r="H481" s="10"/>
    </row>
    <row r="482" spans="1:8" ht="14.25" customHeight="1" x14ac:dyDescent="0.35">
      <c r="A482" s="10"/>
      <c r="B482" s="10"/>
      <c r="C482" s="10"/>
      <c r="D482" s="10"/>
      <c r="E482" s="10"/>
      <c r="F482" s="10"/>
      <c r="G482" s="10"/>
      <c r="H482" s="10"/>
    </row>
    <row r="483" spans="1:8" ht="14.25" customHeight="1" x14ac:dyDescent="0.35">
      <c r="A483" s="10"/>
      <c r="B483" s="10"/>
      <c r="C483" s="10"/>
      <c r="D483" s="10"/>
      <c r="E483" s="10"/>
      <c r="F483" s="10"/>
      <c r="G483" s="10"/>
      <c r="H483" s="10"/>
    </row>
    <row r="484" spans="1:8" ht="14.25" customHeight="1" x14ac:dyDescent="0.35">
      <c r="A484" s="10"/>
      <c r="B484" s="10"/>
      <c r="C484" s="10"/>
      <c r="D484" s="10"/>
      <c r="E484" s="10"/>
      <c r="F484" s="10"/>
      <c r="G484" s="10"/>
      <c r="H484" s="10"/>
    </row>
    <row r="485" spans="1:8" ht="14.25" customHeight="1" x14ac:dyDescent="0.35">
      <c r="A485" s="10"/>
      <c r="B485" s="10"/>
      <c r="C485" s="10"/>
      <c r="D485" s="10"/>
      <c r="E485" s="10"/>
      <c r="F485" s="10"/>
      <c r="G485" s="10"/>
      <c r="H485" s="10"/>
    </row>
    <row r="486" spans="1:8" ht="14.25" customHeight="1" x14ac:dyDescent="0.35">
      <c r="A486" s="10"/>
      <c r="B486" s="10"/>
      <c r="C486" s="10"/>
      <c r="D486" s="10"/>
      <c r="E486" s="10"/>
      <c r="F486" s="10"/>
      <c r="G486" s="10"/>
      <c r="H486" s="10"/>
    </row>
    <row r="487" spans="1:8" ht="14.25" customHeight="1" x14ac:dyDescent="0.35">
      <c r="A487" s="10"/>
      <c r="B487" s="10"/>
      <c r="C487" s="10"/>
      <c r="D487" s="10"/>
      <c r="E487" s="10"/>
      <c r="F487" s="10"/>
      <c r="G487" s="10"/>
      <c r="H487" s="10"/>
    </row>
    <row r="488" spans="1:8" ht="14.25" customHeight="1" x14ac:dyDescent="0.35">
      <c r="A488" s="10"/>
      <c r="B488" s="10"/>
      <c r="C488" s="10"/>
      <c r="D488" s="10"/>
      <c r="E488" s="10"/>
      <c r="F488" s="10"/>
      <c r="G488" s="10"/>
      <c r="H488" s="10"/>
    </row>
    <row r="489" spans="1:8" ht="14.25" customHeight="1" x14ac:dyDescent="0.35">
      <c r="A489" s="10"/>
      <c r="B489" s="10"/>
      <c r="C489" s="10"/>
      <c r="D489" s="10"/>
      <c r="E489" s="10"/>
      <c r="F489" s="10"/>
      <c r="G489" s="10"/>
      <c r="H489" s="10"/>
    </row>
    <row r="490" spans="1:8" ht="14.25" customHeight="1" x14ac:dyDescent="0.35">
      <c r="A490" s="10"/>
      <c r="B490" s="10"/>
      <c r="C490" s="10"/>
      <c r="D490" s="10"/>
      <c r="E490" s="10"/>
      <c r="F490" s="10"/>
      <c r="G490" s="10"/>
      <c r="H490" s="10"/>
    </row>
    <row r="491" spans="1:8" ht="14.25" customHeight="1" x14ac:dyDescent="0.35">
      <c r="A491" s="10"/>
      <c r="B491" s="10"/>
      <c r="C491" s="10"/>
      <c r="D491" s="10"/>
      <c r="E491" s="10"/>
      <c r="F491" s="10"/>
      <c r="G491" s="10"/>
      <c r="H491" s="10"/>
    </row>
    <row r="492" spans="1:8" ht="14.25" customHeight="1" x14ac:dyDescent="0.35">
      <c r="A492" s="10"/>
      <c r="B492" s="10"/>
      <c r="C492" s="10"/>
      <c r="D492" s="10"/>
      <c r="E492" s="10"/>
      <c r="F492" s="10"/>
      <c r="G492" s="10"/>
      <c r="H492" s="10"/>
    </row>
    <row r="493" spans="1:8" ht="14.25" customHeight="1" x14ac:dyDescent="0.35">
      <c r="A493" s="10"/>
      <c r="B493" s="10"/>
      <c r="C493" s="10"/>
      <c r="D493" s="10"/>
      <c r="E493" s="10"/>
      <c r="F493" s="10"/>
      <c r="G493" s="10"/>
      <c r="H493" s="10"/>
    </row>
    <row r="494" spans="1:8" ht="14.25" customHeight="1" x14ac:dyDescent="0.35">
      <c r="A494" s="10"/>
      <c r="B494" s="10"/>
      <c r="C494" s="10"/>
      <c r="D494" s="10"/>
      <c r="E494" s="10"/>
      <c r="F494" s="10"/>
      <c r="G494" s="10"/>
      <c r="H494" s="10"/>
    </row>
    <row r="495" spans="1:8" ht="14.25" customHeight="1" x14ac:dyDescent="0.35">
      <c r="A495" s="10"/>
      <c r="B495" s="10"/>
      <c r="C495" s="10"/>
      <c r="D495" s="10"/>
      <c r="E495" s="10"/>
      <c r="F495" s="10"/>
      <c r="G495" s="10"/>
      <c r="H495" s="10"/>
    </row>
    <row r="496" spans="1:8" ht="14.25" customHeight="1" x14ac:dyDescent="0.35">
      <c r="A496" s="10"/>
      <c r="B496" s="10"/>
      <c r="C496" s="10"/>
      <c r="D496" s="10"/>
      <c r="E496" s="10"/>
      <c r="F496" s="10"/>
      <c r="G496" s="10"/>
      <c r="H496" s="10"/>
    </row>
    <row r="497" spans="1:8" ht="14.25" customHeight="1" x14ac:dyDescent="0.35">
      <c r="A497" s="10"/>
      <c r="B497" s="10"/>
      <c r="C497" s="10"/>
      <c r="D497" s="10"/>
      <c r="E497" s="10"/>
      <c r="F497" s="10"/>
      <c r="G497" s="10"/>
      <c r="H497" s="10"/>
    </row>
    <row r="498" spans="1:8" ht="14.25" customHeight="1" x14ac:dyDescent="0.35">
      <c r="A498" s="10"/>
      <c r="B498" s="10"/>
      <c r="C498" s="10"/>
      <c r="D498" s="10"/>
      <c r="E498" s="10"/>
      <c r="F498" s="10"/>
      <c r="G498" s="10"/>
      <c r="H498" s="10"/>
    </row>
    <row r="499" spans="1:8" ht="14.25" customHeight="1" x14ac:dyDescent="0.35">
      <c r="A499" s="10"/>
      <c r="B499" s="10"/>
      <c r="C499" s="10"/>
      <c r="D499" s="10"/>
      <c r="E499" s="10"/>
      <c r="F499" s="10"/>
      <c r="G499" s="10"/>
      <c r="H499" s="10"/>
    </row>
    <row r="500" spans="1:8" ht="14.25" customHeight="1" x14ac:dyDescent="0.35">
      <c r="A500" s="10"/>
      <c r="B500" s="10"/>
      <c r="C500" s="10"/>
      <c r="D500" s="10"/>
      <c r="E500" s="10"/>
      <c r="F500" s="10"/>
      <c r="G500" s="10"/>
      <c r="H500" s="10"/>
    </row>
    <row r="501" spans="1:8" ht="14.25" customHeight="1" x14ac:dyDescent="0.35">
      <c r="A501" s="10"/>
      <c r="B501" s="10"/>
      <c r="C501" s="10"/>
      <c r="D501" s="10"/>
      <c r="E501" s="10"/>
      <c r="F501" s="10"/>
      <c r="G501" s="10"/>
      <c r="H501" s="10"/>
    </row>
    <row r="502" spans="1:8" ht="14.25" customHeight="1" x14ac:dyDescent="0.35">
      <c r="A502" s="10"/>
      <c r="B502" s="10"/>
      <c r="C502" s="10"/>
      <c r="D502" s="10"/>
      <c r="E502" s="10"/>
      <c r="F502" s="10"/>
      <c r="G502" s="10"/>
      <c r="H502" s="10"/>
    </row>
    <row r="503" spans="1:8" ht="14.25" customHeight="1" x14ac:dyDescent="0.35">
      <c r="A503" s="10"/>
      <c r="B503" s="10"/>
      <c r="C503" s="10"/>
      <c r="D503" s="10"/>
      <c r="E503" s="10"/>
      <c r="F503" s="10"/>
      <c r="G503" s="10"/>
      <c r="H503" s="10"/>
    </row>
    <row r="504" spans="1:8" ht="14.25" customHeight="1" x14ac:dyDescent="0.35">
      <c r="A504" s="10"/>
      <c r="B504" s="10"/>
      <c r="C504" s="10"/>
      <c r="D504" s="10"/>
      <c r="E504" s="10"/>
      <c r="F504" s="10"/>
      <c r="G504" s="10"/>
      <c r="H504" s="10"/>
    </row>
    <row r="505" spans="1:8" ht="14.25" customHeight="1" x14ac:dyDescent="0.35">
      <c r="A505" s="10"/>
      <c r="B505" s="10"/>
      <c r="C505" s="10"/>
      <c r="D505" s="10"/>
      <c r="E505" s="10"/>
      <c r="F505" s="10"/>
      <c r="G505" s="10"/>
      <c r="H505" s="10"/>
    </row>
    <row r="506" spans="1:8" ht="14.25" customHeight="1" x14ac:dyDescent="0.35">
      <c r="A506" s="10"/>
      <c r="B506" s="10"/>
      <c r="C506" s="10"/>
      <c r="D506" s="10"/>
      <c r="E506" s="10"/>
      <c r="F506" s="10"/>
      <c r="G506" s="10"/>
      <c r="H506" s="10"/>
    </row>
    <row r="507" spans="1:8" ht="14.25" customHeight="1" x14ac:dyDescent="0.35">
      <c r="A507" s="10"/>
      <c r="B507" s="10"/>
      <c r="C507" s="10"/>
      <c r="D507" s="10"/>
      <c r="E507" s="10"/>
      <c r="F507" s="10"/>
      <c r="G507" s="10"/>
      <c r="H507" s="10"/>
    </row>
    <row r="508" spans="1:8" ht="14.25" customHeight="1" x14ac:dyDescent="0.35">
      <c r="A508" s="10"/>
      <c r="B508" s="10"/>
      <c r="C508" s="10"/>
      <c r="D508" s="10"/>
      <c r="E508" s="10"/>
      <c r="F508" s="10"/>
      <c r="G508" s="10"/>
      <c r="H508" s="10"/>
    </row>
    <row r="509" spans="1:8" ht="14.25" customHeight="1" x14ac:dyDescent="0.35">
      <c r="A509" s="10"/>
      <c r="B509" s="10"/>
      <c r="C509" s="10"/>
      <c r="D509" s="10"/>
      <c r="E509" s="10"/>
      <c r="F509" s="10"/>
      <c r="G509" s="10"/>
      <c r="H509" s="10"/>
    </row>
    <row r="510" spans="1:8" ht="14.25" customHeight="1" x14ac:dyDescent="0.35">
      <c r="A510" s="10"/>
      <c r="B510" s="10"/>
      <c r="C510" s="10"/>
      <c r="D510" s="10"/>
      <c r="E510" s="10"/>
      <c r="F510" s="10"/>
      <c r="G510" s="10"/>
      <c r="H510" s="10"/>
    </row>
    <row r="511" spans="1:8" ht="14.25" customHeight="1" x14ac:dyDescent="0.35">
      <c r="A511" s="10"/>
      <c r="B511" s="10"/>
      <c r="C511" s="10"/>
      <c r="D511" s="10"/>
      <c r="E511" s="10"/>
      <c r="F511" s="10"/>
      <c r="G511" s="10"/>
      <c r="H511" s="10"/>
    </row>
    <row r="512" spans="1:8" ht="14.25" customHeight="1" x14ac:dyDescent="0.35">
      <c r="A512" s="10"/>
      <c r="B512" s="10"/>
      <c r="C512" s="10"/>
      <c r="D512" s="10"/>
      <c r="E512" s="10"/>
      <c r="F512" s="10"/>
      <c r="G512" s="10"/>
      <c r="H512" s="10"/>
    </row>
    <row r="513" spans="1:8" ht="14.25" customHeight="1" x14ac:dyDescent="0.35">
      <c r="A513" s="10"/>
      <c r="B513" s="10"/>
      <c r="C513" s="10"/>
      <c r="D513" s="10"/>
      <c r="E513" s="10"/>
      <c r="F513" s="10"/>
      <c r="G513" s="10"/>
      <c r="H513" s="10"/>
    </row>
    <row r="514" spans="1:8" ht="14.25" customHeight="1" x14ac:dyDescent="0.35">
      <c r="A514" s="10"/>
      <c r="B514" s="10"/>
      <c r="C514" s="10"/>
      <c r="D514" s="10"/>
      <c r="E514" s="10"/>
      <c r="F514" s="10"/>
      <c r="G514" s="10"/>
      <c r="H514" s="10"/>
    </row>
    <row r="515" spans="1:8" ht="14.25" customHeight="1" x14ac:dyDescent="0.35">
      <c r="A515" s="10"/>
      <c r="B515" s="10"/>
      <c r="C515" s="10"/>
      <c r="D515" s="10"/>
      <c r="E515" s="10"/>
      <c r="F515" s="10"/>
      <c r="G515" s="10"/>
      <c r="H515" s="10"/>
    </row>
    <row r="516" spans="1:8" ht="14.25" customHeight="1" x14ac:dyDescent="0.35">
      <c r="A516" s="10"/>
      <c r="B516" s="10"/>
      <c r="C516" s="10"/>
      <c r="D516" s="10"/>
      <c r="E516" s="10"/>
      <c r="F516" s="10"/>
      <c r="G516" s="10"/>
      <c r="H516" s="10"/>
    </row>
    <row r="517" spans="1:8" ht="14.25" customHeight="1" x14ac:dyDescent="0.35">
      <c r="A517" s="10"/>
      <c r="B517" s="10"/>
      <c r="C517" s="10"/>
      <c r="D517" s="10"/>
      <c r="E517" s="10"/>
      <c r="F517" s="10"/>
      <c r="G517" s="10"/>
      <c r="H517" s="10"/>
    </row>
    <row r="518" spans="1:8" ht="14.25" customHeight="1" x14ac:dyDescent="0.35">
      <c r="A518" s="10"/>
      <c r="B518" s="10"/>
      <c r="C518" s="10"/>
      <c r="D518" s="10"/>
      <c r="E518" s="10"/>
      <c r="F518" s="10"/>
      <c r="G518" s="10"/>
      <c r="H518" s="10"/>
    </row>
    <row r="519" spans="1:8" ht="14.25" customHeight="1" x14ac:dyDescent="0.35">
      <c r="A519" s="10"/>
      <c r="B519" s="10"/>
      <c r="C519" s="10"/>
      <c r="D519" s="10"/>
      <c r="E519" s="10"/>
      <c r="F519" s="10"/>
      <c r="G519" s="10"/>
      <c r="H519" s="10"/>
    </row>
    <row r="520" spans="1:8" ht="14.25" customHeight="1" x14ac:dyDescent="0.35">
      <c r="A520" s="10"/>
      <c r="B520" s="10"/>
      <c r="C520" s="10"/>
      <c r="D520" s="10"/>
      <c r="E520" s="10"/>
      <c r="F520" s="10"/>
      <c r="G520" s="10"/>
      <c r="H520" s="10"/>
    </row>
    <row r="521" spans="1:8" ht="14.25" customHeight="1" x14ac:dyDescent="0.35">
      <c r="A521" s="10"/>
      <c r="B521" s="10"/>
      <c r="C521" s="10"/>
      <c r="D521" s="10"/>
      <c r="E521" s="10"/>
      <c r="F521" s="10"/>
      <c r="G521" s="10"/>
      <c r="H521" s="10"/>
    </row>
    <row r="522" spans="1:8" ht="14.25" customHeight="1" x14ac:dyDescent="0.35">
      <c r="A522" s="10"/>
      <c r="B522" s="10"/>
      <c r="C522" s="10"/>
      <c r="D522" s="10"/>
      <c r="E522" s="10"/>
      <c r="F522" s="10"/>
      <c r="G522" s="10"/>
      <c r="H522" s="10"/>
    </row>
    <row r="523" spans="1:8" ht="14.25" customHeight="1" x14ac:dyDescent="0.35">
      <c r="A523" s="10"/>
      <c r="B523" s="10"/>
      <c r="C523" s="10"/>
      <c r="D523" s="10"/>
      <c r="E523" s="10"/>
      <c r="F523" s="10"/>
      <c r="G523" s="10"/>
      <c r="H523" s="10"/>
    </row>
    <row r="524" spans="1:8" ht="14.25" customHeight="1" x14ac:dyDescent="0.35">
      <c r="A524" s="10"/>
      <c r="B524" s="10"/>
      <c r="C524" s="10"/>
      <c r="D524" s="10"/>
      <c r="E524" s="10"/>
      <c r="F524" s="10"/>
      <c r="G524" s="10"/>
      <c r="H524" s="10"/>
    </row>
    <row r="525" spans="1:8" ht="14.25" customHeight="1" x14ac:dyDescent="0.35">
      <c r="A525" s="10"/>
      <c r="B525" s="10"/>
      <c r="C525" s="10"/>
      <c r="D525" s="10"/>
      <c r="E525" s="10"/>
      <c r="F525" s="10"/>
      <c r="G525" s="10"/>
      <c r="H525" s="10"/>
    </row>
    <row r="526" spans="1:8" ht="14.25" customHeight="1" x14ac:dyDescent="0.35">
      <c r="A526" s="10"/>
      <c r="B526" s="10"/>
      <c r="C526" s="10"/>
      <c r="D526" s="10"/>
      <c r="E526" s="10"/>
      <c r="F526" s="10"/>
      <c r="G526" s="10"/>
      <c r="H526" s="10"/>
    </row>
    <row r="527" spans="1:8" ht="14.25" customHeight="1" x14ac:dyDescent="0.35">
      <c r="A527" s="10"/>
      <c r="B527" s="10"/>
      <c r="C527" s="10"/>
      <c r="D527" s="10"/>
      <c r="E527" s="10"/>
      <c r="F527" s="10"/>
      <c r="G527" s="10"/>
      <c r="H527" s="10"/>
    </row>
    <row r="528" spans="1:8" ht="14.25" customHeight="1" x14ac:dyDescent="0.35">
      <c r="A528" s="10"/>
      <c r="B528" s="10"/>
      <c r="C528" s="10"/>
      <c r="D528" s="10"/>
      <c r="E528" s="10"/>
      <c r="F528" s="10"/>
      <c r="G528" s="10"/>
      <c r="H528" s="10"/>
    </row>
    <row r="529" spans="1:8" ht="14.25" customHeight="1" x14ac:dyDescent="0.35">
      <c r="A529" s="10"/>
      <c r="B529" s="10"/>
      <c r="C529" s="10"/>
      <c r="D529" s="10"/>
      <c r="E529" s="10"/>
      <c r="F529" s="10"/>
      <c r="G529" s="10"/>
      <c r="H529" s="10"/>
    </row>
    <row r="530" spans="1:8" ht="14.25" customHeight="1" x14ac:dyDescent="0.35">
      <c r="A530" s="10"/>
      <c r="B530" s="10"/>
      <c r="C530" s="10"/>
      <c r="D530" s="10"/>
      <c r="E530" s="10"/>
      <c r="F530" s="10"/>
      <c r="G530" s="10"/>
      <c r="H530" s="10"/>
    </row>
    <row r="531" spans="1:8" ht="14.25" customHeight="1" x14ac:dyDescent="0.35">
      <c r="A531" s="10"/>
      <c r="B531" s="10"/>
      <c r="C531" s="10"/>
      <c r="D531" s="10"/>
      <c r="E531" s="10"/>
      <c r="F531" s="10"/>
      <c r="G531" s="10"/>
      <c r="H531" s="10"/>
    </row>
    <row r="532" spans="1:8" ht="14.25" customHeight="1" x14ac:dyDescent="0.35">
      <c r="A532" s="10"/>
      <c r="B532" s="10"/>
      <c r="C532" s="10"/>
      <c r="D532" s="10"/>
      <c r="E532" s="10"/>
      <c r="F532" s="10"/>
      <c r="G532" s="10"/>
      <c r="H532" s="10"/>
    </row>
    <row r="533" spans="1:8" ht="14.25" customHeight="1" x14ac:dyDescent="0.35">
      <c r="A533" s="10"/>
      <c r="B533" s="10"/>
      <c r="C533" s="10"/>
      <c r="D533" s="10"/>
      <c r="E533" s="10"/>
      <c r="F533" s="10"/>
      <c r="G533" s="10"/>
      <c r="H533" s="10"/>
    </row>
    <row r="534" spans="1:8" ht="14.25" customHeight="1" x14ac:dyDescent="0.35">
      <c r="A534" s="10"/>
      <c r="B534" s="10"/>
      <c r="C534" s="10"/>
      <c r="D534" s="10"/>
      <c r="E534" s="10"/>
      <c r="F534" s="10"/>
      <c r="G534" s="10"/>
      <c r="H534" s="10"/>
    </row>
    <row r="535" spans="1:8" ht="14.25" customHeight="1" x14ac:dyDescent="0.35">
      <c r="A535" s="10"/>
      <c r="B535" s="10"/>
      <c r="C535" s="10"/>
      <c r="D535" s="10"/>
      <c r="E535" s="10"/>
      <c r="F535" s="10"/>
      <c r="G535" s="10"/>
      <c r="H535" s="10"/>
    </row>
    <row r="536" spans="1:8" ht="14.25" customHeight="1" x14ac:dyDescent="0.35">
      <c r="A536" s="10"/>
      <c r="B536" s="10"/>
      <c r="C536" s="10"/>
      <c r="D536" s="10"/>
      <c r="E536" s="10"/>
      <c r="F536" s="10"/>
      <c r="G536" s="10"/>
      <c r="H536" s="10"/>
    </row>
    <row r="537" spans="1:8" ht="14.25" customHeight="1" x14ac:dyDescent="0.35">
      <c r="A537" s="10"/>
      <c r="B537" s="10"/>
      <c r="C537" s="10"/>
      <c r="D537" s="10"/>
      <c r="E537" s="10"/>
      <c r="F537" s="10"/>
      <c r="G537" s="10"/>
      <c r="H537" s="10"/>
    </row>
    <row r="538" spans="1:8" ht="14.25" customHeight="1" x14ac:dyDescent="0.35">
      <c r="A538" s="10"/>
      <c r="B538" s="10"/>
      <c r="C538" s="10"/>
      <c r="D538" s="10"/>
      <c r="E538" s="10"/>
      <c r="F538" s="10"/>
      <c r="G538" s="10"/>
      <c r="H538" s="10"/>
    </row>
    <row r="539" spans="1:8" ht="14.25" customHeight="1" x14ac:dyDescent="0.35">
      <c r="A539" s="10"/>
      <c r="B539" s="10"/>
      <c r="C539" s="10"/>
      <c r="D539" s="10"/>
      <c r="E539" s="10"/>
      <c r="F539" s="10"/>
      <c r="G539" s="10"/>
      <c r="H539" s="10"/>
    </row>
    <row r="540" spans="1:8" ht="14.25" customHeight="1" x14ac:dyDescent="0.35">
      <c r="A540" s="10"/>
      <c r="B540" s="10"/>
      <c r="C540" s="10"/>
      <c r="D540" s="10"/>
      <c r="E540" s="10"/>
      <c r="F540" s="10"/>
      <c r="G540" s="10"/>
      <c r="H540" s="10"/>
    </row>
    <row r="541" spans="1:8" ht="14.25" customHeight="1" x14ac:dyDescent="0.35">
      <c r="A541" s="10"/>
      <c r="B541" s="10"/>
      <c r="C541" s="10"/>
      <c r="D541" s="10"/>
      <c r="E541" s="10"/>
      <c r="F541" s="10"/>
      <c r="G541" s="10"/>
      <c r="H541" s="10"/>
    </row>
    <row r="542" spans="1:8" ht="14.25" customHeight="1" x14ac:dyDescent="0.35">
      <c r="A542" s="10"/>
      <c r="B542" s="10"/>
      <c r="C542" s="10"/>
      <c r="D542" s="10"/>
      <c r="E542" s="10"/>
      <c r="F542" s="10"/>
      <c r="G542" s="10"/>
      <c r="H542" s="10"/>
    </row>
    <row r="543" spans="1:8" ht="14.25" customHeight="1" x14ac:dyDescent="0.35">
      <c r="A543" s="10"/>
      <c r="B543" s="10"/>
      <c r="C543" s="10"/>
      <c r="D543" s="10"/>
      <c r="E543" s="10"/>
      <c r="F543" s="10"/>
      <c r="G543" s="10"/>
      <c r="H543" s="10"/>
    </row>
    <row r="544" spans="1:8" ht="14.25" customHeight="1" x14ac:dyDescent="0.35">
      <c r="A544" s="10"/>
      <c r="B544" s="10"/>
      <c r="C544" s="10"/>
      <c r="D544" s="10"/>
      <c r="E544" s="10"/>
      <c r="F544" s="10"/>
      <c r="G544" s="10"/>
      <c r="H544" s="10"/>
    </row>
    <row r="545" spans="1:8" ht="14.25" customHeight="1" x14ac:dyDescent="0.35">
      <c r="A545" s="10"/>
      <c r="B545" s="10"/>
      <c r="C545" s="10"/>
      <c r="D545" s="10"/>
      <c r="E545" s="10"/>
      <c r="F545" s="10"/>
      <c r="G545" s="10"/>
      <c r="H545" s="10"/>
    </row>
    <row r="546" spans="1:8" ht="14.25" customHeight="1" x14ac:dyDescent="0.35">
      <c r="A546" s="10"/>
      <c r="B546" s="10"/>
      <c r="C546" s="10"/>
      <c r="D546" s="10"/>
      <c r="E546" s="10"/>
      <c r="F546" s="10"/>
      <c r="G546" s="10"/>
      <c r="H546" s="10"/>
    </row>
    <row r="547" spans="1:8" ht="14.25" customHeight="1" x14ac:dyDescent="0.35">
      <c r="A547" s="10"/>
      <c r="B547" s="10"/>
      <c r="C547" s="10"/>
      <c r="D547" s="10"/>
      <c r="E547" s="10"/>
      <c r="F547" s="10"/>
      <c r="G547" s="10"/>
      <c r="H547" s="10"/>
    </row>
    <row r="548" spans="1:8" ht="14.25" customHeight="1" x14ac:dyDescent="0.35">
      <c r="A548" s="10"/>
      <c r="B548" s="10"/>
      <c r="C548" s="10"/>
      <c r="D548" s="10"/>
      <c r="E548" s="10"/>
      <c r="F548" s="10"/>
      <c r="G548" s="10"/>
      <c r="H548" s="10"/>
    </row>
    <row r="549" spans="1:8" ht="14.25" customHeight="1" x14ac:dyDescent="0.35">
      <c r="A549" s="10"/>
      <c r="B549" s="10"/>
      <c r="C549" s="10"/>
      <c r="D549" s="10"/>
      <c r="E549" s="10"/>
      <c r="F549" s="10"/>
      <c r="G549" s="10"/>
      <c r="H549" s="10"/>
    </row>
    <row r="550" spans="1:8" ht="14.25" customHeight="1" x14ac:dyDescent="0.35">
      <c r="A550" s="10"/>
      <c r="B550" s="10"/>
      <c r="C550" s="10"/>
      <c r="D550" s="10"/>
      <c r="E550" s="10"/>
      <c r="F550" s="10"/>
      <c r="G550" s="10"/>
      <c r="H550" s="10"/>
    </row>
    <row r="551" spans="1:8" ht="14.25" customHeight="1" x14ac:dyDescent="0.35">
      <c r="A551" s="10"/>
      <c r="B551" s="10"/>
      <c r="C551" s="10"/>
      <c r="D551" s="10"/>
      <c r="E551" s="10"/>
      <c r="F551" s="10"/>
      <c r="G551" s="10"/>
      <c r="H551" s="10"/>
    </row>
    <row r="552" spans="1:8" ht="14.25" customHeight="1" x14ac:dyDescent="0.35">
      <c r="A552" s="10"/>
      <c r="B552" s="10"/>
      <c r="C552" s="10"/>
      <c r="D552" s="10"/>
      <c r="E552" s="10"/>
      <c r="F552" s="10"/>
      <c r="G552" s="10"/>
      <c r="H552" s="10"/>
    </row>
    <row r="553" spans="1:8" ht="14.25" customHeight="1" x14ac:dyDescent="0.35">
      <c r="A553" s="10"/>
      <c r="B553" s="10"/>
      <c r="C553" s="10"/>
      <c r="D553" s="10"/>
      <c r="E553" s="10"/>
      <c r="F553" s="10"/>
      <c r="G553" s="10"/>
      <c r="H553" s="10"/>
    </row>
    <row r="554" spans="1:8" ht="14.25" customHeight="1" x14ac:dyDescent="0.35">
      <c r="A554" s="10"/>
      <c r="B554" s="10"/>
      <c r="C554" s="10"/>
      <c r="D554" s="10"/>
      <c r="E554" s="10"/>
      <c r="F554" s="10"/>
      <c r="G554" s="10"/>
      <c r="H554" s="10"/>
    </row>
    <row r="555" spans="1:8" ht="14.25" customHeight="1" x14ac:dyDescent="0.35">
      <c r="A555" s="10"/>
      <c r="B555" s="10"/>
      <c r="C555" s="10"/>
      <c r="D555" s="10"/>
      <c r="E555" s="10"/>
      <c r="F555" s="10"/>
      <c r="G555" s="10"/>
      <c r="H555" s="10"/>
    </row>
    <row r="556" spans="1:8" ht="14.25" customHeight="1" x14ac:dyDescent="0.35">
      <c r="A556" s="10"/>
      <c r="B556" s="10"/>
      <c r="C556" s="10"/>
      <c r="D556" s="10"/>
      <c r="E556" s="10"/>
      <c r="F556" s="10"/>
      <c r="G556" s="10"/>
      <c r="H556" s="10"/>
    </row>
    <row r="557" spans="1:8" ht="14.25" customHeight="1" x14ac:dyDescent="0.35">
      <c r="A557" s="10"/>
      <c r="B557" s="10"/>
      <c r="C557" s="10"/>
      <c r="D557" s="10"/>
      <c r="E557" s="10"/>
      <c r="F557" s="10"/>
      <c r="G557" s="10"/>
      <c r="H557" s="10"/>
    </row>
    <row r="558" spans="1:8" ht="14.25" customHeight="1" x14ac:dyDescent="0.35">
      <c r="A558" s="10"/>
      <c r="B558" s="10"/>
      <c r="C558" s="10"/>
      <c r="D558" s="10"/>
      <c r="E558" s="10"/>
      <c r="F558" s="10"/>
      <c r="G558" s="10"/>
      <c r="H558" s="10"/>
    </row>
    <row r="559" spans="1:8" ht="14.25" customHeight="1" x14ac:dyDescent="0.35">
      <c r="A559" s="10"/>
      <c r="B559" s="10"/>
      <c r="C559" s="10"/>
      <c r="D559" s="10"/>
      <c r="E559" s="10"/>
      <c r="F559" s="10"/>
      <c r="G559" s="10"/>
      <c r="H559" s="10"/>
    </row>
    <row r="560" spans="1:8" ht="14.25" customHeight="1" x14ac:dyDescent="0.35">
      <c r="A560" s="10"/>
      <c r="B560" s="10"/>
      <c r="C560" s="10"/>
      <c r="D560" s="10"/>
      <c r="E560" s="10"/>
      <c r="F560" s="10"/>
      <c r="G560" s="10"/>
      <c r="H560" s="10"/>
    </row>
    <row r="561" spans="1:8" ht="14.25" customHeight="1" x14ac:dyDescent="0.35">
      <c r="A561" s="10"/>
      <c r="B561" s="10"/>
      <c r="C561" s="10"/>
      <c r="D561" s="10"/>
      <c r="E561" s="10"/>
      <c r="F561" s="10"/>
      <c r="G561" s="10"/>
      <c r="H561" s="10"/>
    </row>
    <row r="562" spans="1:8" ht="14.25" customHeight="1" x14ac:dyDescent="0.35">
      <c r="A562" s="10"/>
      <c r="B562" s="10"/>
      <c r="C562" s="10"/>
      <c r="D562" s="10"/>
      <c r="E562" s="10"/>
      <c r="F562" s="10"/>
      <c r="G562" s="10"/>
      <c r="H562" s="10"/>
    </row>
    <row r="563" spans="1:8" ht="14.25" customHeight="1" x14ac:dyDescent="0.35">
      <c r="A563" s="10"/>
      <c r="B563" s="10"/>
      <c r="C563" s="10"/>
      <c r="D563" s="10"/>
      <c r="E563" s="10"/>
      <c r="F563" s="10"/>
      <c r="G563" s="10"/>
      <c r="H563" s="10"/>
    </row>
    <row r="564" spans="1:8" ht="14.25" customHeight="1" x14ac:dyDescent="0.35">
      <c r="A564" s="10"/>
      <c r="B564" s="10"/>
      <c r="C564" s="10"/>
      <c r="D564" s="10"/>
      <c r="E564" s="10"/>
      <c r="F564" s="10"/>
      <c r="G564" s="10"/>
      <c r="H564" s="10"/>
    </row>
    <row r="565" spans="1:8" ht="14.25" customHeight="1" x14ac:dyDescent="0.35">
      <c r="A565" s="10"/>
      <c r="B565" s="10"/>
      <c r="C565" s="10"/>
      <c r="D565" s="10"/>
      <c r="E565" s="10"/>
      <c r="F565" s="10"/>
      <c r="G565" s="10"/>
      <c r="H565" s="10"/>
    </row>
    <row r="566" spans="1:8" ht="14.25" customHeight="1" x14ac:dyDescent="0.35">
      <c r="A566" s="10"/>
      <c r="B566" s="10"/>
      <c r="C566" s="10"/>
      <c r="D566" s="10"/>
      <c r="E566" s="10"/>
      <c r="F566" s="10"/>
      <c r="G566" s="10"/>
      <c r="H566" s="10"/>
    </row>
    <row r="567" spans="1:8" ht="14.25" customHeight="1" x14ac:dyDescent="0.35">
      <c r="A567" s="10"/>
      <c r="B567" s="10"/>
      <c r="C567" s="10"/>
      <c r="D567" s="10"/>
      <c r="E567" s="10"/>
      <c r="F567" s="10"/>
      <c r="G567" s="10"/>
      <c r="H567" s="10"/>
    </row>
    <row r="568" spans="1:8" ht="14.25" customHeight="1" x14ac:dyDescent="0.35">
      <c r="A568" s="10"/>
      <c r="B568" s="10"/>
      <c r="C568" s="10"/>
      <c r="D568" s="10"/>
      <c r="E568" s="10"/>
      <c r="F568" s="10"/>
      <c r="G568" s="10"/>
      <c r="H568" s="10"/>
    </row>
    <row r="569" spans="1:8" ht="14.25" customHeight="1" x14ac:dyDescent="0.35">
      <c r="A569" s="10"/>
      <c r="B569" s="10"/>
      <c r="C569" s="10"/>
      <c r="D569" s="10"/>
      <c r="E569" s="10"/>
      <c r="F569" s="10"/>
      <c r="G569" s="10"/>
      <c r="H569" s="10"/>
    </row>
    <row r="570" spans="1:8" ht="14.25" customHeight="1" x14ac:dyDescent="0.35">
      <c r="A570" s="10"/>
      <c r="B570" s="10"/>
      <c r="C570" s="10"/>
      <c r="D570" s="10"/>
      <c r="E570" s="10"/>
      <c r="F570" s="10"/>
      <c r="G570" s="10"/>
      <c r="H570" s="10"/>
    </row>
    <row r="571" spans="1:8" ht="14.25" customHeight="1" x14ac:dyDescent="0.35">
      <c r="A571" s="10"/>
      <c r="B571" s="10"/>
      <c r="C571" s="10"/>
      <c r="D571" s="10"/>
      <c r="E571" s="10"/>
      <c r="F571" s="10"/>
      <c r="G571" s="10"/>
      <c r="H571" s="10"/>
    </row>
    <row r="572" spans="1:8" ht="14.25" customHeight="1" x14ac:dyDescent="0.35">
      <c r="A572" s="10"/>
      <c r="B572" s="10"/>
      <c r="C572" s="10"/>
      <c r="D572" s="10"/>
      <c r="E572" s="10"/>
      <c r="F572" s="10"/>
      <c r="G572" s="10"/>
      <c r="H572" s="10"/>
    </row>
    <row r="573" spans="1:8" ht="14.25" customHeight="1" x14ac:dyDescent="0.35">
      <c r="A573" s="10"/>
      <c r="B573" s="10"/>
      <c r="C573" s="10"/>
      <c r="D573" s="10"/>
      <c r="E573" s="10"/>
      <c r="F573" s="10"/>
      <c r="G573" s="10"/>
      <c r="H573" s="10"/>
    </row>
    <row r="574" spans="1:8" ht="14.25" customHeight="1" x14ac:dyDescent="0.35">
      <c r="A574" s="10"/>
      <c r="B574" s="10"/>
      <c r="C574" s="10"/>
      <c r="D574" s="10"/>
      <c r="E574" s="10"/>
      <c r="F574" s="10"/>
      <c r="G574" s="10"/>
      <c r="H574" s="10"/>
    </row>
    <row r="575" spans="1:8" ht="14.25" customHeight="1" x14ac:dyDescent="0.35">
      <c r="A575" s="10"/>
      <c r="B575" s="10"/>
      <c r="C575" s="10"/>
      <c r="D575" s="10"/>
      <c r="E575" s="10"/>
      <c r="F575" s="10"/>
      <c r="G575" s="10"/>
      <c r="H575" s="10"/>
    </row>
    <row r="576" spans="1:8" ht="14.25" customHeight="1" x14ac:dyDescent="0.35">
      <c r="A576" s="10"/>
      <c r="B576" s="10"/>
      <c r="C576" s="10"/>
      <c r="D576" s="10"/>
      <c r="E576" s="10"/>
      <c r="F576" s="10"/>
      <c r="G576" s="10"/>
      <c r="H576" s="10"/>
    </row>
    <row r="577" spans="1:8" ht="14.25" customHeight="1" x14ac:dyDescent="0.35">
      <c r="A577" s="10"/>
      <c r="B577" s="10"/>
      <c r="C577" s="10"/>
      <c r="D577" s="10"/>
      <c r="E577" s="10"/>
      <c r="F577" s="10"/>
      <c r="G577" s="10"/>
      <c r="H577" s="10"/>
    </row>
    <row r="578" spans="1:8" ht="14.25" customHeight="1" x14ac:dyDescent="0.35">
      <c r="A578" s="10"/>
      <c r="B578" s="10"/>
      <c r="C578" s="10"/>
      <c r="D578" s="10"/>
      <c r="E578" s="10"/>
      <c r="F578" s="10"/>
      <c r="G578" s="10"/>
      <c r="H578" s="10"/>
    </row>
    <row r="579" spans="1:8" ht="14.25" customHeight="1" x14ac:dyDescent="0.35">
      <c r="A579" s="10"/>
      <c r="B579" s="10"/>
      <c r="C579" s="10"/>
      <c r="D579" s="10"/>
      <c r="E579" s="10"/>
      <c r="F579" s="10"/>
      <c r="G579" s="10"/>
      <c r="H579" s="10"/>
    </row>
    <row r="580" spans="1:8" ht="14.25" customHeight="1" x14ac:dyDescent="0.35">
      <c r="A580" s="10"/>
      <c r="B580" s="10"/>
      <c r="C580" s="10"/>
      <c r="D580" s="10"/>
      <c r="E580" s="10"/>
      <c r="F580" s="10"/>
      <c r="G580" s="10"/>
      <c r="H580" s="10"/>
    </row>
    <row r="581" spans="1:8" ht="14.25" customHeight="1" x14ac:dyDescent="0.35">
      <c r="A581" s="10"/>
      <c r="B581" s="10"/>
      <c r="C581" s="10"/>
      <c r="D581" s="10"/>
      <c r="E581" s="10"/>
      <c r="F581" s="10"/>
      <c r="G581" s="10"/>
      <c r="H581" s="10"/>
    </row>
    <row r="582" spans="1:8" ht="14.25" customHeight="1" x14ac:dyDescent="0.35">
      <c r="A582" s="10"/>
      <c r="B582" s="10"/>
      <c r="C582" s="10"/>
      <c r="D582" s="10"/>
      <c r="E582" s="10"/>
      <c r="F582" s="10"/>
      <c r="G582" s="10"/>
      <c r="H582" s="10"/>
    </row>
    <row r="583" spans="1:8" ht="14.25" customHeight="1" x14ac:dyDescent="0.35">
      <c r="A583" s="10"/>
      <c r="B583" s="10"/>
      <c r="C583" s="10"/>
      <c r="D583" s="10"/>
      <c r="E583" s="10"/>
      <c r="F583" s="10"/>
      <c r="G583" s="10"/>
      <c r="H583" s="10"/>
    </row>
    <row r="584" spans="1:8" ht="14.25" customHeight="1" x14ac:dyDescent="0.35">
      <c r="A584" s="10"/>
      <c r="B584" s="10"/>
      <c r="C584" s="10"/>
      <c r="D584" s="10"/>
      <c r="E584" s="10"/>
      <c r="F584" s="10"/>
      <c r="G584" s="10"/>
      <c r="H584" s="10"/>
    </row>
    <row r="585" spans="1:8" ht="14.25" customHeight="1" x14ac:dyDescent="0.35">
      <c r="A585" s="10"/>
      <c r="B585" s="10"/>
      <c r="C585" s="10"/>
      <c r="D585" s="10"/>
      <c r="E585" s="10"/>
      <c r="F585" s="10"/>
      <c r="G585" s="10"/>
      <c r="H585" s="10"/>
    </row>
    <row r="586" spans="1:8" ht="14.25" customHeight="1" x14ac:dyDescent="0.35">
      <c r="A586" s="10"/>
      <c r="B586" s="10"/>
      <c r="C586" s="10"/>
      <c r="D586" s="10"/>
      <c r="E586" s="10"/>
      <c r="F586" s="10"/>
      <c r="G586" s="10"/>
      <c r="H586" s="10"/>
    </row>
    <row r="587" spans="1:8" ht="14.25" customHeight="1" x14ac:dyDescent="0.35">
      <c r="A587" s="10"/>
      <c r="B587" s="10"/>
      <c r="C587" s="10"/>
      <c r="D587" s="10"/>
      <c r="E587" s="10"/>
      <c r="F587" s="10"/>
      <c r="G587" s="10"/>
      <c r="H587" s="10"/>
    </row>
    <row r="588" spans="1:8" ht="14.25" customHeight="1" x14ac:dyDescent="0.35">
      <c r="A588" s="10"/>
      <c r="B588" s="10"/>
      <c r="C588" s="10"/>
      <c r="D588" s="10"/>
      <c r="E588" s="10"/>
      <c r="F588" s="10"/>
      <c r="G588" s="10"/>
      <c r="H588" s="10"/>
    </row>
    <row r="589" spans="1:8" ht="14.25" customHeight="1" x14ac:dyDescent="0.35">
      <c r="A589" s="10"/>
      <c r="B589" s="10"/>
      <c r="C589" s="10"/>
      <c r="D589" s="10"/>
      <c r="E589" s="10"/>
      <c r="F589" s="10"/>
      <c r="G589" s="10"/>
      <c r="H589" s="10"/>
    </row>
    <row r="590" spans="1:8" ht="14.25" customHeight="1" x14ac:dyDescent="0.35">
      <c r="A590" s="10"/>
      <c r="B590" s="10"/>
      <c r="C590" s="10"/>
      <c r="D590" s="10"/>
      <c r="E590" s="10"/>
      <c r="F590" s="10"/>
      <c r="G590" s="10"/>
      <c r="H590" s="10"/>
    </row>
    <row r="591" spans="1:8" ht="14.25" customHeight="1" x14ac:dyDescent="0.35">
      <c r="A591" s="10"/>
      <c r="B591" s="10"/>
      <c r="C591" s="10"/>
      <c r="D591" s="10"/>
      <c r="E591" s="10"/>
      <c r="F591" s="10"/>
      <c r="G591" s="10"/>
      <c r="H591" s="10"/>
    </row>
    <row r="592" spans="1:8" ht="14.25" customHeight="1" x14ac:dyDescent="0.35">
      <c r="A592" s="10"/>
      <c r="B592" s="10"/>
      <c r="C592" s="10"/>
      <c r="D592" s="10"/>
      <c r="E592" s="10"/>
      <c r="F592" s="10"/>
      <c r="G592" s="10"/>
      <c r="H592" s="10"/>
    </row>
    <row r="593" spans="1:8" ht="14.25" customHeight="1" x14ac:dyDescent="0.35">
      <c r="A593" s="10"/>
      <c r="B593" s="10"/>
      <c r="C593" s="10"/>
      <c r="D593" s="10"/>
      <c r="E593" s="10"/>
      <c r="F593" s="10"/>
      <c r="G593" s="10"/>
      <c r="H593" s="10"/>
    </row>
    <row r="594" spans="1:8" ht="14.25" customHeight="1" x14ac:dyDescent="0.35">
      <c r="A594" s="10"/>
      <c r="B594" s="10"/>
      <c r="C594" s="10"/>
      <c r="D594" s="10"/>
      <c r="E594" s="10"/>
      <c r="F594" s="10"/>
      <c r="G594" s="10"/>
      <c r="H594" s="10"/>
    </row>
    <row r="595" spans="1:8" ht="14.25" customHeight="1" x14ac:dyDescent="0.35">
      <c r="A595" s="10"/>
      <c r="B595" s="10"/>
      <c r="C595" s="10"/>
      <c r="D595" s="10"/>
      <c r="E595" s="10"/>
      <c r="F595" s="10"/>
      <c r="G595" s="10"/>
      <c r="H595" s="10"/>
    </row>
    <row r="596" spans="1:8" ht="14.25" customHeight="1" x14ac:dyDescent="0.35">
      <c r="A596" s="10"/>
      <c r="B596" s="10"/>
      <c r="C596" s="10"/>
      <c r="D596" s="10"/>
      <c r="E596" s="10"/>
      <c r="F596" s="10"/>
      <c r="G596" s="10"/>
      <c r="H596" s="10"/>
    </row>
    <row r="597" spans="1:8" ht="14.25" customHeight="1" x14ac:dyDescent="0.35">
      <c r="A597" s="10"/>
      <c r="B597" s="10"/>
      <c r="C597" s="10"/>
      <c r="D597" s="10"/>
      <c r="E597" s="10"/>
      <c r="F597" s="10"/>
      <c r="G597" s="10"/>
      <c r="H597" s="10"/>
    </row>
    <row r="598" spans="1:8" ht="14.25" customHeight="1" x14ac:dyDescent="0.35">
      <c r="A598" s="10"/>
      <c r="B598" s="10"/>
      <c r="C598" s="10"/>
      <c r="D598" s="10"/>
      <c r="E598" s="10"/>
      <c r="F598" s="10"/>
      <c r="G598" s="10"/>
      <c r="H598" s="10"/>
    </row>
    <row r="599" spans="1:8" ht="14.25" customHeight="1" x14ac:dyDescent="0.35">
      <c r="A599" s="10"/>
      <c r="B599" s="10"/>
      <c r="C599" s="10"/>
      <c r="D599" s="10"/>
      <c r="E599" s="10"/>
      <c r="F599" s="10"/>
      <c r="G599" s="10"/>
      <c r="H599" s="10"/>
    </row>
    <row r="600" spans="1:8" ht="14.25" customHeight="1" x14ac:dyDescent="0.35">
      <c r="A600" s="10"/>
      <c r="B600" s="10"/>
      <c r="C600" s="10"/>
      <c r="D600" s="10"/>
      <c r="E600" s="10"/>
      <c r="F600" s="10"/>
      <c r="G600" s="10"/>
      <c r="H600" s="10"/>
    </row>
    <row r="601" spans="1:8" ht="14.25" customHeight="1" x14ac:dyDescent="0.35">
      <c r="A601" s="10"/>
      <c r="B601" s="10"/>
      <c r="C601" s="10"/>
      <c r="D601" s="10"/>
      <c r="E601" s="10"/>
      <c r="F601" s="10"/>
      <c r="G601" s="10"/>
      <c r="H601" s="10"/>
    </row>
    <row r="602" spans="1:8" ht="14.25" customHeight="1" x14ac:dyDescent="0.35">
      <c r="A602" s="10"/>
      <c r="B602" s="10"/>
      <c r="C602" s="10"/>
      <c r="D602" s="10"/>
      <c r="E602" s="10"/>
      <c r="F602" s="10"/>
      <c r="G602" s="10"/>
      <c r="H602" s="10"/>
    </row>
    <row r="603" spans="1:8" ht="14.25" customHeight="1" x14ac:dyDescent="0.35">
      <c r="A603" s="10"/>
      <c r="B603" s="10"/>
      <c r="C603" s="10"/>
      <c r="D603" s="10"/>
      <c r="E603" s="10"/>
      <c r="F603" s="10"/>
      <c r="G603" s="10"/>
      <c r="H603" s="10"/>
    </row>
    <row r="604" spans="1:8" ht="14.25" customHeight="1" x14ac:dyDescent="0.35">
      <c r="A604" s="10"/>
      <c r="B604" s="10"/>
      <c r="C604" s="10"/>
      <c r="D604" s="10"/>
      <c r="E604" s="10"/>
      <c r="F604" s="10"/>
      <c r="G604" s="10"/>
      <c r="H604" s="10"/>
    </row>
    <row r="605" spans="1:8" ht="14.25" customHeight="1" x14ac:dyDescent="0.35">
      <c r="A605" s="10"/>
      <c r="B605" s="10"/>
      <c r="C605" s="10"/>
      <c r="D605" s="10"/>
      <c r="E605" s="10"/>
      <c r="F605" s="10"/>
      <c r="G605" s="10"/>
      <c r="H605" s="10"/>
    </row>
    <row r="606" spans="1:8" ht="14.25" customHeight="1" x14ac:dyDescent="0.35">
      <c r="A606" s="10"/>
      <c r="B606" s="10"/>
      <c r="C606" s="10"/>
      <c r="D606" s="10"/>
      <c r="E606" s="10"/>
      <c r="F606" s="10"/>
      <c r="G606" s="10"/>
      <c r="H606" s="10"/>
    </row>
    <row r="607" spans="1:8" ht="14.25" customHeight="1" x14ac:dyDescent="0.35">
      <c r="A607" s="10"/>
      <c r="B607" s="10"/>
      <c r="C607" s="10"/>
      <c r="D607" s="10"/>
      <c r="E607" s="10"/>
      <c r="F607" s="10"/>
      <c r="G607" s="10"/>
      <c r="H607" s="10"/>
    </row>
    <row r="608" spans="1:8" ht="14.25" customHeight="1" x14ac:dyDescent="0.35">
      <c r="A608" s="10"/>
      <c r="B608" s="10"/>
      <c r="C608" s="10"/>
      <c r="D608" s="10"/>
      <c r="E608" s="10"/>
      <c r="F608" s="10"/>
      <c r="G608" s="10"/>
      <c r="H608" s="10"/>
    </row>
    <row r="609" spans="1:8" ht="14.25" customHeight="1" x14ac:dyDescent="0.35">
      <c r="A609" s="10"/>
      <c r="B609" s="10"/>
      <c r="C609" s="10"/>
      <c r="D609" s="10"/>
      <c r="E609" s="10"/>
      <c r="F609" s="10"/>
      <c r="G609" s="10"/>
      <c r="H609" s="10"/>
    </row>
    <row r="610" spans="1:8" ht="14.25" customHeight="1" x14ac:dyDescent="0.35">
      <c r="A610" s="10"/>
      <c r="B610" s="10"/>
      <c r="C610" s="10"/>
      <c r="D610" s="10"/>
      <c r="E610" s="10"/>
      <c r="F610" s="10"/>
      <c r="G610" s="10"/>
      <c r="H610" s="10"/>
    </row>
    <row r="611" spans="1:8" ht="14.25" customHeight="1" x14ac:dyDescent="0.35">
      <c r="A611" s="10"/>
      <c r="B611" s="10"/>
      <c r="C611" s="10"/>
      <c r="D611" s="10"/>
      <c r="E611" s="10"/>
      <c r="F611" s="10"/>
      <c r="G611" s="10"/>
      <c r="H611" s="10"/>
    </row>
    <row r="612" spans="1:8" ht="14.25" customHeight="1" x14ac:dyDescent="0.35">
      <c r="A612" s="10"/>
      <c r="B612" s="10"/>
      <c r="C612" s="10"/>
      <c r="D612" s="10"/>
      <c r="E612" s="10"/>
      <c r="F612" s="10"/>
      <c r="G612" s="10"/>
      <c r="H612" s="10"/>
    </row>
    <row r="613" spans="1:8" ht="14.25" customHeight="1" x14ac:dyDescent="0.35">
      <c r="A613" s="10"/>
      <c r="B613" s="10"/>
      <c r="C613" s="10"/>
      <c r="D613" s="10"/>
      <c r="E613" s="10"/>
      <c r="F613" s="10"/>
      <c r="G613" s="10"/>
      <c r="H613" s="10"/>
    </row>
    <row r="614" spans="1:8" ht="14.25" customHeight="1" x14ac:dyDescent="0.35">
      <c r="A614" s="10"/>
      <c r="B614" s="10"/>
      <c r="C614" s="10"/>
      <c r="D614" s="10"/>
      <c r="E614" s="10"/>
      <c r="F614" s="10"/>
      <c r="G614" s="10"/>
      <c r="H614" s="10"/>
    </row>
    <row r="615" spans="1:8" ht="14.25" customHeight="1" x14ac:dyDescent="0.35">
      <c r="A615" s="10"/>
      <c r="B615" s="10"/>
      <c r="C615" s="10"/>
      <c r="D615" s="10"/>
      <c r="E615" s="10"/>
      <c r="F615" s="10"/>
      <c r="G615" s="10"/>
      <c r="H615" s="10"/>
    </row>
    <row r="616" spans="1:8" ht="14.25" customHeight="1" x14ac:dyDescent="0.35">
      <c r="A616" s="10"/>
      <c r="B616" s="10"/>
      <c r="C616" s="10"/>
      <c r="D616" s="10"/>
      <c r="E616" s="10"/>
      <c r="F616" s="10"/>
      <c r="G616" s="10"/>
      <c r="H616" s="10"/>
    </row>
    <row r="617" spans="1:8" ht="14.25" customHeight="1" x14ac:dyDescent="0.35">
      <c r="A617" s="10"/>
      <c r="B617" s="10"/>
      <c r="C617" s="10"/>
      <c r="D617" s="10"/>
      <c r="E617" s="10"/>
      <c r="F617" s="10"/>
      <c r="G617" s="10"/>
      <c r="H617" s="10"/>
    </row>
    <row r="618" spans="1:8" ht="14.25" customHeight="1" x14ac:dyDescent="0.35">
      <c r="A618" s="10"/>
      <c r="B618" s="10"/>
      <c r="C618" s="10"/>
      <c r="D618" s="10"/>
      <c r="E618" s="10"/>
      <c r="F618" s="10"/>
      <c r="G618" s="10"/>
      <c r="H618" s="10"/>
    </row>
    <row r="619" spans="1:8" ht="14.25" customHeight="1" x14ac:dyDescent="0.35">
      <c r="A619" s="10"/>
      <c r="B619" s="10"/>
      <c r="C619" s="10"/>
      <c r="D619" s="10"/>
      <c r="E619" s="10"/>
      <c r="F619" s="10"/>
      <c r="G619" s="10"/>
      <c r="H619" s="10"/>
    </row>
    <row r="620" spans="1:8" ht="14.25" customHeight="1" x14ac:dyDescent="0.35">
      <c r="A620" s="10"/>
      <c r="B620" s="10"/>
      <c r="C620" s="10"/>
      <c r="D620" s="10"/>
      <c r="E620" s="10"/>
      <c r="F620" s="10"/>
      <c r="G620" s="10"/>
      <c r="H620" s="10"/>
    </row>
    <row r="621" spans="1:8" ht="14.25" customHeight="1" x14ac:dyDescent="0.35">
      <c r="A621" s="10"/>
      <c r="B621" s="10"/>
      <c r="C621" s="10"/>
      <c r="D621" s="10"/>
      <c r="E621" s="10"/>
      <c r="F621" s="10"/>
      <c r="G621" s="10"/>
      <c r="H621" s="10"/>
    </row>
    <row r="622" spans="1:8" ht="14.25" customHeight="1" x14ac:dyDescent="0.35">
      <c r="A622" s="10"/>
      <c r="B622" s="10"/>
      <c r="C622" s="10"/>
      <c r="D622" s="10"/>
      <c r="E622" s="10"/>
      <c r="F622" s="10"/>
      <c r="G622" s="10"/>
      <c r="H622" s="10"/>
    </row>
    <row r="623" spans="1:8" ht="14.25" customHeight="1" x14ac:dyDescent="0.35">
      <c r="A623" s="10"/>
      <c r="B623" s="10"/>
      <c r="C623" s="10"/>
      <c r="D623" s="10"/>
      <c r="E623" s="10"/>
      <c r="F623" s="10"/>
      <c r="G623" s="10"/>
      <c r="H623" s="10"/>
    </row>
    <row r="624" spans="1:8" ht="14.25" customHeight="1" x14ac:dyDescent="0.35">
      <c r="A624" s="10"/>
      <c r="B624" s="10"/>
      <c r="C624" s="10"/>
      <c r="D624" s="10"/>
      <c r="E624" s="10"/>
      <c r="F624" s="10"/>
      <c r="G624" s="10"/>
      <c r="H624" s="10"/>
    </row>
    <row r="625" spans="1:8" ht="14.25" customHeight="1" x14ac:dyDescent="0.35">
      <c r="A625" s="10"/>
      <c r="B625" s="10"/>
      <c r="C625" s="10"/>
      <c r="D625" s="10"/>
      <c r="E625" s="10"/>
      <c r="F625" s="10"/>
      <c r="G625" s="10"/>
      <c r="H625" s="10"/>
    </row>
    <row r="626" spans="1:8" ht="14.25" customHeight="1" x14ac:dyDescent="0.35">
      <c r="A626" s="10"/>
      <c r="B626" s="10"/>
      <c r="C626" s="10"/>
      <c r="D626" s="10"/>
      <c r="E626" s="10"/>
      <c r="F626" s="10"/>
      <c r="G626" s="10"/>
      <c r="H626" s="10"/>
    </row>
    <row r="627" spans="1:8" ht="14.25" customHeight="1" x14ac:dyDescent="0.35">
      <c r="A627" s="10"/>
      <c r="B627" s="10"/>
      <c r="C627" s="10"/>
      <c r="D627" s="10"/>
      <c r="E627" s="10"/>
      <c r="F627" s="10"/>
      <c r="G627" s="10"/>
      <c r="H627" s="10"/>
    </row>
    <row r="628" spans="1:8" ht="14.25" customHeight="1" x14ac:dyDescent="0.35">
      <c r="A628" s="10"/>
      <c r="B628" s="10"/>
      <c r="C628" s="10"/>
      <c r="D628" s="10"/>
      <c r="E628" s="10"/>
      <c r="F628" s="10"/>
      <c r="G628" s="10"/>
      <c r="H628" s="10"/>
    </row>
    <row r="629" spans="1:8" ht="14.25" customHeight="1" x14ac:dyDescent="0.35">
      <c r="A629" s="10"/>
      <c r="B629" s="10"/>
      <c r="C629" s="10"/>
      <c r="D629" s="10"/>
      <c r="E629" s="10"/>
      <c r="F629" s="10"/>
      <c r="G629" s="10"/>
      <c r="H629" s="10"/>
    </row>
    <row r="630" spans="1:8" ht="14.25" customHeight="1" x14ac:dyDescent="0.35">
      <c r="A630" s="10"/>
      <c r="B630" s="10"/>
      <c r="C630" s="10"/>
      <c r="D630" s="10"/>
      <c r="E630" s="10"/>
      <c r="F630" s="10"/>
      <c r="G630" s="10"/>
      <c r="H630" s="10"/>
    </row>
    <row r="631" spans="1:8" ht="14.25" customHeight="1" x14ac:dyDescent="0.35">
      <c r="A631" s="10"/>
      <c r="B631" s="10"/>
      <c r="C631" s="10"/>
      <c r="D631" s="10"/>
      <c r="E631" s="10"/>
      <c r="F631" s="10"/>
      <c r="G631" s="10"/>
      <c r="H631" s="10"/>
    </row>
    <row r="632" spans="1:8" ht="14.25" customHeight="1" x14ac:dyDescent="0.35">
      <c r="A632" s="10"/>
      <c r="B632" s="10"/>
      <c r="C632" s="10"/>
      <c r="D632" s="10"/>
      <c r="E632" s="10"/>
      <c r="F632" s="10"/>
      <c r="G632" s="10"/>
      <c r="H632" s="10"/>
    </row>
    <row r="633" spans="1:8" ht="14.25" customHeight="1" x14ac:dyDescent="0.35">
      <c r="A633" s="10"/>
      <c r="B633" s="10"/>
      <c r="C633" s="10"/>
      <c r="D633" s="10"/>
      <c r="E633" s="10"/>
      <c r="F633" s="10"/>
      <c r="G633" s="10"/>
      <c r="H633" s="10"/>
    </row>
    <row r="634" spans="1:8" ht="14.25" customHeight="1" x14ac:dyDescent="0.35">
      <c r="A634" s="10"/>
      <c r="B634" s="10"/>
      <c r="C634" s="10"/>
      <c r="D634" s="10"/>
      <c r="E634" s="10"/>
      <c r="F634" s="10"/>
      <c r="G634" s="10"/>
      <c r="H634" s="10"/>
    </row>
    <row r="635" spans="1:8" ht="14.25" customHeight="1" x14ac:dyDescent="0.35">
      <c r="A635" s="10"/>
      <c r="B635" s="10"/>
      <c r="C635" s="10"/>
      <c r="D635" s="10"/>
      <c r="E635" s="10"/>
      <c r="F635" s="10"/>
      <c r="G635" s="10"/>
      <c r="H635" s="10"/>
    </row>
    <row r="636" spans="1:8" ht="14.25" customHeight="1" x14ac:dyDescent="0.35">
      <c r="A636" s="10"/>
      <c r="B636" s="10"/>
      <c r="C636" s="10"/>
      <c r="D636" s="10"/>
      <c r="E636" s="10"/>
      <c r="F636" s="10"/>
      <c r="G636" s="10"/>
      <c r="H636" s="10"/>
    </row>
    <row r="637" spans="1:8" ht="14.25" customHeight="1" x14ac:dyDescent="0.35">
      <c r="A637" s="10"/>
      <c r="B637" s="10"/>
      <c r="C637" s="10"/>
      <c r="D637" s="10"/>
      <c r="E637" s="10"/>
      <c r="F637" s="10"/>
      <c r="G637" s="10"/>
      <c r="H637" s="10"/>
    </row>
    <row r="638" spans="1:8" ht="14.25" customHeight="1" x14ac:dyDescent="0.35">
      <c r="A638" s="10"/>
      <c r="B638" s="10"/>
      <c r="C638" s="10"/>
      <c r="D638" s="10"/>
      <c r="E638" s="10"/>
      <c r="F638" s="10"/>
      <c r="G638" s="10"/>
      <c r="H638" s="10"/>
    </row>
    <row r="639" spans="1:8" ht="14.25" customHeight="1" x14ac:dyDescent="0.35">
      <c r="A639" s="10"/>
      <c r="B639" s="10"/>
      <c r="C639" s="10"/>
      <c r="D639" s="10"/>
      <c r="E639" s="10"/>
      <c r="F639" s="10"/>
      <c r="G639" s="10"/>
      <c r="H639" s="10"/>
    </row>
    <row r="640" spans="1:8" ht="14.25" customHeight="1" x14ac:dyDescent="0.35">
      <c r="A640" s="10"/>
      <c r="B640" s="10"/>
      <c r="C640" s="10"/>
      <c r="D640" s="10"/>
      <c r="E640" s="10"/>
      <c r="F640" s="10"/>
      <c r="G640" s="10"/>
      <c r="H640" s="10"/>
    </row>
    <row r="641" spans="1:8" ht="14.25" customHeight="1" x14ac:dyDescent="0.35">
      <c r="A641" s="10"/>
      <c r="B641" s="10"/>
      <c r="C641" s="10"/>
      <c r="D641" s="10"/>
      <c r="E641" s="10"/>
      <c r="F641" s="10"/>
      <c r="G641" s="10"/>
      <c r="H641" s="10"/>
    </row>
    <row r="642" spans="1:8" ht="14.25" customHeight="1" x14ac:dyDescent="0.35">
      <c r="A642" s="10"/>
      <c r="B642" s="10"/>
      <c r="C642" s="10"/>
      <c r="D642" s="10"/>
      <c r="E642" s="10"/>
      <c r="F642" s="10"/>
      <c r="G642" s="10"/>
      <c r="H642" s="10"/>
    </row>
    <row r="643" spans="1:8" ht="14.25" customHeight="1" x14ac:dyDescent="0.35">
      <c r="A643" s="10"/>
      <c r="B643" s="10"/>
      <c r="C643" s="10"/>
      <c r="D643" s="10"/>
      <c r="E643" s="10"/>
      <c r="F643" s="10"/>
      <c r="G643" s="10"/>
      <c r="H643" s="10"/>
    </row>
    <row r="644" spans="1:8" ht="14.25" customHeight="1" x14ac:dyDescent="0.35">
      <c r="A644" s="10"/>
      <c r="B644" s="10"/>
      <c r="C644" s="10"/>
      <c r="D644" s="10"/>
      <c r="E644" s="10"/>
      <c r="F644" s="10"/>
      <c r="G644" s="10"/>
      <c r="H644" s="10"/>
    </row>
    <row r="645" spans="1:8" ht="14.25" customHeight="1" x14ac:dyDescent="0.35">
      <c r="A645" s="10"/>
      <c r="B645" s="10"/>
      <c r="C645" s="10"/>
      <c r="D645" s="10"/>
      <c r="E645" s="10"/>
      <c r="F645" s="10"/>
      <c r="G645" s="10"/>
      <c r="H645" s="10"/>
    </row>
    <row r="646" spans="1:8" ht="14.25" customHeight="1" x14ac:dyDescent="0.35">
      <c r="A646" s="10"/>
      <c r="B646" s="10"/>
      <c r="C646" s="10"/>
      <c r="D646" s="10"/>
      <c r="E646" s="10"/>
      <c r="F646" s="10"/>
      <c r="G646" s="10"/>
      <c r="H646" s="10"/>
    </row>
    <row r="647" spans="1:8" ht="14.25" customHeight="1" x14ac:dyDescent="0.35">
      <c r="A647" s="10"/>
      <c r="B647" s="10"/>
      <c r="C647" s="10"/>
      <c r="D647" s="10"/>
      <c r="E647" s="10"/>
      <c r="F647" s="10"/>
      <c r="G647" s="10"/>
      <c r="H647" s="10"/>
    </row>
    <row r="648" spans="1:8" ht="14.25" customHeight="1" x14ac:dyDescent="0.35">
      <c r="A648" s="10"/>
      <c r="B648" s="10"/>
      <c r="C648" s="10"/>
      <c r="D648" s="10"/>
      <c r="E648" s="10"/>
      <c r="F648" s="10"/>
      <c r="G648" s="10"/>
      <c r="H648" s="10"/>
    </row>
    <row r="649" spans="1:8" ht="14.25" customHeight="1" x14ac:dyDescent="0.35">
      <c r="A649" s="10"/>
      <c r="B649" s="10"/>
      <c r="C649" s="10"/>
      <c r="D649" s="10"/>
      <c r="E649" s="10"/>
      <c r="F649" s="10"/>
      <c r="G649" s="10"/>
      <c r="H649" s="10"/>
    </row>
    <row r="650" spans="1:8" ht="14.25" customHeight="1" x14ac:dyDescent="0.35">
      <c r="A650" s="10"/>
      <c r="B650" s="10"/>
      <c r="C650" s="10"/>
      <c r="D650" s="10"/>
      <c r="E650" s="10"/>
      <c r="F650" s="10"/>
      <c r="G650" s="10"/>
      <c r="H650" s="10"/>
    </row>
    <row r="651" spans="1:8" ht="14.25" customHeight="1" x14ac:dyDescent="0.35">
      <c r="A651" s="10"/>
      <c r="B651" s="10"/>
      <c r="C651" s="10"/>
      <c r="D651" s="10"/>
      <c r="E651" s="10"/>
      <c r="F651" s="10"/>
      <c r="G651" s="10"/>
      <c r="H651" s="10"/>
    </row>
    <row r="652" spans="1:8" ht="14.25" customHeight="1" x14ac:dyDescent="0.35">
      <c r="A652" s="10"/>
      <c r="B652" s="10"/>
      <c r="C652" s="10"/>
      <c r="D652" s="10"/>
      <c r="E652" s="10"/>
      <c r="F652" s="10"/>
      <c r="G652" s="10"/>
      <c r="H652" s="10"/>
    </row>
    <row r="653" spans="1:8" ht="14.25" customHeight="1" x14ac:dyDescent="0.35">
      <c r="A653" s="10"/>
      <c r="B653" s="10"/>
      <c r="C653" s="10"/>
      <c r="D653" s="10"/>
      <c r="E653" s="10"/>
      <c r="F653" s="10"/>
      <c r="G653" s="10"/>
      <c r="H653" s="10"/>
    </row>
    <row r="654" spans="1:8" ht="14.25" customHeight="1" x14ac:dyDescent="0.35">
      <c r="A654" s="10"/>
      <c r="B654" s="10"/>
      <c r="C654" s="10"/>
      <c r="D654" s="10"/>
      <c r="E654" s="10"/>
      <c r="F654" s="10"/>
      <c r="G654" s="10"/>
      <c r="H654" s="10"/>
    </row>
    <row r="655" spans="1:8" ht="14.25" customHeight="1" x14ac:dyDescent="0.35">
      <c r="A655" s="10"/>
      <c r="B655" s="10"/>
      <c r="C655" s="10"/>
      <c r="D655" s="10"/>
      <c r="E655" s="10"/>
      <c r="F655" s="10"/>
      <c r="G655" s="10"/>
      <c r="H655" s="10"/>
    </row>
    <row r="656" spans="1:8" ht="14.25" customHeight="1" x14ac:dyDescent="0.35">
      <c r="A656" s="10"/>
      <c r="B656" s="10"/>
      <c r="C656" s="10"/>
      <c r="D656" s="10"/>
      <c r="E656" s="10"/>
      <c r="F656" s="10"/>
      <c r="G656" s="10"/>
      <c r="H656" s="10"/>
    </row>
    <row r="657" spans="1:8" ht="14.25" customHeight="1" x14ac:dyDescent="0.35">
      <c r="A657" s="10"/>
      <c r="B657" s="10"/>
      <c r="C657" s="10"/>
      <c r="D657" s="10"/>
      <c r="E657" s="10"/>
      <c r="F657" s="10"/>
      <c r="G657" s="10"/>
      <c r="H657" s="10"/>
    </row>
    <row r="658" spans="1:8" ht="14.25" customHeight="1" x14ac:dyDescent="0.35">
      <c r="A658" s="10"/>
      <c r="B658" s="10"/>
      <c r="C658" s="10"/>
      <c r="D658" s="10"/>
      <c r="E658" s="10"/>
      <c r="F658" s="10"/>
      <c r="G658" s="10"/>
      <c r="H658" s="10"/>
    </row>
    <row r="659" spans="1:8" ht="14.25" customHeight="1" x14ac:dyDescent="0.35">
      <c r="A659" s="10"/>
      <c r="B659" s="10"/>
      <c r="C659" s="10"/>
      <c r="D659" s="10"/>
      <c r="E659" s="10"/>
      <c r="F659" s="10"/>
      <c r="G659" s="10"/>
      <c r="H659" s="10"/>
    </row>
    <row r="660" spans="1:8" ht="14.25" customHeight="1" x14ac:dyDescent="0.35">
      <c r="A660" s="10"/>
      <c r="B660" s="10"/>
      <c r="C660" s="10"/>
      <c r="D660" s="10"/>
      <c r="E660" s="10"/>
      <c r="F660" s="10"/>
      <c r="G660" s="10"/>
      <c r="H660" s="10"/>
    </row>
    <row r="661" spans="1:8" ht="14.25" customHeight="1" x14ac:dyDescent="0.35">
      <c r="A661" s="10"/>
      <c r="B661" s="10"/>
      <c r="C661" s="10"/>
      <c r="D661" s="10"/>
      <c r="E661" s="10"/>
      <c r="F661" s="10"/>
      <c r="G661" s="10"/>
      <c r="H661" s="10"/>
    </row>
    <row r="662" spans="1:8" ht="14.25" customHeight="1" x14ac:dyDescent="0.35">
      <c r="A662" s="10"/>
      <c r="B662" s="10"/>
      <c r="C662" s="10"/>
      <c r="D662" s="10"/>
      <c r="E662" s="10"/>
      <c r="F662" s="10"/>
      <c r="G662" s="10"/>
      <c r="H662" s="10"/>
    </row>
    <row r="663" spans="1:8" ht="14.25" customHeight="1" x14ac:dyDescent="0.35">
      <c r="A663" s="10"/>
      <c r="B663" s="10"/>
      <c r="C663" s="10"/>
      <c r="D663" s="10"/>
      <c r="E663" s="10"/>
      <c r="F663" s="10"/>
      <c r="G663" s="10"/>
      <c r="H663" s="10"/>
    </row>
    <row r="664" spans="1:8" ht="14.25" customHeight="1" x14ac:dyDescent="0.35">
      <c r="A664" s="10"/>
      <c r="B664" s="10"/>
      <c r="C664" s="10"/>
      <c r="D664" s="10"/>
      <c r="E664" s="10"/>
      <c r="F664" s="10"/>
      <c r="G664" s="10"/>
      <c r="H664" s="10"/>
    </row>
    <row r="665" spans="1:8" ht="14.25" customHeight="1" x14ac:dyDescent="0.35">
      <c r="A665" s="10"/>
      <c r="B665" s="10"/>
      <c r="C665" s="10"/>
      <c r="D665" s="10"/>
      <c r="E665" s="10"/>
      <c r="F665" s="10"/>
      <c r="G665" s="10"/>
      <c r="H665" s="10"/>
    </row>
    <row r="666" spans="1:8" ht="14.25" customHeight="1" x14ac:dyDescent="0.35">
      <c r="A666" s="10"/>
      <c r="B666" s="10"/>
      <c r="C666" s="10"/>
      <c r="D666" s="10"/>
      <c r="E666" s="10"/>
      <c r="F666" s="10"/>
      <c r="G666" s="10"/>
      <c r="H666" s="10"/>
    </row>
    <row r="667" spans="1:8" ht="14.25" customHeight="1" x14ac:dyDescent="0.35">
      <c r="A667" s="10"/>
      <c r="B667" s="10"/>
      <c r="C667" s="10"/>
      <c r="D667" s="10"/>
      <c r="E667" s="10"/>
      <c r="F667" s="10"/>
      <c r="G667" s="10"/>
      <c r="H667" s="10"/>
    </row>
    <row r="668" spans="1:8" ht="14.25" customHeight="1" x14ac:dyDescent="0.35">
      <c r="A668" s="10"/>
      <c r="B668" s="10"/>
      <c r="C668" s="10"/>
      <c r="D668" s="10"/>
      <c r="E668" s="10"/>
      <c r="F668" s="10"/>
      <c r="G668" s="10"/>
      <c r="H668" s="10"/>
    </row>
    <row r="669" spans="1:8" ht="14.25" customHeight="1" x14ac:dyDescent="0.35">
      <c r="A669" s="10"/>
      <c r="B669" s="10"/>
      <c r="C669" s="10"/>
      <c r="D669" s="10"/>
      <c r="E669" s="10"/>
      <c r="F669" s="10"/>
      <c r="G669" s="10"/>
      <c r="H669" s="10"/>
    </row>
    <row r="670" spans="1:8" ht="14.25" customHeight="1" x14ac:dyDescent="0.35">
      <c r="A670" s="10"/>
      <c r="B670" s="10"/>
      <c r="C670" s="10"/>
      <c r="D670" s="10"/>
      <c r="E670" s="10"/>
      <c r="F670" s="10"/>
      <c r="G670" s="10"/>
      <c r="H670" s="10"/>
    </row>
    <row r="671" spans="1:8" ht="14.25" customHeight="1" x14ac:dyDescent="0.35">
      <c r="A671" s="10"/>
      <c r="B671" s="10"/>
      <c r="C671" s="10"/>
      <c r="D671" s="10"/>
      <c r="E671" s="10"/>
      <c r="F671" s="10"/>
      <c r="G671" s="10"/>
      <c r="H671" s="10"/>
    </row>
    <row r="672" spans="1:8" ht="14.25" customHeight="1" x14ac:dyDescent="0.35">
      <c r="A672" s="10"/>
      <c r="B672" s="10"/>
      <c r="C672" s="10"/>
      <c r="D672" s="10"/>
      <c r="E672" s="10"/>
      <c r="F672" s="10"/>
      <c r="G672" s="10"/>
      <c r="H672" s="10"/>
    </row>
    <row r="673" spans="1:8" ht="14.25" customHeight="1" x14ac:dyDescent="0.35">
      <c r="A673" s="10"/>
      <c r="B673" s="10"/>
      <c r="C673" s="10"/>
      <c r="D673" s="10"/>
      <c r="E673" s="10"/>
      <c r="F673" s="10"/>
      <c r="G673" s="10"/>
      <c r="H673" s="10"/>
    </row>
    <row r="674" spans="1:8" ht="14.25" customHeight="1" x14ac:dyDescent="0.35">
      <c r="A674" s="10"/>
      <c r="B674" s="10"/>
      <c r="C674" s="10"/>
      <c r="D674" s="10"/>
      <c r="E674" s="10"/>
      <c r="F674" s="10"/>
      <c r="G674" s="10"/>
      <c r="H674" s="10"/>
    </row>
    <row r="675" spans="1:8" ht="14.25" customHeight="1" x14ac:dyDescent="0.35">
      <c r="A675" s="10"/>
      <c r="B675" s="10"/>
      <c r="C675" s="10"/>
      <c r="D675" s="10"/>
      <c r="E675" s="10"/>
      <c r="F675" s="10"/>
      <c r="G675" s="10"/>
      <c r="H675" s="10"/>
    </row>
    <row r="676" spans="1:8" ht="14.25" customHeight="1" x14ac:dyDescent="0.35">
      <c r="A676" s="10"/>
      <c r="B676" s="10"/>
      <c r="C676" s="10"/>
      <c r="D676" s="10"/>
      <c r="E676" s="10"/>
      <c r="F676" s="10"/>
      <c r="G676" s="10"/>
      <c r="H676" s="10"/>
    </row>
    <row r="677" spans="1:8" ht="14.25" customHeight="1" x14ac:dyDescent="0.35">
      <c r="A677" s="10"/>
      <c r="B677" s="10"/>
      <c r="C677" s="10"/>
      <c r="D677" s="10"/>
      <c r="E677" s="10"/>
      <c r="F677" s="10"/>
      <c r="G677" s="10"/>
      <c r="H677" s="10"/>
    </row>
    <row r="678" spans="1:8" ht="14.25" customHeight="1" x14ac:dyDescent="0.35">
      <c r="A678" s="10"/>
      <c r="B678" s="10"/>
      <c r="C678" s="10"/>
      <c r="D678" s="10"/>
      <c r="E678" s="10"/>
      <c r="F678" s="10"/>
      <c r="G678" s="10"/>
      <c r="H678" s="10"/>
    </row>
    <row r="679" spans="1:8" ht="14.25" customHeight="1" x14ac:dyDescent="0.35">
      <c r="A679" s="10"/>
      <c r="B679" s="10"/>
      <c r="C679" s="10"/>
      <c r="D679" s="10"/>
      <c r="E679" s="10"/>
      <c r="F679" s="10"/>
      <c r="G679" s="10"/>
      <c r="H679" s="10"/>
    </row>
    <row r="680" spans="1:8" ht="14.25" customHeight="1" x14ac:dyDescent="0.35">
      <c r="A680" s="10"/>
      <c r="B680" s="10"/>
      <c r="C680" s="10"/>
      <c r="D680" s="10"/>
      <c r="E680" s="10"/>
      <c r="F680" s="10"/>
      <c r="G680" s="10"/>
      <c r="H680" s="10"/>
    </row>
    <row r="681" spans="1:8" ht="14.25" customHeight="1" x14ac:dyDescent="0.35">
      <c r="A681" s="10"/>
      <c r="B681" s="10"/>
      <c r="C681" s="10"/>
      <c r="D681" s="10"/>
      <c r="E681" s="10"/>
      <c r="F681" s="10"/>
      <c r="G681" s="10"/>
      <c r="H681" s="10"/>
    </row>
    <row r="682" spans="1:8" ht="14.25" customHeight="1" x14ac:dyDescent="0.35">
      <c r="A682" s="10"/>
      <c r="B682" s="10"/>
      <c r="C682" s="10"/>
      <c r="D682" s="10"/>
      <c r="E682" s="10"/>
      <c r="F682" s="10"/>
      <c r="G682" s="10"/>
      <c r="H682" s="10"/>
    </row>
    <row r="683" spans="1:8" ht="14.25" customHeight="1" x14ac:dyDescent="0.35">
      <c r="A683" s="10"/>
      <c r="B683" s="10"/>
      <c r="C683" s="10"/>
      <c r="D683" s="10"/>
      <c r="E683" s="10"/>
      <c r="F683" s="10"/>
      <c r="G683" s="10"/>
      <c r="H683" s="10"/>
    </row>
    <row r="684" spans="1:8" ht="14.25" customHeight="1" x14ac:dyDescent="0.35">
      <c r="A684" s="10"/>
      <c r="B684" s="10"/>
      <c r="C684" s="10"/>
      <c r="D684" s="10"/>
      <c r="E684" s="10"/>
      <c r="F684" s="10"/>
      <c r="G684" s="10"/>
      <c r="H684" s="10"/>
    </row>
    <row r="685" spans="1:8" ht="14.25" customHeight="1" x14ac:dyDescent="0.35">
      <c r="A685" s="10"/>
      <c r="B685" s="10"/>
      <c r="C685" s="10"/>
      <c r="D685" s="10"/>
      <c r="E685" s="10"/>
      <c r="F685" s="10"/>
      <c r="G685" s="10"/>
      <c r="H685" s="10"/>
    </row>
    <row r="686" spans="1:8" ht="14.25" customHeight="1" x14ac:dyDescent="0.35">
      <c r="A686" s="10"/>
      <c r="B686" s="10"/>
      <c r="C686" s="10"/>
      <c r="D686" s="10"/>
      <c r="E686" s="10"/>
      <c r="F686" s="10"/>
      <c r="G686" s="10"/>
      <c r="H686" s="10"/>
    </row>
    <row r="687" spans="1:8" ht="14.25" customHeight="1" x14ac:dyDescent="0.35">
      <c r="A687" s="10"/>
      <c r="B687" s="10"/>
      <c r="C687" s="10"/>
      <c r="D687" s="10"/>
      <c r="E687" s="10"/>
      <c r="F687" s="10"/>
      <c r="G687" s="10"/>
      <c r="H687" s="10"/>
    </row>
    <row r="688" spans="1:8" ht="14.25" customHeight="1" x14ac:dyDescent="0.35">
      <c r="A688" s="10"/>
      <c r="B688" s="10"/>
      <c r="C688" s="10"/>
      <c r="D688" s="10"/>
      <c r="E688" s="10"/>
      <c r="F688" s="10"/>
      <c r="G688" s="10"/>
      <c r="H688" s="10"/>
    </row>
    <row r="689" spans="1:8" ht="14.25" customHeight="1" x14ac:dyDescent="0.35">
      <c r="A689" s="10"/>
      <c r="B689" s="10"/>
      <c r="C689" s="10"/>
      <c r="D689" s="10"/>
      <c r="E689" s="10"/>
      <c r="F689" s="10"/>
      <c r="G689" s="10"/>
      <c r="H689" s="10"/>
    </row>
    <row r="690" spans="1:8" ht="14.25" customHeight="1" x14ac:dyDescent="0.35">
      <c r="A690" s="10"/>
      <c r="B690" s="10"/>
      <c r="C690" s="10"/>
      <c r="D690" s="10"/>
      <c r="E690" s="10"/>
      <c r="F690" s="10"/>
      <c r="G690" s="10"/>
      <c r="H690" s="10"/>
    </row>
    <row r="691" spans="1:8" ht="14.25" customHeight="1" x14ac:dyDescent="0.35">
      <c r="A691" s="10"/>
      <c r="B691" s="10"/>
      <c r="C691" s="10"/>
      <c r="D691" s="10"/>
      <c r="E691" s="10"/>
      <c r="F691" s="10"/>
      <c r="G691" s="10"/>
      <c r="H691" s="10"/>
    </row>
    <row r="692" spans="1:8" ht="14.25" customHeight="1" x14ac:dyDescent="0.35">
      <c r="A692" s="10"/>
      <c r="B692" s="10"/>
      <c r="C692" s="10"/>
      <c r="D692" s="10"/>
      <c r="E692" s="10"/>
      <c r="F692" s="10"/>
      <c r="G692" s="10"/>
      <c r="H692" s="10"/>
    </row>
    <row r="693" spans="1:8" ht="14.25" customHeight="1" x14ac:dyDescent="0.35">
      <c r="A693" s="10"/>
      <c r="B693" s="10"/>
      <c r="C693" s="10"/>
      <c r="D693" s="10"/>
      <c r="E693" s="10"/>
      <c r="F693" s="10"/>
      <c r="G693" s="10"/>
      <c r="H693" s="10"/>
    </row>
    <row r="694" spans="1:8" ht="14.25" customHeight="1" x14ac:dyDescent="0.35">
      <c r="A694" s="10"/>
      <c r="B694" s="10"/>
      <c r="C694" s="10"/>
      <c r="D694" s="10"/>
      <c r="E694" s="10"/>
      <c r="F694" s="10"/>
      <c r="G694" s="10"/>
      <c r="H694" s="10"/>
    </row>
    <row r="695" spans="1:8" ht="14.25" customHeight="1" x14ac:dyDescent="0.35">
      <c r="A695" s="10"/>
      <c r="B695" s="10"/>
      <c r="C695" s="10"/>
      <c r="D695" s="10"/>
      <c r="E695" s="10"/>
      <c r="F695" s="10"/>
      <c r="G695" s="10"/>
      <c r="H695" s="10"/>
    </row>
    <row r="696" spans="1:8" ht="14.25" customHeight="1" x14ac:dyDescent="0.35">
      <c r="A696" s="10"/>
      <c r="B696" s="10"/>
      <c r="C696" s="10"/>
      <c r="D696" s="10"/>
      <c r="E696" s="10"/>
      <c r="F696" s="10"/>
      <c r="G696" s="10"/>
      <c r="H696" s="10"/>
    </row>
    <row r="697" spans="1:8" ht="14.25" customHeight="1" x14ac:dyDescent="0.35">
      <c r="A697" s="10"/>
      <c r="B697" s="10"/>
      <c r="C697" s="10"/>
      <c r="D697" s="10"/>
      <c r="E697" s="10"/>
      <c r="F697" s="10"/>
      <c r="G697" s="10"/>
      <c r="H697" s="10"/>
    </row>
    <row r="698" spans="1:8" ht="14.25" customHeight="1" x14ac:dyDescent="0.35">
      <c r="A698" s="10"/>
      <c r="B698" s="10"/>
      <c r="C698" s="10"/>
      <c r="D698" s="10"/>
      <c r="E698" s="10"/>
      <c r="F698" s="10"/>
      <c r="G698" s="10"/>
      <c r="H698" s="10"/>
    </row>
    <row r="699" spans="1:8" ht="14.25" customHeight="1" x14ac:dyDescent="0.35">
      <c r="A699" s="10"/>
      <c r="B699" s="10"/>
      <c r="C699" s="10"/>
      <c r="D699" s="10"/>
      <c r="E699" s="10"/>
      <c r="F699" s="10"/>
      <c r="G699" s="10"/>
      <c r="H699" s="10"/>
    </row>
    <row r="700" spans="1:8" ht="14.25" customHeight="1" x14ac:dyDescent="0.35">
      <c r="A700" s="10"/>
      <c r="B700" s="10"/>
      <c r="C700" s="10"/>
      <c r="D700" s="10"/>
      <c r="E700" s="10"/>
      <c r="F700" s="10"/>
      <c r="G700" s="10"/>
      <c r="H700" s="10"/>
    </row>
    <row r="701" spans="1:8" ht="14.25" customHeight="1" x14ac:dyDescent="0.35">
      <c r="A701" s="10"/>
      <c r="B701" s="10"/>
      <c r="C701" s="10"/>
      <c r="D701" s="10"/>
      <c r="E701" s="10"/>
      <c r="F701" s="10"/>
      <c r="G701" s="10"/>
      <c r="H701" s="10"/>
    </row>
    <row r="702" spans="1:8" ht="14.25" customHeight="1" x14ac:dyDescent="0.35">
      <c r="A702" s="10"/>
      <c r="B702" s="10"/>
      <c r="C702" s="10"/>
      <c r="D702" s="10"/>
      <c r="E702" s="10"/>
      <c r="F702" s="10"/>
      <c r="G702" s="10"/>
      <c r="H702" s="10"/>
    </row>
    <row r="703" spans="1:8" ht="14.25" customHeight="1" x14ac:dyDescent="0.35">
      <c r="A703" s="10"/>
      <c r="B703" s="10"/>
      <c r="C703" s="10"/>
      <c r="D703" s="10"/>
      <c r="E703" s="10"/>
      <c r="F703" s="10"/>
      <c r="G703" s="10"/>
      <c r="H703" s="10"/>
    </row>
    <row r="704" spans="1:8" ht="14.25" customHeight="1" x14ac:dyDescent="0.35">
      <c r="A704" s="10"/>
      <c r="B704" s="10"/>
      <c r="C704" s="10"/>
      <c r="D704" s="10"/>
      <c r="E704" s="10"/>
      <c r="F704" s="10"/>
      <c r="G704" s="10"/>
      <c r="H704" s="10"/>
    </row>
    <row r="705" spans="1:8" ht="14.25" customHeight="1" x14ac:dyDescent="0.35">
      <c r="A705" s="10"/>
      <c r="B705" s="10"/>
      <c r="C705" s="10"/>
      <c r="D705" s="10"/>
      <c r="E705" s="10"/>
      <c r="F705" s="10"/>
      <c r="G705" s="10"/>
      <c r="H705" s="10"/>
    </row>
    <row r="706" spans="1:8" ht="14.25" customHeight="1" x14ac:dyDescent="0.35">
      <c r="A706" s="10"/>
      <c r="B706" s="10"/>
      <c r="C706" s="10"/>
      <c r="D706" s="10"/>
      <c r="E706" s="10"/>
      <c r="F706" s="10"/>
      <c r="G706" s="10"/>
      <c r="H706" s="10"/>
    </row>
    <row r="707" spans="1:8" ht="14.25" customHeight="1" x14ac:dyDescent="0.35">
      <c r="A707" s="10"/>
      <c r="B707" s="10"/>
      <c r="C707" s="10"/>
      <c r="D707" s="10"/>
      <c r="E707" s="10"/>
      <c r="F707" s="10"/>
      <c r="G707" s="10"/>
      <c r="H707" s="10"/>
    </row>
    <row r="708" spans="1:8" ht="14.25" customHeight="1" x14ac:dyDescent="0.35">
      <c r="A708" s="10"/>
      <c r="B708" s="10"/>
      <c r="C708" s="10"/>
      <c r="D708" s="10"/>
      <c r="E708" s="10"/>
      <c r="F708" s="10"/>
      <c r="G708" s="10"/>
      <c r="H708" s="10"/>
    </row>
    <row r="709" spans="1:8" ht="14.25" customHeight="1" x14ac:dyDescent="0.35">
      <c r="A709" s="10"/>
      <c r="B709" s="10"/>
      <c r="C709" s="10"/>
      <c r="D709" s="10"/>
      <c r="E709" s="10"/>
      <c r="F709" s="10"/>
      <c r="G709" s="10"/>
      <c r="H709" s="10"/>
    </row>
    <row r="710" spans="1:8" ht="14.25" customHeight="1" x14ac:dyDescent="0.35">
      <c r="A710" s="10"/>
      <c r="B710" s="10"/>
      <c r="C710" s="10"/>
      <c r="D710" s="10"/>
      <c r="E710" s="10"/>
      <c r="F710" s="10"/>
      <c r="G710" s="10"/>
      <c r="H710" s="10"/>
    </row>
    <row r="711" spans="1:8" ht="14.25" customHeight="1" x14ac:dyDescent="0.35">
      <c r="A711" s="10"/>
      <c r="B711" s="10"/>
      <c r="C711" s="10"/>
      <c r="D711" s="10"/>
      <c r="E711" s="10"/>
      <c r="F711" s="10"/>
      <c r="G711" s="10"/>
      <c r="H711" s="10"/>
    </row>
    <row r="712" spans="1:8" ht="14.25" customHeight="1" x14ac:dyDescent="0.35">
      <c r="A712" s="10"/>
      <c r="B712" s="10"/>
      <c r="C712" s="10"/>
      <c r="D712" s="10"/>
      <c r="E712" s="10"/>
      <c r="F712" s="10"/>
      <c r="G712" s="10"/>
      <c r="H712" s="10"/>
    </row>
    <row r="713" spans="1:8" ht="14.25" customHeight="1" x14ac:dyDescent="0.35">
      <c r="A713" s="10"/>
      <c r="B713" s="10"/>
      <c r="C713" s="10"/>
      <c r="D713" s="10"/>
      <c r="E713" s="10"/>
      <c r="F713" s="10"/>
      <c r="G713" s="10"/>
      <c r="H713" s="10"/>
    </row>
    <row r="714" spans="1:8" ht="14.25" customHeight="1" x14ac:dyDescent="0.35">
      <c r="A714" s="10"/>
      <c r="B714" s="10"/>
      <c r="C714" s="10"/>
      <c r="D714" s="10"/>
      <c r="E714" s="10"/>
      <c r="F714" s="10"/>
      <c r="G714" s="10"/>
      <c r="H714" s="10"/>
    </row>
    <row r="715" spans="1:8" ht="14.25" customHeight="1" x14ac:dyDescent="0.35">
      <c r="A715" s="10"/>
      <c r="B715" s="10"/>
      <c r="C715" s="10"/>
      <c r="D715" s="10"/>
      <c r="E715" s="10"/>
      <c r="F715" s="10"/>
      <c r="G715" s="10"/>
      <c r="H715" s="10"/>
    </row>
    <row r="716" spans="1:8" ht="14.25" customHeight="1" x14ac:dyDescent="0.35">
      <c r="A716" s="10"/>
      <c r="B716" s="10"/>
      <c r="C716" s="10"/>
      <c r="D716" s="10"/>
      <c r="E716" s="10"/>
      <c r="F716" s="10"/>
      <c r="G716" s="10"/>
      <c r="H716" s="10"/>
    </row>
    <row r="717" spans="1:8" ht="14.25" customHeight="1" x14ac:dyDescent="0.35">
      <c r="A717" s="10"/>
      <c r="B717" s="10"/>
      <c r="C717" s="10"/>
      <c r="D717" s="10"/>
      <c r="E717" s="10"/>
      <c r="F717" s="10"/>
      <c r="G717" s="10"/>
      <c r="H717" s="10"/>
    </row>
    <row r="718" spans="1:8" ht="14.25" customHeight="1" x14ac:dyDescent="0.35">
      <c r="A718" s="10"/>
      <c r="B718" s="10"/>
      <c r="C718" s="10"/>
      <c r="D718" s="10"/>
      <c r="E718" s="10"/>
      <c r="F718" s="10"/>
      <c r="G718" s="10"/>
      <c r="H718" s="10"/>
    </row>
    <row r="719" spans="1:8" ht="14.25" customHeight="1" x14ac:dyDescent="0.35">
      <c r="A719" s="10"/>
      <c r="B719" s="10"/>
      <c r="C719" s="10"/>
      <c r="D719" s="10"/>
      <c r="E719" s="10"/>
      <c r="F719" s="10"/>
      <c r="G719" s="10"/>
      <c r="H719" s="10"/>
    </row>
    <row r="720" spans="1:8" ht="14.25" customHeight="1" x14ac:dyDescent="0.35">
      <c r="A720" s="10"/>
      <c r="B720" s="10"/>
      <c r="C720" s="10"/>
      <c r="D720" s="10"/>
      <c r="E720" s="10"/>
      <c r="F720" s="10"/>
      <c r="G720" s="10"/>
      <c r="H720" s="10"/>
    </row>
    <row r="721" spans="1:8" ht="14.25" customHeight="1" x14ac:dyDescent="0.35">
      <c r="A721" s="10"/>
      <c r="B721" s="10"/>
      <c r="C721" s="10"/>
      <c r="D721" s="10"/>
      <c r="E721" s="10"/>
      <c r="F721" s="10"/>
      <c r="G721" s="10"/>
      <c r="H721" s="10"/>
    </row>
    <row r="722" spans="1:8" ht="14.25" customHeight="1" x14ac:dyDescent="0.35">
      <c r="A722" s="10"/>
      <c r="B722" s="10"/>
      <c r="C722" s="10"/>
      <c r="D722" s="10"/>
      <c r="E722" s="10"/>
      <c r="F722" s="10"/>
      <c r="G722" s="10"/>
      <c r="H722" s="10"/>
    </row>
    <row r="723" spans="1:8" ht="14.25" customHeight="1" x14ac:dyDescent="0.35">
      <c r="A723" s="10"/>
      <c r="B723" s="10"/>
      <c r="C723" s="10"/>
      <c r="D723" s="10"/>
      <c r="E723" s="10"/>
      <c r="F723" s="10"/>
      <c r="G723" s="10"/>
      <c r="H723" s="10"/>
    </row>
    <row r="724" spans="1:8" ht="14.25" customHeight="1" x14ac:dyDescent="0.35">
      <c r="A724" s="10"/>
      <c r="B724" s="10"/>
      <c r="C724" s="10"/>
      <c r="D724" s="10"/>
      <c r="E724" s="10"/>
      <c r="F724" s="10"/>
      <c r="G724" s="10"/>
      <c r="H724" s="10"/>
    </row>
    <row r="725" spans="1:8" ht="14.25" customHeight="1" x14ac:dyDescent="0.35">
      <c r="A725" s="10"/>
      <c r="B725" s="10"/>
      <c r="C725" s="10"/>
      <c r="D725" s="10"/>
      <c r="E725" s="10"/>
      <c r="F725" s="10"/>
      <c r="G725" s="10"/>
      <c r="H725" s="10"/>
    </row>
    <row r="726" spans="1:8" ht="14.25" customHeight="1" x14ac:dyDescent="0.35">
      <c r="A726" s="10"/>
      <c r="B726" s="10"/>
      <c r="C726" s="10"/>
      <c r="D726" s="10"/>
      <c r="E726" s="10"/>
      <c r="F726" s="10"/>
      <c r="G726" s="10"/>
      <c r="H726" s="10"/>
    </row>
    <row r="727" spans="1:8" ht="14.25" customHeight="1" x14ac:dyDescent="0.35">
      <c r="A727" s="10"/>
      <c r="B727" s="10"/>
      <c r="C727" s="10"/>
      <c r="D727" s="10"/>
      <c r="E727" s="10"/>
      <c r="F727" s="10"/>
      <c r="G727" s="10"/>
      <c r="H727" s="10"/>
    </row>
    <row r="728" spans="1:8" ht="14.25" customHeight="1" x14ac:dyDescent="0.35">
      <c r="A728" s="10"/>
      <c r="B728" s="10"/>
      <c r="C728" s="10"/>
      <c r="D728" s="10"/>
      <c r="E728" s="10"/>
      <c r="F728" s="10"/>
      <c r="G728" s="10"/>
      <c r="H728" s="10"/>
    </row>
    <row r="729" spans="1:8" ht="14.25" customHeight="1" x14ac:dyDescent="0.35">
      <c r="A729" s="10"/>
      <c r="B729" s="10"/>
      <c r="C729" s="10"/>
      <c r="D729" s="10"/>
      <c r="E729" s="10"/>
      <c r="F729" s="10"/>
      <c r="G729" s="10"/>
      <c r="H729" s="10"/>
    </row>
    <row r="730" spans="1:8" ht="14.25" customHeight="1" x14ac:dyDescent="0.35">
      <c r="A730" s="10"/>
      <c r="B730" s="10"/>
      <c r="C730" s="10"/>
      <c r="D730" s="10"/>
      <c r="E730" s="10"/>
      <c r="F730" s="10"/>
      <c r="G730" s="10"/>
      <c r="H730" s="10"/>
    </row>
    <row r="731" spans="1:8" ht="14.25" customHeight="1" x14ac:dyDescent="0.35">
      <c r="A731" s="10"/>
      <c r="B731" s="10"/>
      <c r="C731" s="10"/>
      <c r="D731" s="10"/>
      <c r="E731" s="10"/>
      <c r="F731" s="10"/>
      <c r="G731" s="10"/>
      <c r="H731" s="10"/>
    </row>
    <row r="732" spans="1:8" ht="14.25" customHeight="1" x14ac:dyDescent="0.35">
      <c r="A732" s="10"/>
      <c r="B732" s="10"/>
      <c r="C732" s="10"/>
      <c r="D732" s="10"/>
      <c r="E732" s="10"/>
      <c r="F732" s="10"/>
      <c r="G732" s="10"/>
      <c r="H732" s="10"/>
    </row>
    <row r="733" spans="1:8" ht="14.25" customHeight="1" x14ac:dyDescent="0.35">
      <c r="A733" s="10"/>
      <c r="B733" s="10"/>
      <c r="C733" s="10"/>
      <c r="D733" s="10"/>
      <c r="E733" s="10"/>
      <c r="F733" s="10"/>
      <c r="G733" s="10"/>
      <c r="H733" s="10"/>
    </row>
    <row r="734" spans="1:8" ht="14.25" customHeight="1" x14ac:dyDescent="0.35">
      <c r="A734" s="10"/>
      <c r="B734" s="10"/>
      <c r="C734" s="10"/>
      <c r="D734" s="10"/>
      <c r="E734" s="10"/>
      <c r="F734" s="10"/>
      <c r="G734" s="10"/>
      <c r="H734" s="10"/>
    </row>
    <row r="735" spans="1:8" ht="14.25" customHeight="1" x14ac:dyDescent="0.35">
      <c r="A735" s="10"/>
      <c r="B735" s="10"/>
      <c r="C735" s="10"/>
      <c r="D735" s="10"/>
      <c r="E735" s="10"/>
      <c r="F735" s="10"/>
      <c r="G735" s="10"/>
      <c r="H735" s="10"/>
    </row>
    <row r="736" spans="1:8" ht="14.25" customHeight="1" x14ac:dyDescent="0.35">
      <c r="A736" s="10"/>
      <c r="B736" s="10"/>
      <c r="C736" s="10"/>
      <c r="D736" s="10"/>
      <c r="E736" s="10"/>
      <c r="F736" s="10"/>
      <c r="G736" s="10"/>
      <c r="H736" s="10"/>
    </row>
    <row r="737" spans="1:8" ht="14.25" customHeight="1" x14ac:dyDescent="0.35">
      <c r="A737" s="10"/>
      <c r="B737" s="10"/>
      <c r="C737" s="10"/>
      <c r="D737" s="10"/>
      <c r="E737" s="10"/>
      <c r="F737" s="10"/>
      <c r="G737" s="10"/>
      <c r="H737" s="10"/>
    </row>
    <row r="738" spans="1:8" ht="14.25" customHeight="1" x14ac:dyDescent="0.35">
      <c r="A738" s="10"/>
      <c r="B738" s="10"/>
      <c r="C738" s="10"/>
      <c r="D738" s="10"/>
      <c r="E738" s="10"/>
      <c r="F738" s="10"/>
      <c r="G738" s="10"/>
      <c r="H738" s="10"/>
    </row>
    <row r="739" spans="1:8" ht="14.25" customHeight="1" x14ac:dyDescent="0.35">
      <c r="A739" s="10"/>
      <c r="B739" s="10"/>
      <c r="C739" s="10"/>
      <c r="D739" s="10"/>
      <c r="E739" s="10"/>
      <c r="F739" s="10"/>
      <c r="G739" s="10"/>
      <c r="H739" s="10"/>
    </row>
    <row r="740" spans="1:8" ht="14.25" customHeight="1" x14ac:dyDescent="0.35">
      <c r="A740" s="10"/>
      <c r="B740" s="10"/>
      <c r="C740" s="10"/>
      <c r="D740" s="10"/>
      <c r="E740" s="10"/>
      <c r="F740" s="10"/>
      <c r="G740" s="10"/>
      <c r="H740" s="10"/>
    </row>
    <row r="741" spans="1:8" ht="14.25" customHeight="1" x14ac:dyDescent="0.35">
      <c r="A741" s="10"/>
      <c r="B741" s="10"/>
      <c r="C741" s="10"/>
      <c r="D741" s="10"/>
      <c r="E741" s="10"/>
      <c r="F741" s="10"/>
      <c r="G741" s="10"/>
      <c r="H741" s="10"/>
    </row>
    <row r="742" spans="1:8" ht="14.25" customHeight="1" x14ac:dyDescent="0.35">
      <c r="A742" s="10"/>
      <c r="B742" s="10"/>
      <c r="C742" s="10"/>
      <c r="D742" s="10"/>
      <c r="E742" s="10"/>
      <c r="F742" s="10"/>
      <c r="G742" s="10"/>
      <c r="H742" s="10"/>
    </row>
    <row r="743" spans="1:8" ht="14.25" customHeight="1" x14ac:dyDescent="0.35">
      <c r="A743" s="10"/>
      <c r="B743" s="10"/>
      <c r="C743" s="10"/>
      <c r="D743" s="10"/>
      <c r="E743" s="10"/>
      <c r="F743" s="10"/>
      <c r="G743" s="10"/>
      <c r="H743" s="10"/>
    </row>
    <row r="744" spans="1:8" ht="14.25" customHeight="1" x14ac:dyDescent="0.35">
      <c r="A744" s="10"/>
      <c r="B744" s="10"/>
      <c r="C744" s="10"/>
      <c r="D744" s="10"/>
      <c r="E744" s="10"/>
      <c r="F744" s="10"/>
      <c r="G744" s="10"/>
      <c r="H744" s="10"/>
    </row>
    <row r="745" spans="1:8" ht="14.25" customHeight="1" x14ac:dyDescent="0.35">
      <c r="A745" s="10"/>
      <c r="B745" s="10"/>
      <c r="C745" s="10"/>
      <c r="D745" s="10"/>
      <c r="E745" s="10"/>
      <c r="F745" s="10"/>
      <c r="G745" s="10"/>
      <c r="H745" s="10"/>
    </row>
    <row r="746" spans="1:8" ht="14.25" customHeight="1" x14ac:dyDescent="0.35">
      <c r="A746" s="10"/>
      <c r="B746" s="10"/>
      <c r="C746" s="10"/>
      <c r="D746" s="10"/>
      <c r="E746" s="10"/>
      <c r="F746" s="10"/>
      <c r="G746" s="10"/>
      <c r="H746" s="10"/>
    </row>
    <row r="747" spans="1:8" ht="14.25" customHeight="1" x14ac:dyDescent="0.35">
      <c r="A747" s="10"/>
      <c r="B747" s="10"/>
      <c r="C747" s="10"/>
      <c r="D747" s="10"/>
      <c r="E747" s="10"/>
      <c r="F747" s="10"/>
      <c r="G747" s="10"/>
      <c r="H747" s="10"/>
    </row>
    <row r="748" spans="1:8" ht="14.25" customHeight="1" x14ac:dyDescent="0.35">
      <c r="A748" s="10"/>
      <c r="B748" s="10"/>
      <c r="C748" s="10"/>
      <c r="D748" s="10"/>
      <c r="E748" s="10"/>
      <c r="F748" s="10"/>
      <c r="G748" s="10"/>
      <c r="H748" s="10"/>
    </row>
    <row r="749" spans="1:8" ht="14.25" customHeight="1" x14ac:dyDescent="0.35">
      <c r="A749" s="10"/>
      <c r="B749" s="10"/>
      <c r="C749" s="10"/>
      <c r="D749" s="10"/>
      <c r="E749" s="10"/>
      <c r="F749" s="10"/>
      <c r="G749" s="10"/>
      <c r="H749" s="10"/>
    </row>
    <row r="750" spans="1:8" ht="14.25" customHeight="1" x14ac:dyDescent="0.35">
      <c r="A750" s="10"/>
      <c r="B750" s="10"/>
      <c r="C750" s="10"/>
      <c r="D750" s="10"/>
      <c r="E750" s="10"/>
      <c r="F750" s="10"/>
      <c r="G750" s="10"/>
      <c r="H750" s="10"/>
    </row>
    <row r="751" spans="1:8" ht="14.25" customHeight="1" x14ac:dyDescent="0.35">
      <c r="A751" s="10"/>
      <c r="B751" s="10"/>
      <c r="C751" s="10"/>
      <c r="D751" s="10"/>
      <c r="E751" s="10"/>
      <c r="F751" s="10"/>
      <c r="G751" s="10"/>
      <c r="H751" s="10"/>
    </row>
    <row r="752" spans="1:8" ht="14.25" customHeight="1" x14ac:dyDescent="0.35">
      <c r="A752" s="10"/>
      <c r="B752" s="10"/>
      <c r="C752" s="10"/>
      <c r="D752" s="10"/>
      <c r="E752" s="10"/>
      <c r="F752" s="10"/>
      <c r="G752" s="10"/>
      <c r="H752" s="10"/>
    </row>
    <row r="753" spans="1:8" ht="14.25" customHeight="1" x14ac:dyDescent="0.35">
      <c r="A753" s="10"/>
      <c r="B753" s="10"/>
      <c r="C753" s="10"/>
      <c r="D753" s="10"/>
      <c r="E753" s="10"/>
      <c r="F753" s="10"/>
      <c r="G753" s="10"/>
      <c r="H753" s="10"/>
    </row>
    <row r="754" spans="1:8" ht="14.25" customHeight="1" x14ac:dyDescent="0.35">
      <c r="A754" s="10"/>
      <c r="B754" s="10"/>
      <c r="C754" s="10"/>
      <c r="D754" s="10"/>
      <c r="E754" s="10"/>
      <c r="F754" s="10"/>
      <c r="G754" s="10"/>
      <c r="H754" s="10"/>
    </row>
    <row r="755" spans="1:8" ht="14.25" customHeight="1" x14ac:dyDescent="0.35">
      <c r="A755" s="10"/>
      <c r="B755" s="10"/>
      <c r="C755" s="10"/>
      <c r="D755" s="10"/>
      <c r="E755" s="10"/>
      <c r="F755" s="10"/>
      <c r="G755" s="10"/>
      <c r="H755" s="10"/>
    </row>
    <row r="756" spans="1:8" ht="14.25" customHeight="1" x14ac:dyDescent="0.35">
      <c r="A756" s="10"/>
      <c r="B756" s="10"/>
      <c r="C756" s="10"/>
      <c r="D756" s="10"/>
      <c r="E756" s="10"/>
      <c r="F756" s="10"/>
      <c r="G756" s="10"/>
      <c r="H756" s="10"/>
    </row>
    <row r="757" spans="1:8" ht="14.25" customHeight="1" x14ac:dyDescent="0.35">
      <c r="A757" s="10"/>
      <c r="B757" s="10"/>
      <c r="C757" s="10"/>
      <c r="D757" s="10"/>
      <c r="E757" s="10"/>
      <c r="F757" s="10"/>
      <c r="G757" s="10"/>
      <c r="H757" s="10"/>
    </row>
    <row r="758" spans="1:8" ht="14.25" customHeight="1" x14ac:dyDescent="0.35">
      <c r="A758" s="10"/>
      <c r="B758" s="10"/>
      <c r="C758" s="10"/>
      <c r="D758" s="10"/>
      <c r="E758" s="10"/>
      <c r="F758" s="10"/>
      <c r="G758" s="10"/>
      <c r="H758" s="10"/>
    </row>
    <row r="759" spans="1:8" ht="14.25" customHeight="1" x14ac:dyDescent="0.35">
      <c r="A759" s="10"/>
      <c r="B759" s="10"/>
      <c r="C759" s="10"/>
      <c r="D759" s="10"/>
      <c r="E759" s="10"/>
      <c r="F759" s="10"/>
      <c r="G759" s="10"/>
      <c r="H759" s="10"/>
    </row>
    <row r="760" spans="1:8" ht="14.25" customHeight="1" x14ac:dyDescent="0.35">
      <c r="A760" s="10"/>
      <c r="B760" s="10"/>
      <c r="C760" s="10"/>
      <c r="D760" s="10"/>
      <c r="E760" s="10"/>
      <c r="F760" s="10"/>
      <c r="G760" s="10"/>
      <c r="H760" s="10"/>
    </row>
    <row r="761" spans="1:8" ht="14.25" customHeight="1" x14ac:dyDescent="0.35">
      <c r="A761" s="10"/>
      <c r="B761" s="10"/>
      <c r="C761" s="10"/>
      <c r="D761" s="10"/>
      <c r="E761" s="10"/>
      <c r="F761" s="10"/>
      <c r="G761" s="10"/>
      <c r="H761" s="10"/>
    </row>
    <row r="762" spans="1:8" ht="14.25" customHeight="1" x14ac:dyDescent="0.35">
      <c r="A762" s="10"/>
      <c r="B762" s="10"/>
      <c r="C762" s="10"/>
      <c r="D762" s="10"/>
      <c r="E762" s="10"/>
      <c r="F762" s="10"/>
      <c r="G762" s="10"/>
      <c r="H762" s="10"/>
    </row>
    <row r="763" spans="1:8" ht="14.25" customHeight="1" x14ac:dyDescent="0.35">
      <c r="A763" s="10"/>
      <c r="B763" s="10"/>
      <c r="C763" s="10"/>
      <c r="D763" s="10"/>
      <c r="E763" s="10"/>
      <c r="F763" s="10"/>
      <c r="G763" s="10"/>
      <c r="H763" s="10"/>
    </row>
    <row r="764" spans="1:8" ht="14.25" customHeight="1" x14ac:dyDescent="0.35">
      <c r="A764" s="10"/>
      <c r="B764" s="10"/>
      <c r="C764" s="10"/>
      <c r="D764" s="10"/>
      <c r="E764" s="10"/>
      <c r="F764" s="10"/>
      <c r="G764" s="10"/>
      <c r="H764" s="10"/>
    </row>
    <row r="765" spans="1:8" ht="14.25" customHeight="1" x14ac:dyDescent="0.35">
      <c r="A765" s="10"/>
      <c r="B765" s="10"/>
      <c r="C765" s="10"/>
      <c r="D765" s="10"/>
      <c r="E765" s="10"/>
      <c r="F765" s="10"/>
      <c r="G765" s="10"/>
      <c r="H765" s="10"/>
    </row>
    <row r="766" spans="1:8" ht="14.25" customHeight="1" x14ac:dyDescent="0.35">
      <c r="A766" s="10"/>
      <c r="B766" s="10"/>
      <c r="C766" s="10"/>
      <c r="D766" s="10"/>
      <c r="E766" s="10"/>
      <c r="F766" s="10"/>
      <c r="G766" s="10"/>
      <c r="H766" s="10"/>
    </row>
    <row r="767" spans="1:8" ht="14.25" customHeight="1" x14ac:dyDescent="0.35">
      <c r="A767" s="10"/>
      <c r="B767" s="10"/>
      <c r="C767" s="10"/>
      <c r="D767" s="10"/>
      <c r="E767" s="10"/>
      <c r="F767" s="10"/>
      <c r="G767" s="10"/>
      <c r="H767" s="10"/>
    </row>
    <row r="768" spans="1:8" ht="14.25" customHeight="1" x14ac:dyDescent="0.35">
      <c r="A768" s="10"/>
      <c r="B768" s="10"/>
      <c r="C768" s="10"/>
      <c r="D768" s="10"/>
      <c r="E768" s="10"/>
      <c r="F768" s="10"/>
      <c r="G768" s="10"/>
      <c r="H768" s="10"/>
    </row>
    <row r="769" spans="1:8" ht="14.25" customHeight="1" x14ac:dyDescent="0.35">
      <c r="A769" s="10"/>
      <c r="B769" s="10"/>
      <c r="C769" s="10"/>
      <c r="D769" s="10"/>
      <c r="E769" s="10"/>
      <c r="F769" s="10"/>
      <c r="G769" s="10"/>
      <c r="H769" s="10"/>
    </row>
    <row r="770" spans="1:8" ht="14.25" customHeight="1" x14ac:dyDescent="0.35">
      <c r="A770" s="10"/>
      <c r="B770" s="10"/>
      <c r="C770" s="10"/>
      <c r="D770" s="10"/>
      <c r="E770" s="10"/>
      <c r="F770" s="10"/>
      <c r="G770" s="10"/>
      <c r="H770" s="10"/>
    </row>
    <row r="771" spans="1:8" ht="14.25" customHeight="1" x14ac:dyDescent="0.35">
      <c r="A771" s="10"/>
      <c r="B771" s="10"/>
      <c r="C771" s="10"/>
      <c r="D771" s="10"/>
      <c r="E771" s="10"/>
      <c r="F771" s="10"/>
      <c r="G771" s="10"/>
      <c r="H771" s="10"/>
    </row>
    <row r="772" spans="1:8" ht="14.25" customHeight="1" x14ac:dyDescent="0.35">
      <c r="A772" s="10"/>
      <c r="B772" s="10"/>
      <c r="C772" s="10"/>
      <c r="D772" s="10"/>
      <c r="E772" s="10"/>
      <c r="F772" s="10"/>
      <c r="G772" s="10"/>
      <c r="H772" s="10"/>
    </row>
    <row r="773" spans="1:8" ht="14.25" customHeight="1" x14ac:dyDescent="0.35">
      <c r="A773" s="10"/>
      <c r="B773" s="10"/>
      <c r="C773" s="10"/>
      <c r="D773" s="10"/>
      <c r="E773" s="10"/>
      <c r="F773" s="10"/>
      <c r="G773" s="10"/>
      <c r="H773" s="10"/>
    </row>
    <row r="774" spans="1:8" ht="14.25" customHeight="1" x14ac:dyDescent="0.35">
      <c r="A774" s="10"/>
      <c r="B774" s="10"/>
      <c r="C774" s="10"/>
      <c r="D774" s="10"/>
      <c r="E774" s="10"/>
      <c r="F774" s="10"/>
      <c r="G774" s="10"/>
      <c r="H774" s="10"/>
    </row>
    <row r="775" spans="1:8" ht="14.25" customHeight="1" x14ac:dyDescent="0.35">
      <c r="A775" s="10"/>
      <c r="B775" s="10"/>
      <c r="C775" s="10"/>
      <c r="D775" s="10"/>
      <c r="E775" s="10"/>
      <c r="F775" s="10"/>
      <c r="G775" s="10"/>
      <c r="H775" s="10"/>
    </row>
    <row r="776" spans="1:8" ht="14.25" customHeight="1" x14ac:dyDescent="0.35">
      <c r="A776" s="10"/>
      <c r="B776" s="10"/>
      <c r="C776" s="10"/>
      <c r="D776" s="10"/>
      <c r="E776" s="10"/>
      <c r="F776" s="10"/>
      <c r="G776" s="10"/>
      <c r="H776" s="10"/>
    </row>
    <row r="777" spans="1:8" ht="14.25" customHeight="1" x14ac:dyDescent="0.35">
      <c r="A777" s="10"/>
      <c r="B777" s="10"/>
      <c r="C777" s="10"/>
      <c r="D777" s="10"/>
      <c r="E777" s="10"/>
      <c r="F777" s="10"/>
      <c r="G777" s="10"/>
      <c r="H777" s="10"/>
    </row>
    <row r="778" spans="1:8" ht="14.25" customHeight="1" x14ac:dyDescent="0.35">
      <c r="A778" s="10"/>
      <c r="B778" s="10"/>
      <c r="C778" s="10"/>
      <c r="D778" s="10"/>
      <c r="E778" s="10"/>
      <c r="F778" s="10"/>
      <c r="G778" s="10"/>
      <c r="H778" s="10"/>
    </row>
    <row r="779" spans="1:8" ht="14.25" customHeight="1" x14ac:dyDescent="0.35">
      <c r="A779" s="10"/>
      <c r="B779" s="10"/>
      <c r="C779" s="10"/>
      <c r="D779" s="10"/>
      <c r="E779" s="10"/>
      <c r="F779" s="10"/>
      <c r="G779" s="10"/>
      <c r="H779" s="10"/>
    </row>
    <row r="780" spans="1:8" ht="14.25" customHeight="1" x14ac:dyDescent="0.35">
      <c r="A780" s="10"/>
      <c r="B780" s="10"/>
      <c r="C780" s="10"/>
      <c r="D780" s="10"/>
      <c r="E780" s="10"/>
      <c r="F780" s="10"/>
      <c r="G780" s="10"/>
      <c r="H780" s="10"/>
    </row>
    <row r="781" spans="1:8" ht="14.25" customHeight="1" x14ac:dyDescent="0.35">
      <c r="A781" s="10"/>
      <c r="B781" s="10"/>
      <c r="C781" s="10"/>
      <c r="D781" s="10"/>
      <c r="E781" s="10"/>
      <c r="F781" s="10"/>
      <c r="G781" s="10"/>
      <c r="H781" s="10"/>
    </row>
    <row r="782" spans="1:8" ht="14.25" customHeight="1" x14ac:dyDescent="0.35">
      <c r="A782" s="10"/>
      <c r="B782" s="10"/>
      <c r="C782" s="10"/>
      <c r="D782" s="10"/>
      <c r="E782" s="10"/>
      <c r="F782" s="10"/>
      <c r="G782" s="10"/>
      <c r="H782" s="10"/>
    </row>
    <row r="783" spans="1:8" ht="14.25" customHeight="1" x14ac:dyDescent="0.35">
      <c r="A783" s="10"/>
      <c r="B783" s="10"/>
      <c r="C783" s="10"/>
      <c r="D783" s="10"/>
      <c r="E783" s="10"/>
      <c r="F783" s="10"/>
      <c r="G783" s="10"/>
      <c r="H783" s="10"/>
    </row>
    <row r="784" spans="1:8" ht="14.25" customHeight="1" x14ac:dyDescent="0.35">
      <c r="A784" s="10"/>
      <c r="B784" s="10"/>
      <c r="C784" s="10"/>
      <c r="D784" s="10"/>
      <c r="E784" s="10"/>
      <c r="F784" s="10"/>
      <c r="G784" s="10"/>
      <c r="H784" s="10"/>
    </row>
    <row r="785" spans="1:8" ht="14.25" customHeight="1" x14ac:dyDescent="0.35">
      <c r="A785" s="10"/>
      <c r="B785" s="10"/>
      <c r="C785" s="10"/>
      <c r="D785" s="10"/>
      <c r="E785" s="10"/>
      <c r="F785" s="10"/>
      <c r="G785" s="10"/>
      <c r="H785" s="10"/>
    </row>
    <row r="786" spans="1:8" ht="14.25" customHeight="1" x14ac:dyDescent="0.35">
      <c r="A786" s="10"/>
      <c r="B786" s="10"/>
      <c r="C786" s="10"/>
      <c r="D786" s="10"/>
      <c r="E786" s="10"/>
      <c r="F786" s="10"/>
      <c r="G786" s="10"/>
      <c r="H786" s="10"/>
    </row>
    <row r="787" spans="1:8" ht="14.25" customHeight="1" x14ac:dyDescent="0.35">
      <c r="A787" s="10"/>
      <c r="B787" s="10"/>
      <c r="C787" s="10"/>
      <c r="D787" s="10"/>
      <c r="E787" s="10"/>
      <c r="F787" s="10"/>
      <c r="G787" s="10"/>
      <c r="H787" s="10"/>
    </row>
    <row r="788" spans="1:8" ht="14.25" customHeight="1" x14ac:dyDescent="0.35">
      <c r="A788" s="10"/>
      <c r="B788" s="10"/>
      <c r="C788" s="10"/>
      <c r="D788" s="10"/>
      <c r="E788" s="10"/>
      <c r="F788" s="10"/>
      <c r="G788" s="10"/>
      <c r="H788" s="10"/>
    </row>
    <row r="789" spans="1:8" ht="14.25" customHeight="1" x14ac:dyDescent="0.35">
      <c r="A789" s="10"/>
      <c r="B789" s="10"/>
      <c r="C789" s="10"/>
      <c r="D789" s="10"/>
      <c r="E789" s="10"/>
      <c r="F789" s="10"/>
      <c r="G789" s="10"/>
      <c r="H789" s="10"/>
    </row>
    <row r="790" spans="1:8" ht="14.25" customHeight="1" x14ac:dyDescent="0.35">
      <c r="A790" s="10"/>
      <c r="B790" s="10"/>
      <c r="C790" s="10"/>
      <c r="D790" s="10"/>
      <c r="E790" s="10"/>
      <c r="F790" s="10"/>
      <c r="G790" s="10"/>
      <c r="H790" s="10"/>
    </row>
    <row r="791" spans="1:8" ht="14.25" customHeight="1" x14ac:dyDescent="0.35">
      <c r="A791" s="10"/>
      <c r="B791" s="10"/>
      <c r="C791" s="10"/>
      <c r="D791" s="10"/>
      <c r="E791" s="10"/>
      <c r="F791" s="10"/>
      <c r="G791" s="10"/>
      <c r="H791" s="10"/>
    </row>
    <row r="792" spans="1:8" ht="14.25" customHeight="1" x14ac:dyDescent="0.35">
      <c r="A792" s="10"/>
      <c r="B792" s="10"/>
      <c r="C792" s="10"/>
      <c r="D792" s="10"/>
      <c r="E792" s="10"/>
      <c r="F792" s="10"/>
      <c r="G792" s="10"/>
      <c r="H792" s="10"/>
    </row>
    <row r="793" spans="1:8" ht="14.25" customHeight="1" x14ac:dyDescent="0.35">
      <c r="A793" s="10"/>
      <c r="B793" s="10"/>
      <c r="C793" s="10"/>
      <c r="D793" s="10"/>
      <c r="E793" s="10"/>
      <c r="F793" s="10"/>
      <c r="G793" s="10"/>
      <c r="H793" s="10"/>
    </row>
    <row r="794" spans="1:8" ht="14.25" customHeight="1" x14ac:dyDescent="0.35">
      <c r="A794" s="10"/>
      <c r="B794" s="10"/>
      <c r="C794" s="10"/>
      <c r="D794" s="10"/>
      <c r="E794" s="10"/>
      <c r="F794" s="10"/>
      <c r="G794" s="10"/>
      <c r="H794" s="10"/>
    </row>
    <row r="795" spans="1:8" ht="14.25" customHeight="1" x14ac:dyDescent="0.35">
      <c r="A795" s="10"/>
      <c r="B795" s="10"/>
      <c r="C795" s="10"/>
      <c r="D795" s="10"/>
      <c r="E795" s="10"/>
      <c r="F795" s="10"/>
      <c r="G795" s="10"/>
      <c r="H795" s="10"/>
    </row>
    <row r="796" spans="1:8" ht="14.25" customHeight="1" x14ac:dyDescent="0.35">
      <c r="A796" s="10"/>
      <c r="B796" s="10"/>
      <c r="C796" s="10"/>
      <c r="D796" s="10"/>
      <c r="E796" s="10"/>
      <c r="F796" s="10"/>
      <c r="G796" s="10"/>
      <c r="H796" s="10"/>
    </row>
    <row r="797" spans="1:8" ht="14.25" customHeight="1" x14ac:dyDescent="0.35">
      <c r="A797" s="10"/>
      <c r="B797" s="10"/>
      <c r="C797" s="10"/>
      <c r="D797" s="10"/>
      <c r="E797" s="10"/>
      <c r="F797" s="10"/>
      <c r="G797" s="10"/>
      <c r="H797" s="10"/>
    </row>
    <row r="798" spans="1:8" ht="14.25" customHeight="1" x14ac:dyDescent="0.35">
      <c r="A798" s="10"/>
      <c r="B798" s="10"/>
      <c r="C798" s="10"/>
      <c r="D798" s="10"/>
      <c r="E798" s="10"/>
      <c r="F798" s="10"/>
      <c r="G798" s="10"/>
      <c r="H798" s="10"/>
    </row>
    <row r="799" spans="1:8" ht="14.25" customHeight="1" x14ac:dyDescent="0.35">
      <c r="A799" s="10"/>
      <c r="B799" s="10"/>
      <c r="C799" s="10"/>
      <c r="D799" s="10"/>
      <c r="E799" s="10"/>
      <c r="F799" s="10"/>
      <c r="G799" s="10"/>
      <c r="H799" s="10"/>
    </row>
    <row r="800" spans="1:8" ht="14.25" customHeight="1" x14ac:dyDescent="0.35">
      <c r="A800" s="10"/>
      <c r="B800" s="10"/>
      <c r="C800" s="10"/>
      <c r="D800" s="10"/>
      <c r="E800" s="10"/>
      <c r="F800" s="10"/>
      <c r="G800" s="10"/>
      <c r="H800" s="10"/>
    </row>
    <row r="801" spans="1:8" ht="14.25" customHeight="1" x14ac:dyDescent="0.35">
      <c r="A801" s="10"/>
      <c r="B801" s="10"/>
      <c r="C801" s="10"/>
      <c r="D801" s="10"/>
      <c r="E801" s="10"/>
      <c r="F801" s="10"/>
      <c r="G801" s="10"/>
      <c r="H801" s="10"/>
    </row>
    <row r="802" spans="1:8" ht="14.25" customHeight="1" x14ac:dyDescent="0.35">
      <c r="A802" s="10"/>
      <c r="B802" s="10"/>
      <c r="C802" s="10"/>
      <c r="D802" s="10"/>
      <c r="E802" s="10"/>
      <c r="F802" s="10"/>
      <c r="G802" s="10"/>
      <c r="H802" s="10"/>
    </row>
    <row r="803" spans="1:8" ht="14.25" customHeight="1" x14ac:dyDescent="0.35">
      <c r="A803" s="10"/>
      <c r="B803" s="10"/>
      <c r="C803" s="10"/>
      <c r="D803" s="10"/>
      <c r="E803" s="10"/>
      <c r="F803" s="10"/>
      <c r="G803" s="10"/>
      <c r="H803" s="10"/>
    </row>
    <row r="804" spans="1:8" ht="14.25" customHeight="1" x14ac:dyDescent="0.35">
      <c r="A804" s="10"/>
      <c r="B804" s="10"/>
      <c r="C804" s="10"/>
      <c r="D804" s="10"/>
      <c r="E804" s="10"/>
      <c r="F804" s="10"/>
      <c r="G804" s="10"/>
      <c r="H804" s="10"/>
    </row>
    <row r="805" spans="1:8" ht="14.25" customHeight="1" x14ac:dyDescent="0.35">
      <c r="A805" s="10"/>
      <c r="B805" s="10"/>
      <c r="C805" s="10"/>
      <c r="D805" s="10"/>
      <c r="E805" s="10"/>
      <c r="F805" s="10"/>
      <c r="G805" s="10"/>
      <c r="H805" s="10"/>
    </row>
    <row r="806" spans="1:8" ht="14.25" customHeight="1" x14ac:dyDescent="0.35">
      <c r="A806" s="10"/>
      <c r="B806" s="10"/>
      <c r="C806" s="10"/>
      <c r="D806" s="10"/>
      <c r="E806" s="10"/>
      <c r="F806" s="10"/>
      <c r="G806" s="10"/>
      <c r="H806" s="10"/>
    </row>
    <row r="807" spans="1:8" ht="14.25" customHeight="1" x14ac:dyDescent="0.35">
      <c r="A807" s="10"/>
      <c r="B807" s="10"/>
      <c r="C807" s="10"/>
      <c r="D807" s="10"/>
      <c r="E807" s="10"/>
      <c r="F807" s="10"/>
      <c r="G807" s="10"/>
      <c r="H807" s="10"/>
    </row>
    <row r="808" spans="1:8" ht="14.25" customHeight="1" x14ac:dyDescent="0.35">
      <c r="A808" s="10"/>
      <c r="B808" s="10"/>
      <c r="C808" s="10"/>
      <c r="D808" s="10"/>
      <c r="E808" s="10"/>
      <c r="F808" s="10"/>
      <c r="G808" s="10"/>
      <c r="H808" s="10"/>
    </row>
    <row r="809" spans="1:8" ht="14.25" customHeight="1" x14ac:dyDescent="0.35">
      <c r="A809" s="10"/>
      <c r="B809" s="10"/>
      <c r="C809" s="10"/>
      <c r="D809" s="10"/>
      <c r="E809" s="10"/>
      <c r="F809" s="10"/>
      <c r="G809" s="10"/>
      <c r="H809" s="10"/>
    </row>
    <row r="810" spans="1:8" ht="14.25" customHeight="1" x14ac:dyDescent="0.35">
      <c r="A810" s="10"/>
      <c r="B810" s="10"/>
      <c r="C810" s="10"/>
      <c r="D810" s="10"/>
      <c r="E810" s="10"/>
      <c r="F810" s="10"/>
      <c r="G810" s="10"/>
      <c r="H810" s="10"/>
    </row>
    <row r="811" spans="1:8" ht="14.25" customHeight="1" x14ac:dyDescent="0.35">
      <c r="A811" s="10"/>
      <c r="B811" s="10"/>
      <c r="C811" s="10"/>
      <c r="D811" s="10"/>
      <c r="E811" s="10"/>
      <c r="F811" s="10"/>
      <c r="G811" s="10"/>
      <c r="H811" s="10"/>
    </row>
    <row r="812" spans="1:8" ht="14.25" customHeight="1" x14ac:dyDescent="0.35">
      <c r="A812" s="10"/>
      <c r="B812" s="10"/>
      <c r="C812" s="10"/>
      <c r="D812" s="10"/>
      <c r="E812" s="10"/>
      <c r="F812" s="10"/>
      <c r="G812" s="10"/>
      <c r="H812" s="10"/>
    </row>
    <row r="813" spans="1:8" ht="14.25" customHeight="1" x14ac:dyDescent="0.35">
      <c r="A813" s="10"/>
      <c r="B813" s="10"/>
      <c r="C813" s="10"/>
      <c r="D813" s="10"/>
      <c r="E813" s="10"/>
      <c r="F813" s="10"/>
      <c r="G813" s="10"/>
      <c r="H813" s="10"/>
    </row>
    <row r="814" spans="1:8" ht="14.25" customHeight="1" x14ac:dyDescent="0.35">
      <c r="A814" s="10"/>
      <c r="B814" s="10"/>
      <c r="C814" s="10"/>
      <c r="D814" s="10"/>
      <c r="E814" s="10"/>
      <c r="F814" s="10"/>
      <c r="G814" s="10"/>
      <c r="H814" s="10"/>
    </row>
    <row r="815" spans="1:8" ht="14.25" customHeight="1" x14ac:dyDescent="0.35">
      <c r="A815" s="10"/>
      <c r="B815" s="10"/>
      <c r="C815" s="10"/>
      <c r="D815" s="10"/>
      <c r="E815" s="10"/>
      <c r="F815" s="10"/>
      <c r="G815" s="10"/>
      <c r="H815" s="10"/>
    </row>
    <row r="816" spans="1:8" ht="14.25" customHeight="1" x14ac:dyDescent="0.35">
      <c r="A816" s="10"/>
      <c r="B816" s="10"/>
      <c r="C816" s="10"/>
      <c r="D816" s="10"/>
      <c r="E816" s="10"/>
      <c r="F816" s="10"/>
      <c r="G816" s="10"/>
      <c r="H816" s="10"/>
    </row>
    <row r="817" spans="1:8" ht="14.25" customHeight="1" x14ac:dyDescent="0.35">
      <c r="A817" s="10"/>
      <c r="B817" s="10"/>
      <c r="C817" s="10"/>
      <c r="D817" s="10"/>
      <c r="E817" s="10"/>
      <c r="F817" s="10"/>
      <c r="G817" s="10"/>
      <c r="H817" s="10"/>
    </row>
    <row r="818" spans="1:8" ht="14.25" customHeight="1" x14ac:dyDescent="0.35">
      <c r="A818" s="10"/>
      <c r="B818" s="10"/>
      <c r="C818" s="10"/>
      <c r="D818" s="10"/>
      <c r="E818" s="10"/>
      <c r="F818" s="10"/>
      <c r="G818" s="10"/>
      <c r="H818" s="10"/>
    </row>
    <row r="819" spans="1:8" ht="14.25" customHeight="1" x14ac:dyDescent="0.35">
      <c r="A819" s="10"/>
      <c r="B819" s="10"/>
      <c r="C819" s="10"/>
      <c r="D819" s="10"/>
      <c r="E819" s="10"/>
      <c r="F819" s="10"/>
      <c r="G819" s="10"/>
      <c r="H819" s="10"/>
    </row>
    <row r="820" spans="1:8" ht="14.25" customHeight="1" x14ac:dyDescent="0.35">
      <c r="A820" s="10"/>
      <c r="B820" s="10"/>
      <c r="C820" s="10"/>
      <c r="D820" s="10"/>
      <c r="E820" s="10"/>
      <c r="F820" s="10"/>
      <c r="G820" s="10"/>
      <c r="H820" s="10"/>
    </row>
    <row r="821" spans="1:8" ht="14.25" customHeight="1" x14ac:dyDescent="0.35">
      <c r="A821" s="10"/>
      <c r="B821" s="10"/>
      <c r="C821" s="10"/>
      <c r="D821" s="10"/>
      <c r="E821" s="10"/>
      <c r="F821" s="10"/>
      <c r="G821" s="10"/>
      <c r="H821" s="10"/>
    </row>
    <row r="822" spans="1:8" ht="14.25" customHeight="1" x14ac:dyDescent="0.35">
      <c r="A822" s="10"/>
      <c r="B822" s="10"/>
      <c r="C822" s="10"/>
      <c r="D822" s="10"/>
      <c r="E822" s="10"/>
      <c r="F822" s="10"/>
      <c r="G822" s="10"/>
      <c r="H822" s="10"/>
    </row>
    <row r="823" spans="1:8" ht="14.25" customHeight="1" x14ac:dyDescent="0.35">
      <c r="A823" s="10"/>
      <c r="B823" s="10"/>
      <c r="C823" s="10"/>
      <c r="D823" s="10"/>
      <c r="E823" s="10"/>
      <c r="F823" s="10"/>
      <c r="G823" s="10"/>
      <c r="H823" s="10"/>
    </row>
    <row r="824" spans="1:8" ht="14.25" customHeight="1" x14ac:dyDescent="0.35">
      <c r="A824" s="10"/>
      <c r="B824" s="10"/>
      <c r="C824" s="10"/>
      <c r="D824" s="10"/>
      <c r="E824" s="10"/>
      <c r="F824" s="10"/>
      <c r="G824" s="10"/>
      <c r="H824" s="10"/>
    </row>
    <row r="825" spans="1:8" ht="14.25" customHeight="1" x14ac:dyDescent="0.35">
      <c r="A825" s="10"/>
      <c r="B825" s="10"/>
      <c r="C825" s="10"/>
      <c r="D825" s="10"/>
      <c r="E825" s="10"/>
      <c r="F825" s="10"/>
      <c r="G825" s="10"/>
      <c r="H825" s="10"/>
    </row>
    <row r="826" spans="1:8" ht="14.25" customHeight="1" x14ac:dyDescent="0.35">
      <c r="A826" s="10"/>
      <c r="B826" s="10"/>
      <c r="C826" s="10"/>
      <c r="D826" s="10"/>
      <c r="E826" s="10"/>
      <c r="F826" s="10"/>
      <c r="G826" s="10"/>
      <c r="H826" s="10"/>
    </row>
    <row r="827" spans="1:8" ht="14.25" customHeight="1" x14ac:dyDescent="0.35">
      <c r="A827" s="10"/>
      <c r="B827" s="10"/>
      <c r="C827" s="10"/>
      <c r="D827" s="10"/>
      <c r="E827" s="10"/>
      <c r="F827" s="10"/>
      <c r="G827" s="10"/>
      <c r="H827" s="10"/>
    </row>
    <row r="828" spans="1:8" ht="14.25" customHeight="1" x14ac:dyDescent="0.35">
      <c r="A828" s="10"/>
      <c r="B828" s="10"/>
      <c r="C828" s="10"/>
      <c r="D828" s="10"/>
      <c r="E828" s="10"/>
      <c r="F828" s="10"/>
      <c r="G828" s="10"/>
      <c r="H828" s="10"/>
    </row>
    <row r="829" spans="1:8" ht="14.25" customHeight="1" x14ac:dyDescent="0.35">
      <c r="A829" s="10"/>
      <c r="B829" s="10"/>
      <c r="C829" s="10"/>
      <c r="D829" s="10"/>
      <c r="E829" s="10"/>
      <c r="F829" s="10"/>
      <c r="G829" s="10"/>
      <c r="H829" s="10"/>
    </row>
    <row r="830" spans="1:8" ht="14.25" customHeight="1" x14ac:dyDescent="0.35">
      <c r="A830" s="10"/>
      <c r="B830" s="10"/>
      <c r="C830" s="10"/>
      <c r="D830" s="10"/>
      <c r="E830" s="10"/>
      <c r="F830" s="10"/>
      <c r="G830" s="10"/>
      <c r="H830" s="10"/>
    </row>
    <row r="831" spans="1:8" ht="14.25" customHeight="1" x14ac:dyDescent="0.35">
      <c r="A831" s="10"/>
      <c r="B831" s="10"/>
      <c r="C831" s="10"/>
      <c r="D831" s="10"/>
      <c r="E831" s="10"/>
      <c r="F831" s="10"/>
      <c r="G831" s="10"/>
      <c r="H831" s="10"/>
    </row>
    <row r="832" spans="1:8" ht="14.25" customHeight="1" x14ac:dyDescent="0.35">
      <c r="A832" s="10"/>
      <c r="B832" s="10"/>
      <c r="C832" s="10"/>
      <c r="D832" s="10"/>
      <c r="E832" s="10"/>
      <c r="F832" s="10"/>
      <c r="G832" s="10"/>
      <c r="H832" s="10"/>
    </row>
    <row r="833" spans="1:8" ht="14.25" customHeight="1" x14ac:dyDescent="0.35">
      <c r="A833" s="10"/>
      <c r="B833" s="10"/>
      <c r="C833" s="10"/>
      <c r="D833" s="10"/>
      <c r="E833" s="10"/>
      <c r="F833" s="10"/>
      <c r="G833" s="10"/>
      <c r="H833" s="10"/>
    </row>
    <row r="834" spans="1:8" ht="14.25" customHeight="1" x14ac:dyDescent="0.35">
      <c r="A834" s="10"/>
      <c r="B834" s="10"/>
      <c r="C834" s="10"/>
      <c r="D834" s="10"/>
      <c r="E834" s="10"/>
      <c r="F834" s="10"/>
      <c r="G834" s="10"/>
      <c r="H834" s="10"/>
    </row>
    <row r="835" spans="1:8" ht="14.25" customHeight="1" x14ac:dyDescent="0.35">
      <c r="A835" s="10"/>
      <c r="B835" s="10"/>
      <c r="C835" s="10"/>
      <c r="D835" s="10"/>
      <c r="E835" s="10"/>
      <c r="F835" s="10"/>
      <c r="G835" s="10"/>
      <c r="H835" s="10"/>
    </row>
    <row r="836" spans="1:8" ht="14.25" customHeight="1" x14ac:dyDescent="0.35">
      <c r="A836" s="10"/>
      <c r="B836" s="10"/>
      <c r="C836" s="10"/>
      <c r="D836" s="10"/>
      <c r="E836" s="10"/>
      <c r="F836" s="10"/>
      <c r="G836" s="10"/>
      <c r="H836" s="10"/>
    </row>
    <row r="837" spans="1:8" ht="14.25" customHeight="1" x14ac:dyDescent="0.35">
      <c r="A837" s="10"/>
      <c r="B837" s="10"/>
      <c r="C837" s="10"/>
      <c r="D837" s="10"/>
      <c r="E837" s="10"/>
      <c r="F837" s="10"/>
      <c r="G837" s="10"/>
      <c r="H837" s="10"/>
    </row>
    <row r="838" spans="1:8" ht="14.25" customHeight="1" x14ac:dyDescent="0.35">
      <c r="A838" s="10"/>
      <c r="B838" s="10"/>
      <c r="C838" s="10"/>
      <c r="D838" s="10"/>
      <c r="E838" s="10"/>
      <c r="F838" s="10"/>
      <c r="G838" s="10"/>
      <c r="H838" s="10"/>
    </row>
    <row r="839" spans="1:8" ht="14.25" customHeight="1" x14ac:dyDescent="0.35">
      <c r="A839" s="10"/>
      <c r="B839" s="10"/>
      <c r="C839" s="10"/>
      <c r="D839" s="10"/>
      <c r="E839" s="10"/>
      <c r="F839" s="10"/>
      <c r="G839" s="10"/>
      <c r="H839" s="10"/>
    </row>
    <row r="840" spans="1:8" ht="14.25" customHeight="1" x14ac:dyDescent="0.35">
      <c r="A840" s="10"/>
      <c r="B840" s="10"/>
      <c r="C840" s="10"/>
      <c r="D840" s="10"/>
      <c r="E840" s="10"/>
      <c r="F840" s="10"/>
      <c r="G840" s="10"/>
      <c r="H840" s="10"/>
    </row>
    <row r="841" spans="1:8" ht="14.25" customHeight="1" x14ac:dyDescent="0.35">
      <c r="A841" s="10"/>
      <c r="B841" s="10"/>
      <c r="C841" s="10"/>
      <c r="D841" s="10"/>
      <c r="E841" s="10"/>
      <c r="F841" s="10"/>
      <c r="G841" s="10"/>
      <c r="H841" s="10"/>
    </row>
    <row r="842" spans="1:8" ht="14.25" customHeight="1" x14ac:dyDescent="0.35">
      <c r="A842" s="10"/>
      <c r="B842" s="10"/>
      <c r="C842" s="10"/>
      <c r="D842" s="10"/>
      <c r="E842" s="10"/>
      <c r="F842" s="10"/>
      <c r="G842" s="10"/>
      <c r="H842" s="10"/>
    </row>
    <row r="843" spans="1:8" ht="14.25" customHeight="1" x14ac:dyDescent="0.35">
      <c r="A843" s="10"/>
      <c r="B843" s="10"/>
      <c r="C843" s="10"/>
      <c r="D843" s="10"/>
      <c r="E843" s="10"/>
      <c r="F843" s="10"/>
      <c r="G843" s="10"/>
      <c r="H843" s="10"/>
    </row>
    <row r="844" spans="1:8" ht="14.25" customHeight="1" x14ac:dyDescent="0.35">
      <c r="A844" s="10"/>
      <c r="B844" s="10"/>
      <c r="C844" s="10"/>
      <c r="D844" s="10"/>
      <c r="E844" s="10"/>
      <c r="F844" s="10"/>
      <c r="G844" s="10"/>
      <c r="H844" s="10"/>
    </row>
    <row r="845" spans="1:8" ht="14.25" customHeight="1" x14ac:dyDescent="0.35">
      <c r="A845" s="10"/>
      <c r="B845" s="10"/>
      <c r="C845" s="10"/>
      <c r="D845" s="10"/>
      <c r="E845" s="10"/>
      <c r="F845" s="10"/>
      <c r="G845" s="10"/>
      <c r="H845" s="10"/>
    </row>
    <row r="846" spans="1:8" ht="14.25" customHeight="1" x14ac:dyDescent="0.35">
      <c r="A846" s="10"/>
      <c r="B846" s="10"/>
      <c r="C846" s="10"/>
      <c r="D846" s="10"/>
      <c r="E846" s="10"/>
      <c r="F846" s="10"/>
      <c r="G846" s="10"/>
      <c r="H846" s="10"/>
    </row>
    <row r="847" spans="1:8" ht="14.25" customHeight="1" x14ac:dyDescent="0.35">
      <c r="A847" s="10"/>
      <c r="B847" s="10"/>
      <c r="C847" s="10"/>
      <c r="D847" s="10"/>
      <c r="E847" s="10"/>
      <c r="F847" s="10"/>
      <c r="G847" s="10"/>
      <c r="H847" s="10"/>
    </row>
    <row r="848" spans="1:8" ht="14.25" customHeight="1" x14ac:dyDescent="0.35">
      <c r="A848" s="10"/>
      <c r="B848" s="10"/>
      <c r="C848" s="10"/>
      <c r="D848" s="10"/>
      <c r="E848" s="10"/>
      <c r="F848" s="10"/>
      <c r="G848" s="10"/>
      <c r="H848" s="10"/>
    </row>
    <row r="849" spans="1:8" ht="14.25" customHeight="1" x14ac:dyDescent="0.35">
      <c r="A849" s="10"/>
      <c r="B849" s="10"/>
      <c r="C849" s="10"/>
      <c r="D849" s="10"/>
      <c r="E849" s="10"/>
      <c r="F849" s="10"/>
      <c r="G849" s="10"/>
      <c r="H849" s="10"/>
    </row>
    <row r="850" spans="1:8" ht="14.25" customHeight="1" x14ac:dyDescent="0.35">
      <c r="A850" s="10"/>
      <c r="B850" s="10"/>
      <c r="C850" s="10"/>
      <c r="D850" s="10"/>
      <c r="E850" s="10"/>
      <c r="F850" s="10"/>
      <c r="G850" s="10"/>
      <c r="H850" s="10"/>
    </row>
    <row r="851" spans="1:8" ht="14.25" customHeight="1" x14ac:dyDescent="0.35">
      <c r="A851" s="10"/>
      <c r="B851" s="10"/>
      <c r="C851" s="10"/>
      <c r="D851" s="10"/>
      <c r="E851" s="10"/>
      <c r="F851" s="10"/>
      <c r="G851" s="10"/>
      <c r="H851" s="10"/>
    </row>
    <row r="852" spans="1:8" ht="14.25" customHeight="1" x14ac:dyDescent="0.35">
      <c r="A852" s="10"/>
      <c r="B852" s="10"/>
      <c r="C852" s="10"/>
      <c r="D852" s="10"/>
      <c r="E852" s="10"/>
      <c r="F852" s="10"/>
      <c r="G852" s="10"/>
      <c r="H852" s="10"/>
    </row>
    <row r="853" spans="1:8" ht="14.25" customHeight="1" x14ac:dyDescent="0.35">
      <c r="A853" s="10"/>
      <c r="B853" s="10"/>
      <c r="C853" s="10"/>
      <c r="D853" s="10"/>
      <c r="E853" s="10"/>
      <c r="F853" s="10"/>
      <c r="G853" s="10"/>
      <c r="H853" s="10"/>
    </row>
    <row r="854" spans="1:8" ht="14.25" customHeight="1" x14ac:dyDescent="0.35">
      <c r="A854" s="10"/>
      <c r="B854" s="10"/>
      <c r="C854" s="10"/>
      <c r="D854" s="10"/>
      <c r="E854" s="10"/>
      <c r="F854" s="10"/>
      <c r="G854" s="10"/>
      <c r="H854" s="10"/>
    </row>
    <row r="855" spans="1:8" ht="14.25" customHeight="1" x14ac:dyDescent="0.35">
      <c r="A855" s="10"/>
      <c r="B855" s="10"/>
      <c r="C855" s="10"/>
      <c r="D855" s="10"/>
      <c r="E855" s="10"/>
      <c r="F855" s="10"/>
      <c r="G855" s="10"/>
      <c r="H855" s="10"/>
    </row>
    <row r="856" spans="1:8" ht="14.25" customHeight="1" x14ac:dyDescent="0.35">
      <c r="A856" s="10"/>
      <c r="B856" s="10"/>
      <c r="C856" s="10"/>
      <c r="D856" s="10"/>
      <c r="E856" s="10"/>
      <c r="F856" s="10"/>
      <c r="G856" s="10"/>
      <c r="H856" s="10"/>
    </row>
    <row r="857" spans="1:8" ht="14.25" customHeight="1" x14ac:dyDescent="0.35">
      <c r="A857" s="10"/>
      <c r="B857" s="10"/>
      <c r="C857" s="10"/>
      <c r="D857" s="10"/>
      <c r="E857" s="10"/>
      <c r="F857" s="10"/>
      <c r="G857" s="10"/>
      <c r="H857" s="10"/>
    </row>
    <row r="858" spans="1:8" ht="14.25" customHeight="1" x14ac:dyDescent="0.35">
      <c r="A858" s="10"/>
      <c r="B858" s="10"/>
      <c r="C858" s="10"/>
      <c r="D858" s="10"/>
      <c r="E858" s="10"/>
      <c r="F858" s="10"/>
      <c r="G858" s="10"/>
      <c r="H858" s="10"/>
    </row>
    <row r="859" spans="1:8" ht="14.25" customHeight="1" x14ac:dyDescent="0.35">
      <c r="A859" s="10"/>
      <c r="B859" s="10"/>
      <c r="C859" s="10"/>
      <c r="D859" s="10"/>
      <c r="E859" s="10"/>
      <c r="F859" s="10"/>
      <c r="G859" s="10"/>
      <c r="H859" s="10"/>
    </row>
    <row r="860" spans="1:8" ht="14.25" customHeight="1" x14ac:dyDescent="0.35">
      <c r="A860" s="10"/>
      <c r="B860" s="10"/>
      <c r="C860" s="10"/>
      <c r="D860" s="10"/>
      <c r="E860" s="10"/>
      <c r="F860" s="10"/>
      <c r="G860" s="10"/>
      <c r="H860" s="10"/>
    </row>
    <row r="861" spans="1:8" ht="14.25" customHeight="1" x14ac:dyDescent="0.35">
      <c r="A861" s="10"/>
      <c r="B861" s="10"/>
      <c r="C861" s="10"/>
      <c r="D861" s="10"/>
      <c r="E861" s="10"/>
      <c r="F861" s="10"/>
      <c r="G861" s="10"/>
      <c r="H861" s="10"/>
    </row>
    <row r="862" spans="1:8" ht="14.25" customHeight="1" x14ac:dyDescent="0.35">
      <c r="A862" s="10"/>
      <c r="B862" s="10"/>
      <c r="C862" s="10"/>
      <c r="D862" s="10"/>
      <c r="E862" s="10"/>
      <c r="F862" s="10"/>
      <c r="G862" s="10"/>
      <c r="H862" s="10"/>
    </row>
    <row r="863" spans="1:8" ht="14.25" customHeight="1" x14ac:dyDescent="0.35">
      <c r="A863" s="10"/>
      <c r="B863" s="10"/>
      <c r="C863" s="10"/>
      <c r="D863" s="10"/>
      <c r="E863" s="10"/>
      <c r="F863" s="10"/>
      <c r="G863" s="10"/>
      <c r="H863" s="10"/>
    </row>
    <row r="864" spans="1:8" ht="14.25" customHeight="1" x14ac:dyDescent="0.35">
      <c r="A864" s="10"/>
      <c r="B864" s="10"/>
      <c r="C864" s="10"/>
      <c r="D864" s="10"/>
      <c r="E864" s="10"/>
      <c r="F864" s="10"/>
      <c r="G864" s="10"/>
      <c r="H864" s="10"/>
    </row>
    <row r="865" spans="1:8" ht="14.25" customHeight="1" x14ac:dyDescent="0.35">
      <c r="A865" s="10"/>
      <c r="B865" s="10"/>
      <c r="C865" s="10"/>
      <c r="D865" s="10"/>
      <c r="E865" s="10"/>
      <c r="F865" s="10"/>
      <c r="G865" s="10"/>
      <c r="H865" s="10"/>
    </row>
    <row r="866" spans="1:8" ht="14.25" customHeight="1" x14ac:dyDescent="0.35">
      <c r="A866" s="10"/>
      <c r="B866" s="10"/>
      <c r="C866" s="10"/>
      <c r="D866" s="10"/>
      <c r="E866" s="10"/>
      <c r="F866" s="10"/>
      <c r="G866" s="10"/>
      <c r="H866" s="10"/>
    </row>
    <row r="867" spans="1:8" ht="14.25" customHeight="1" x14ac:dyDescent="0.35">
      <c r="A867" s="10"/>
      <c r="B867" s="10"/>
      <c r="C867" s="10"/>
      <c r="D867" s="10"/>
      <c r="E867" s="10"/>
      <c r="F867" s="10"/>
      <c r="G867" s="10"/>
      <c r="H867" s="10"/>
    </row>
    <row r="868" spans="1:8" ht="14.25" customHeight="1" x14ac:dyDescent="0.35">
      <c r="A868" s="10"/>
      <c r="B868" s="10"/>
      <c r="C868" s="10"/>
      <c r="D868" s="10"/>
      <c r="E868" s="10"/>
      <c r="F868" s="10"/>
      <c r="G868" s="10"/>
      <c r="H868" s="10"/>
    </row>
    <row r="869" spans="1:8" ht="14.25" customHeight="1" x14ac:dyDescent="0.35">
      <c r="A869" s="10"/>
      <c r="B869" s="10"/>
      <c r="C869" s="10"/>
      <c r="D869" s="10"/>
      <c r="E869" s="10"/>
      <c r="F869" s="10"/>
      <c r="G869" s="10"/>
      <c r="H869" s="10"/>
    </row>
    <row r="870" spans="1:8" ht="14.25" customHeight="1" x14ac:dyDescent="0.35">
      <c r="A870" s="10"/>
      <c r="B870" s="10"/>
      <c r="C870" s="10"/>
      <c r="D870" s="10"/>
      <c r="E870" s="10"/>
      <c r="F870" s="10"/>
      <c r="G870" s="10"/>
      <c r="H870" s="10"/>
    </row>
    <row r="871" spans="1:8" ht="14.25" customHeight="1" x14ac:dyDescent="0.35">
      <c r="A871" s="10"/>
      <c r="B871" s="10"/>
      <c r="C871" s="10"/>
      <c r="D871" s="10"/>
      <c r="E871" s="10"/>
      <c r="F871" s="10"/>
      <c r="G871" s="10"/>
      <c r="H871" s="10"/>
    </row>
    <row r="872" spans="1:8" ht="14.25" customHeight="1" x14ac:dyDescent="0.35">
      <c r="A872" s="10"/>
      <c r="B872" s="10"/>
      <c r="C872" s="10"/>
      <c r="D872" s="10"/>
      <c r="E872" s="10"/>
      <c r="F872" s="10"/>
      <c r="G872" s="10"/>
      <c r="H872" s="10"/>
    </row>
    <row r="873" spans="1:8" ht="14.25" customHeight="1" x14ac:dyDescent="0.35">
      <c r="A873" s="10"/>
      <c r="B873" s="10"/>
      <c r="C873" s="10"/>
      <c r="D873" s="10"/>
      <c r="E873" s="10"/>
      <c r="F873" s="10"/>
      <c r="G873" s="10"/>
      <c r="H873" s="10"/>
    </row>
    <row r="874" spans="1:8" ht="14.25" customHeight="1" x14ac:dyDescent="0.35">
      <c r="A874" s="10"/>
      <c r="B874" s="10"/>
      <c r="C874" s="10"/>
      <c r="D874" s="10"/>
      <c r="E874" s="10"/>
      <c r="F874" s="10"/>
      <c r="G874" s="10"/>
      <c r="H874" s="10"/>
    </row>
    <row r="875" spans="1:8" ht="14.25" customHeight="1" x14ac:dyDescent="0.35">
      <c r="A875" s="10"/>
      <c r="B875" s="10"/>
      <c r="C875" s="10"/>
      <c r="D875" s="10"/>
      <c r="E875" s="10"/>
      <c r="F875" s="10"/>
      <c r="G875" s="10"/>
      <c r="H875" s="10"/>
    </row>
    <row r="876" spans="1:8" ht="14.25" customHeight="1" x14ac:dyDescent="0.35">
      <c r="A876" s="10"/>
      <c r="B876" s="10"/>
      <c r="C876" s="10"/>
      <c r="D876" s="10"/>
      <c r="E876" s="10"/>
      <c r="F876" s="10"/>
      <c r="G876" s="10"/>
      <c r="H876" s="10"/>
    </row>
    <row r="877" spans="1:8" ht="14.25" customHeight="1" x14ac:dyDescent="0.35">
      <c r="A877" s="10"/>
      <c r="B877" s="10"/>
      <c r="C877" s="10"/>
      <c r="D877" s="10"/>
      <c r="E877" s="10"/>
      <c r="F877" s="10"/>
      <c r="G877" s="10"/>
      <c r="H877" s="10"/>
    </row>
    <row r="878" spans="1:8" ht="14.25" customHeight="1" x14ac:dyDescent="0.35">
      <c r="A878" s="10"/>
      <c r="B878" s="10"/>
      <c r="C878" s="10"/>
      <c r="D878" s="10"/>
      <c r="E878" s="10"/>
      <c r="F878" s="10"/>
      <c r="G878" s="10"/>
      <c r="H878" s="10"/>
    </row>
    <row r="879" spans="1:8" ht="14.25" customHeight="1" x14ac:dyDescent="0.35">
      <c r="A879" s="10"/>
      <c r="B879" s="10"/>
      <c r="C879" s="10"/>
      <c r="D879" s="10"/>
      <c r="E879" s="10"/>
      <c r="F879" s="10"/>
      <c r="G879" s="10"/>
      <c r="H879" s="10"/>
    </row>
    <row r="880" spans="1:8" ht="14.25" customHeight="1" x14ac:dyDescent="0.35">
      <c r="A880" s="10"/>
      <c r="B880" s="10"/>
      <c r="C880" s="10"/>
      <c r="D880" s="10"/>
      <c r="E880" s="10"/>
      <c r="F880" s="10"/>
      <c r="G880" s="10"/>
      <c r="H880" s="10"/>
    </row>
    <row r="881" spans="1:8" ht="14.25" customHeight="1" x14ac:dyDescent="0.35">
      <c r="A881" s="10"/>
      <c r="B881" s="10"/>
      <c r="C881" s="10"/>
      <c r="D881" s="10"/>
      <c r="E881" s="10"/>
      <c r="F881" s="10"/>
      <c r="G881" s="10"/>
      <c r="H881" s="10"/>
    </row>
    <row r="882" spans="1:8" ht="14.25" customHeight="1" x14ac:dyDescent="0.35">
      <c r="A882" s="10"/>
      <c r="B882" s="10"/>
      <c r="C882" s="10"/>
      <c r="D882" s="10"/>
      <c r="E882" s="10"/>
      <c r="F882" s="10"/>
      <c r="G882" s="10"/>
      <c r="H882" s="10"/>
    </row>
    <row r="883" spans="1:8" ht="14.25" customHeight="1" x14ac:dyDescent="0.35">
      <c r="A883" s="10"/>
      <c r="B883" s="10"/>
      <c r="C883" s="10"/>
      <c r="D883" s="10"/>
      <c r="E883" s="10"/>
      <c r="F883" s="10"/>
      <c r="G883" s="10"/>
      <c r="H883" s="10"/>
    </row>
    <row r="884" spans="1:8" ht="14.25" customHeight="1" x14ac:dyDescent="0.35">
      <c r="A884" s="10"/>
      <c r="B884" s="10"/>
      <c r="C884" s="10"/>
      <c r="D884" s="10"/>
      <c r="E884" s="10"/>
      <c r="F884" s="10"/>
      <c r="G884" s="10"/>
      <c r="H884" s="10"/>
    </row>
    <row r="885" spans="1:8" ht="14.25" customHeight="1" x14ac:dyDescent="0.35">
      <c r="A885" s="10"/>
      <c r="B885" s="10"/>
      <c r="C885" s="10"/>
      <c r="D885" s="10"/>
      <c r="E885" s="10"/>
      <c r="F885" s="10"/>
      <c r="G885" s="10"/>
      <c r="H885" s="10"/>
    </row>
    <row r="886" spans="1:8" ht="14.25" customHeight="1" x14ac:dyDescent="0.35">
      <c r="A886" s="10"/>
      <c r="B886" s="10"/>
      <c r="C886" s="10"/>
      <c r="D886" s="10"/>
      <c r="E886" s="10"/>
      <c r="F886" s="10"/>
      <c r="G886" s="10"/>
      <c r="H886" s="10"/>
    </row>
    <row r="887" spans="1:8" ht="14.25" customHeight="1" x14ac:dyDescent="0.35">
      <c r="A887" s="10"/>
      <c r="B887" s="10"/>
      <c r="C887" s="10"/>
      <c r="D887" s="10"/>
      <c r="E887" s="10"/>
      <c r="F887" s="10"/>
      <c r="G887" s="10"/>
      <c r="H887" s="10"/>
    </row>
    <row r="888" spans="1:8" ht="14.25" customHeight="1" x14ac:dyDescent="0.35">
      <c r="A888" s="10"/>
      <c r="B888" s="10"/>
      <c r="C888" s="10"/>
      <c r="D888" s="10"/>
      <c r="E888" s="10"/>
      <c r="F888" s="10"/>
      <c r="G888" s="10"/>
      <c r="H888" s="10"/>
    </row>
    <row r="889" spans="1:8" ht="14.25" customHeight="1" x14ac:dyDescent="0.35">
      <c r="A889" s="10"/>
      <c r="B889" s="10"/>
      <c r="C889" s="10"/>
      <c r="D889" s="10"/>
      <c r="E889" s="10"/>
      <c r="F889" s="10"/>
      <c r="G889" s="10"/>
      <c r="H889" s="10"/>
    </row>
    <row r="890" spans="1:8" ht="14.25" customHeight="1" x14ac:dyDescent="0.35">
      <c r="A890" s="10"/>
      <c r="B890" s="10"/>
      <c r="C890" s="10"/>
      <c r="D890" s="10"/>
      <c r="E890" s="10"/>
      <c r="F890" s="10"/>
      <c r="G890" s="10"/>
      <c r="H890" s="10"/>
    </row>
    <row r="891" spans="1:8" ht="14.25" customHeight="1" x14ac:dyDescent="0.35">
      <c r="A891" s="10"/>
      <c r="B891" s="10"/>
      <c r="C891" s="10"/>
      <c r="D891" s="10"/>
      <c r="E891" s="10"/>
      <c r="F891" s="10"/>
      <c r="G891" s="10"/>
      <c r="H891" s="10"/>
    </row>
    <row r="892" spans="1:8" ht="14.25" customHeight="1" x14ac:dyDescent="0.35">
      <c r="A892" s="10"/>
      <c r="B892" s="10"/>
      <c r="C892" s="10"/>
      <c r="D892" s="10"/>
      <c r="E892" s="10"/>
      <c r="F892" s="10"/>
      <c r="G892" s="10"/>
      <c r="H892" s="10"/>
    </row>
    <row r="893" spans="1:8" ht="14.25" customHeight="1" x14ac:dyDescent="0.35">
      <c r="A893" s="10"/>
      <c r="B893" s="10"/>
      <c r="C893" s="10"/>
      <c r="D893" s="10"/>
      <c r="E893" s="10"/>
      <c r="F893" s="10"/>
      <c r="G893" s="10"/>
      <c r="H893" s="10"/>
    </row>
    <row r="894" spans="1:8" ht="14.25" customHeight="1" x14ac:dyDescent="0.35">
      <c r="A894" s="10"/>
      <c r="B894" s="10"/>
      <c r="C894" s="10"/>
      <c r="D894" s="10"/>
      <c r="E894" s="10"/>
      <c r="F894" s="10"/>
      <c r="G894" s="10"/>
      <c r="H894" s="10"/>
    </row>
    <row r="895" spans="1:8" ht="14.25" customHeight="1" x14ac:dyDescent="0.35">
      <c r="A895" s="10"/>
      <c r="B895" s="10"/>
      <c r="C895" s="10"/>
      <c r="D895" s="10"/>
      <c r="E895" s="10"/>
      <c r="F895" s="10"/>
      <c r="G895" s="10"/>
      <c r="H895" s="10"/>
    </row>
    <row r="896" spans="1:8" ht="14.25" customHeight="1" x14ac:dyDescent="0.35">
      <c r="A896" s="10"/>
      <c r="B896" s="10"/>
      <c r="C896" s="10"/>
      <c r="D896" s="10"/>
      <c r="E896" s="10"/>
      <c r="F896" s="10"/>
      <c r="G896" s="10"/>
      <c r="H896" s="10"/>
    </row>
    <row r="897" spans="1:8" ht="14.25" customHeight="1" x14ac:dyDescent="0.35">
      <c r="A897" s="10"/>
      <c r="B897" s="10"/>
      <c r="C897" s="10"/>
      <c r="D897" s="10"/>
      <c r="E897" s="10"/>
      <c r="F897" s="10"/>
      <c r="G897" s="10"/>
      <c r="H897" s="10"/>
    </row>
    <row r="898" spans="1:8" ht="14.25" customHeight="1" x14ac:dyDescent="0.35">
      <c r="A898" s="10"/>
      <c r="B898" s="10"/>
      <c r="C898" s="10"/>
      <c r="D898" s="10"/>
      <c r="E898" s="10"/>
      <c r="F898" s="10"/>
      <c r="G898" s="10"/>
      <c r="H898" s="10"/>
    </row>
    <row r="899" spans="1:8" ht="14.25" customHeight="1" x14ac:dyDescent="0.35">
      <c r="A899" s="10"/>
      <c r="B899" s="10"/>
      <c r="C899" s="10"/>
      <c r="D899" s="10"/>
      <c r="E899" s="10"/>
      <c r="F899" s="10"/>
      <c r="G899" s="10"/>
      <c r="H899" s="10"/>
    </row>
    <row r="900" spans="1:8" ht="14.25" customHeight="1" x14ac:dyDescent="0.35">
      <c r="A900" s="10"/>
      <c r="B900" s="10"/>
      <c r="C900" s="10"/>
      <c r="D900" s="10"/>
      <c r="E900" s="10"/>
      <c r="F900" s="10"/>
      <c r="G900" s="10"/>
      <c r="H900" s="10"/>
    </row>
    <row r="901" spans="1:8" ht="14.25" customHeight="1" x14ac:dyDescent="0.35">
      <c r="A901" s="10"/>
      <c r="B901" s="10"/>
      <c r="C901" s="10"/>
      <c r="D901" s="10"/>
      <c r="E901" s="10"/>
      <c r="F901" s="10"/>
      <c r="G901" s="10"/>
      <c r="H901" s="10"/>
    </row>
    <row r="902" spans="1:8" ht="14.25" customHeight="1" x14ac:dyDescent="0.35">
      <c r="A902" s="10"/>
      <c r="B902" s="10"/>
      <c r="C902" s="10"/>
      <c r="D902" s="10"/>
      <c r="E902" s="10"/>
      <c r="F902" s="10"/>
      <c r="G902" s="10"/>
      <c r="H902" s="10"/>
    </row>
    <row r="903" spans="1:8" ht="14.25" customHeight="1" x14ac:dyDescent="0.35">
      <c r="A903" s="10"/>
      <c r="B903" s="10"/>
      <c r="C903" s="10"/>
      <c r="D903" s="10"/>
      <c r="E903" s="10"/>
      <c r="F903" s="10"/>
      <c r="G903" s="10"/>
      <c r="H903" s="10"/>
    </row>
    <row r="904" spans="1:8" ht="14.25" customHeight="1" x14ac:dyDescent="0.35">
      <c r="A904" s="10"/>
      <c r="B904" s="10"/>
      <c r="C904" s="10"/>
      <c r="D904" s="10"/>
      <c r="E904" s="10"/>
      <c r="F904" s="10"/>
      <c r="G904" s="10"/>
      <c r="H904" s="10"/>
    </row>
    <row r="905" spans="1:8" ht="14.25" customHeight="1" x14ac:dyDescent="0.35">
      <c r="A905" s="10"/>
      <c r="B905" s="10"/>
      <c r="C905" s="10"/>
      <c r="D905" s="10"/>
      <c r="E905" s="10"/>
      <c r="F905" s="10"/>
      <c r="G905" s="10"/>
      <c r="H905" s="10"/>
    </row>
    <row r="906" spans="1:8" ht="14.25" customHeight="1" x14ac:dyDescent="0.35">
      <c r="A906" s="10"/>
      <c r="B906" s="10"/>
      <c r="C906" s="10"/>
      <c r="D906" s="10"/>
      <c r="E906" s="10"/>
      <c r="F906" s="10"/>
      <c r="G906" s="10"/>
      <c r="H906" s="10"/>
    </row>
    <row r="907" spans="1:8" ht="14.25" customHeight="1" x14ac:dyDescent="0.35">
      <c r="A907" s="10"/>
      <c r="B907" s="10"/>
      <c r="C907" s="10"/>
      <c r="D907" s="10"/>
      <c r="E907" s="10"/>
      <c r="F907" s="10"/>
      <c r="G907" s="10"/>
      <c r="H907" s="10"/>
    </row>
    <row r="908" spans="1:8" ht="14.25" customHeight="1" x14ac:dyDescent="0.35">
      <c r="A908" s="10"/>
      <c r="B908" s="10"/>
      <c r="C908" s="10"/>
      <c r="D908" s="10"/>
      <c r="E908" s="10"/>
      <c r="F908" s="10"/>
      <c r="G908" s="10"/>
      <c r="H908" s="10"/>
    </row>
    <row r="909" spans="1:8" ht="14.25" customHeight="1" x14ac:dyDescent="0.35">
      <c r="A909" s="10"/>
      <c r="B909" s="10"/>
      <c r="C909" s="10"/>
      <c r="D909" s="10"/>
      <c r="E909" s="10"/>
      <c r="F909" s="10"/>
      <c r="G909" s="10"/>
      <c r="H909" s="10"/>
    </row>
    <row r="910" spans="1:8" ht="14.25" customHeight="1" x14ac:dyDescent="0.35">
      <c r="A910" s="10"/>
      <c r="B910" s="10"/>
      <c r="C910" s="10"/>
      <c r="D910" s="10"/>
      <c r="E910" s="10"/>
      <c r="F910" s="10"/>
      <c r="G910" s="10"/>
      <c r="H910" s="10"/>
    </row>
    <row r="911" spans="1:8" ht="14.25" customHeight="1" x14ac:dyDescent="0.35">
      <c r="A911" s="10"/>
      <c r="B911" s="10"/>
      <c r="C911" s="10"/>
      <c r="D911" s="10"/>
      <c r="E911" s="10"/>
      <c r="F911" s="10"/>
      <c r="G911" s="10"/>
      <c r="H911" s="10"/>
    </row>
    <row r="912" spans="1:8" ht="14.25" customHeight="1" x14ac:dyDescent="0.35">
      <c r="A912" s="10"/>
      <c r="B912" s="10"/>
      <c r="C912" s="10"/>
      <c r="D912" s="10"/>
      <c r="E912" s="10"/>
      <c r="F912" s="10"/>
      <c r="G912" s="10"/>
      <c r="H912" s="10"/>
    </row>
    <row r="913" spans="1:8" ht="14.25" customHeight="1" x14ac:dyDescent="0.35">
      <c r="A913" s="10"/>
      <c r="B913" s="10"/>
      <c r="C913" s="10"/>
      <c r="D913" s="10"/>
      <c r="E913" s="10"/>
      <c r="F913" s="10"/>
      <c r="G913" s="10"/>
      <c r="H913" s="10"/>
    </row>
    <row r="914" spans="1:8" ht="14.25" customHeight="1" x14ac:dyDescent="0.35">
      <c r="A914" s="10"/>
      <c r="B914" s="10"/>
      <c r="C914" s="10"/>
      <c r="D914" s="10"/>
      <c r="E914" s="10"/>
      <c r="F914" s="10"/>
      <c r="G914" s="10"/>
      <c r="H914" s="10"/>
    </row>
    <row r="915" spans="1:8" ht="14.25" customHeight="1" x14ac:dyDescent="0.35">
      <c r="A915" s="10"/>
      <c r="B915" s="10"/>
      <c r="C915" s="10"/>
      <c r="D915" s="10"/>
      <c r="E915" s="10"/>
      <c r="F915" s="10"/>
      <c r="G915" s="10"/>
      <c r="H915" s="10"/>
    </row>
    <row r="916" spans="1:8" ht="14.25" customHeight="1" x14ac:dyDescent="0.35">
      <c r="A916" s="10"/>
      <c r="B916" s="10"/>
      <c r="C916" s="10"/>
      <c r="D916" s="10"/>
      <c r="E916" s="10"/>
      <c r="F916" s="10"/>
      <c r="G916" s="10"/>
      <c r="H916" s="10"/>
    </row>
    <row r="917" spans="1:8" ht="14.25" customHeight="1" x14ac:dyDescent="0.35">
      <c r="A917" s="10"/>
      <c r="B917" s="10"/>
      <c r="C917" s="10"/>
      <c r="D917" s="10"/>
      <c r="E917" s="10"/>
      <c r="F917" s="10"/>
      <c r="G917" s="10"/>
      <c r="H917" s="10"/>
    </row>
    <row r="918" spans="1:8" ht="14.25" customHeight="1" x14ac:dyDescent="0.35">
      <c r="A918" s="10"/>
      <c r="B918" s="10"/>
      <c r="C918" s="10"/>
      <c r="D918" s="10"/>
      <c r="E918" s="10"/>
      <c r="F918" s="10"/>
      <c r="G918" s="10"/>
      <c r="H918" s="10"/>
    </row>
    <row r="919" spans="1:8" ht="14.25" customHeight="1" x14ac:dyDescent="0.35">
      <c r="A919" s="10"/>
      <c r="B919" s="10"/>
      <c r="C919" s="10"/>
      <c r="D919" s="10"/>
      <c r="E919" s="10"/>
      <c r="F919" s="10"/>
      <c r="G919" s="10"/>
      <c r="H919" s="10"/>
    </row>
    <row r="920" spans="1:8" ht="14.25" customHeight="1" x14ac:dyDescent="0.35">
      <c r="A920" s="10"/>
      <c r="B920" s="10"/>
      <c r="C920" s="10"/>
      <c r="D920" s="10"/>
      <c r="E920" s="10"/>
      <c r="F920" s="10"/>
      <c r="G920" s="10"/>
      <c r="H920" s="10"/>
    </row>
    <row r="921" spans="1:8" ht="14.25" customHeight="1" x14ac:dyDescent="0.35">
      <c r="A921" s="10"/>
      <c r="B921" s="10"/>
      <c r="C921" s="10"/>
      <c r="D921" s="10"/>
      <c r="E921" s="10"/>
      <c r="F921" s="10"/>
      <c r="G921" s="10"/>
      <c r="H921" s="10"/>
    </row>
    <row r="922" spans="1:8" ht="14.25" customHeight="1" x14ac:dyDescent="0.35">
      <c r="A922" s="10"/>
      <c r="B922" s="10"/>
      <c r="C922" s="10"/>
      <c r="D922" s="10"/>
      <c r="E922" s="10"/>
      <c r="F922" s="10"/>
      <c r="G922" s="10"/>
      <c r="H922" s="10"/>
    </row>
    <row r="923" spans="1:8" ht="14.25" customHeight="1" x14ac:dyDescent="0.35">
      <c r="A923" s="10"/>
      <c r="B923" s="10"/>
      <c r="C923" s="10"/>
      <c r="D923" s="10"/>
      <c r="E923" s="10"/>
      <c r="F923" s="10"/>
      <c r="G923" s="10"/>
      <c r="H923" s="10"/>
    </row>
    <row r="924" spans="1:8" ht="14.25" customHeight="1" x14ac:dyDescent="0.35">
      <c r="A924" s="10"/>
      <c r="B924" s="10"/>
      <c r="C924" s="10"/>
      <c r="D924" s="10"/>
      <c r="E924" s="10"/>
      <c r="F924" s="10"/>
      <c r="G924" s="10"/>
      <c r="H924" s="10"/>
    </row>
    <row r="925" spans="1:8" ht="14.25" customHeight="1" x14ac:dyDescent="0.35">
      <c r="A925" s="10"/>
      <c r="B925" s="10"/>
      <c r="C925" s="10"/>
      <c r="D925" s="10"/>
      <c r="E925" s="10"/>
      <c r="F925" s="10"/>
      <c r="G925" s="10"/>
      <c r="H925" s="10"/>
    </row>
    <row r="926" spans="1:8" ht="14.25" customHeight="1" x14ac:dyDescent="0.35">
      <c r="A926" s="10"/>
      <c r="B926" s="10"/>
      <c r="C926" s="10"/>
      <c r="D926" s="10"/>
      <c r="E926" s="10"/>
      <c r="F926" s="10"/>
      <c r="G926" s="10"/>
      <c r="H926" s="10"/>
    </row>
    <row r="927" spans="1:8" ht="14.25" customHeight="1" x14ac:dyDescent="0.35">
      <c r="A927" s="10"/>
      <c r="B927" s="10"/>
      <c r="C927" s="10"/>
      <c r="D927" s="10"/>
      <c r="E927" s="10"/>
      <c r="F927" s="10"/>
      <c r="G927" s="10"/>
      <c r="H927" s="10"/>
    </row>
    <row r="928" spans="1:8" ht="14.25" customHeight="1" x14ac:dyDescent="0.35">
      <c r="A928" s="10"/>
      <c r="B928" s="10"/>
      <c r="C928" s="10"/>
      <c r="D928" s="10"/>
      <c r="E928" s="10"/>
      <c r="F928" s="10"/>
      <c r="G928" s="10"/>
      <c r="H928" s="10"/>
    </row>
    <row r="929" spans="1:8" ht="14.25" customHeight="1" x14ac:dyDescent="0.35">
      <c r="A929" s="10"/>
      <c r="B929" s="10"/>
      <c r="C929" s="10"/>
      <c r="D929" s="10"/>
      <c r="E929" s="10"/>
      <c r="F929" s="10"/>
      <c r="G929" s="10"/>
      <c r="H929" s="10"/>
    </row>
    <row r="930" spans="1:8" ht="14.25" customHeight="1" x14ac:dyDescent="0.35">
      <c r="A930" s="10"/>
      <c r="B930" s="10"/>
      <c r="C930" s="10"/>
      <c r="D930" s="10"/>
      <c r="E930" s="10"/>
      <c r="F930" s="10"/>
      <c r="G930" s="10"/>
      <c r="H930" s="10"/>
    </row>
    <row r="931" spans="1:8" ht="14.25" customHeight="1" x14ac:dyDescent="0.35">
      <c r="A931" s="10"/>
      <c r="B931" s="10"/>
      <c r="C931" s="10"/>
      <c r="D931" s="10"/>
      <c r="E931" s="10"/>
      <c r="F931" s="10"/>
      <c r="G931" s="10"/>
      <c r="H931" s="10"/>
    </row>
    <row r="932" spans="1:8" ht="14.25" customHeight="1" x14ac:dyDescent="0.35">
      <c r="A932" s="10"/>
      <c r="B932" s="10"/>
      <c r="C932" s="10"/>
      <c r="D932" s="10"/>
      <c r="E932" s="10"/>
      <c r="F932" s="10"/>
      <c r="G932" s="10"/>
      <c r="H932" s="10"/>
    </row>
    <row r="933" spans="1:8" ht="14.25" customHeight="1" x14ac:dyDescent="0.35">
      <c r="A933" s="10"/>
      <c r="B933" s="10"/>
      <c r="C933" s="10"/>
      <c r="D933" s="10"/>
      <c r="E933" s="10"/>
      <c r="F933" s="10"/>
      <c r="G933" s="10"/>
      <c r="H933" s="10"/>
    </row>
    <row r="934" spans="1:8" ht="14.25" customHeight="1" x14ac:dyDescent="0.35">
      <c r="A934" s="10"/>
      <c r="B934" s="10"/>
      <c r="C934" s="10"/>
      <c r="D934" s="10"/>
      <c r="E934" s="10"/>
      <c r="F934" s="10"/>
      <c r="G934" s="10"/>
      <c r="H934" s="10"/>
    </row>
    <row r="935" spans="1:8" ht="14.25" customHeight="1" x14ac:dyDescent="0.35">
      <c r="A935" s="10"/>
      <c r="B935" s="10"/>
      <c r="C935" s="10"/>
      <c r="D935" s="10"/>
      <c r="E935" s="10"/>
      <c r="F935" s="10"/>
      <c r="G935" s="10"/>
      <c r="H935" s="10"/>
    </row>
    <row r="936" spans="1:8" ht="14.25" customHeight="1" x14ac:dyDescent="0.35">
      <c r="A936" s="10"/>
      <c r="B936" s="10"/>
      <c r="C936" s="10"/>
      <c r="D936" s="10"/>
      <c r="E936" s="10"/>
      <c r="F936" s="10"/>
      <c r="G936" s="10"/>
      <c r="H936" s="10"/>
    </row>
    <row r="937" spans="1:8" ht="14.25" customHeight="1" x14ac:dyDescent="0.35">
      <c r="A937" s="10"/>
      <c r="B937" s="10"/>
      <c r="C937" s="10"/>
      <c r="D937" s="10"/>
      <c r="E937" s="10"/>
      <c r="F937" s="10"/>
      <c r="G937" s="10"/>
      <c r="H937" s="10"/>
    </row>
    <row r="938" spans="1:8" ht="14.25" customHeight="1" x14ac:dyDescent="0.35">
      <c r="A938" s="10"/>
      <c r="B938" s="10"/>
      <c r="C938" s="10"/>
      <c r="D938" s="10"/>
      <c r="E938" s="10"/>
      <c r="F938" s="10"/>
      <c r="G938" s="10"/>
      <c r="H938" s="10"/>
    </row>
    <row r="939" spans="1:8" ht="14.25" customHeight="1" x14ac:dyDescent="0.35">
      <c r="A939" s="10"/>
      <c r="B939" s="10"/>
      <c r="C939" s="10"/>
      <c r="D939" s="10"/>
      <c r="E939" s="10"/>
      <c r="F939" s="10"/>
      <c r="G939" s="10"/>
      <c r="H939" s="10"/>
    </row>
    <row r="940" spans="1:8" ht="14.25" customHeight="1" x14ac:dyDescent="0.35">
      <c r="A940" s="10"/>
      <c r="B940" s="10"/>
      <c r="C940" s="10"/>
      <c r="D940" s="10"/>
      <c r="E940" s="10"/>
      <c r="F940" s="10"/>
      <c r="G940" s="10"/>
      <c r="H940" s="10"/>
    </row>
    <row r="941" spans="1:8" ht="14.25" customHeight="1" x14ac:dyDescent="0.35">
      <c r="A941" s="10"/>
      <c r="B941" s="10"/>
      <c r="C941" s="10"/>
      <c r="D941" s="10"/>
      <c r="E941" s="10"/>
      <c r="F941" s="10"/>
      <c r="G941" s="10"/>
      <c r="H941" s="10"/>
    </row>
    <row r="942" spans="1:8" ht="14.25" customHeight="1" x14ac:dyDescent="0.35">
      <c r="A942" s="10"/>
      <c r="B942" s="10"/>
      <c r="C942" s="10"/>
      <c r="D942" s="10"/>
      <c r="E942" s="10"/>
      <c r="F942" s="10"/>
      <c r="G942" s="10"/>
      <c r="H942" s="10"/>
    </row>
    <row r="943" spans="1:8" ht="14.25" customHeight="1" x14ac:dyDescent="0.35">
      <c r="A943" s="10"/>
      <c r="B943" s="10"/>
      <c r="C943" s="10"/>
      <c r="D943" s="10"/>
      <c r="E943" s="10"/>
      <c r="F943" s="10"/>
      <c r="G943" s="10"/>
      <c r="H943" s="10"/>
    </row>
    <row r="944" spans="1:8" ht="14.25" customHeight="1" x14ac:dyDescent="0.35">
      <c r="A944" s="10"/>
      <c r="B944" s="10"/>
      <c r="C944" s="10"/>
      <c r="D944" s="10"/>
      <c r="E944" s="10"/>
      <c r="F944" s="10"/>
      <c r="G944" s="10"/>
      <c r="H944" s="10"/>
    </row>
    <row r="945" spans="1:8" ht="14.25" customHeight="1" x14ac:dyDescent="0.35">
      <c r="A945" s="10"/>
      <c r="B945" s="10"/>
      <c r="C945" s="10"/>
      <c r="D945" s="10"/>
      <c r="E945" s="10"/>
      <c r="F945" s="10"/>
      <c r="G945" s="10"/>
      <c r="H945" s="10"/>
    </row>
    <row r="946" spans="1:8" ht="14.25" customHeight="1" x14ac:dyDescent="0.35">
      <c r="A946" s="10"/>
      <c r="B946" s="10"/>
      <c r="C946" s="10"/>
      <c r="D946" s="10"/>
      <c r="E946" s="10"/>
      <c r="F946" s="10"/>
      <c r="G946" s="10"/>
      <c r="H946" s="10"/>
    </row>
    <row r="947" spans="1:8" ht="14.25" customHeight="1" x14ac:dyDescent="0.35">
      <c r="A947" s="10"/>
      <c r="B947" s="10"/>
      <c r="C947" s="10"/>
      <c r="D947" s="10"/>
      <c r="E947" s="10"/>
      <c r="F947" s="10"/>
      <c r="G947" s="10"/>
      <c r="H947" s="10"/>
    </row>
    <row r="948" spans="1:8" ht="14.25" customHeight="1" x14ac:dyDescent="0.35">
      <c r="A948" s="10"/>
      <c r="B948" s="10"/>
      <c r="C948" s="10"/>
      <c r="D948" s="10"/>
      <c r="E948" s="10"/>
      <c r="F948" s="10"/>
      <c r="G948" s="10"/>
      <c r="H948" s="10"/>
    </row>
    <row r="949" spans="1:8" ht="14.25" customHeight="1" x14ac:dyDescent="0.35">
      <c r="A949" s="10"/>
      <c r="B949" s="10"/>
      <c r="C949" s="10"/>
      <c r="D949" s="10"/>
      <c r="E949" s="10"/>
      <c r="F949" s="10"/>
      <c r="G949" s="10"/>
      <c r="H949" s="10"/>
    </row>
    <row r="950" spans="1:8" ht="14.25" customHeight="1" x14ac:dyDescent="0.35">
      <c r="A950" s="10"/>
      <c r="B950" s="10"/>
      <c r="C950" s="10"/>
      <c r="D950" s="10"/>
      <c r="E950" s="10"/>
      <c r="F950" s="10"/>
      <c r="G950" s="10"/>
      <c r="H950" s="10"/>
    </row>
    <row r="951" spans="1:8" ht="14.25" customHeight="1" x14ac:dyDescent="0.35">
      <c r="A951" s="10"/>
      <c r="B951" s="10"/>
      <c r="C951" s="10"/>
      <c r="D951" s="10"/>
      <c r="E951" s="10"/>
      <c r="F951" s="10"/>
      <c r="G951" s="10"/>
      <c r="H951" s="10"/>
    </row>
    <row r="952" spans="1:8" ht="14.25" customHeight="1" x14ac:dyDescent="0.35">
      <c r="A952" s="10"/>
      <c r="B952" s="10"/>
      <c r="C952" s="10"/>
      <c r="D952" s="10"/>
      <c r="E952" s="10"/>
      <c r="F952" s="10"/>
      <c r="G952" s="10"/>
      <c r="H952" s="10"/>
    </row>
    <row r="953" spans="1:8" ht="14.25" customHeight="1" x14ac:dyDescent="0.35">
      <c r="A953" s="10"/>
      <c r="B953" s="10"/>
      <c r="C953" s="10"/>
      <c r="D953" s="10"/>
      <c r="E953" s="10"/>
      <c r="F953" s="10"/>
      <c r="G953" s="10"/>
      <c r="H953" s="10"/>
    </row>
    <row r="954" spans="1:8" ht="14.25" customHeight="1" x14ac:dyDescent="0.35">
      <c r="A954" s="10"/>
      <c r="B954" s="10"/>
      <c r="C954" s="10"/>
      <c r="D954" s="10"/>
      <c r="E954" s="10"/>
      <c r="F954" s="10"/>
      <c r="G954" s="10"/>
      <c r="H954" s="10"/>
    </row>
    <row r="955" spans="1:8" ht="14.25" customHeight="1" x14ac:dyDescent="0.35">
      <c r="A955" s="10"/>
      <c r="B955" s="10"/>
      <c r="C955" s="10"/>
      <c r="D955" s="10"/>
      <c r="E955" s="10"/>
      <c r="F955" s="10"/>
      <c r="G955" s="10"/>
      <c r="H955" s="10"/>
    </row>
    <row r="956" spans="1:8" ht="14.25" customHeight="1" x14ac:dyDescent="0.35">
      <c r="A956" s="10"/>
      <c r="B956" s="10"/>
      <c r="C956" s="10"/>
      <c r="D956" s="10"/>
      <c r="E956" s="10"/>
      <c r="F956" s="10"/>
      <c r="G956" s="10"/>
      <c r="H956" s="10"/>
    </row>
    <row r="957" spans="1:8" ht="14.25" customHeight="1" x14ac:dyDescent="0.35">
      <c r="A957" s="10"/>
      <c r="B957" s="10"/>
      <c r="C957" s="10"/>
      <c r="D957" s="10"/>
      <c r="E957" s="10"/>
      <c r="F957" s="10"/>
      <c r="G957" s="10"/>
      <c r="H957" s="10"/>
    </row>
    <row r="958" spans="1:8" ht="14.25" customHeight="1" x14ac:dyDescent="0.35">
      <c r="A958" s="10"/>
      <c r="B958" s="10"/>
      <c r="C958" s="10"/>
      <c r="D958" s="10"/>
      <c r="E958" s="10"/>
      <c r="F958" s="10"/>
      <c r="G958" s="10"/>
      <c r="H958" s="10"/>
    </row>
    <row r="959" spans="1:8" ht="14.25" customHeight="1" x14ac:dyDescent="0.35">
      <c r="A959" s="10"/>
      <c r="B959" s="10"/>
      <c r="C959" s="10"/>
      <c r="D959" s="10"/>
      <c r="E959" s="10"/>
      <c r="F959" s="10"/>
      <c r="G959" s="10"/>
      <c r="H959" s="10"/>
    </row>
    <row r="960" spans="1:8" ht="14.25" customHeight="1" x14ac:dyDescent="0.35">
      <c r="A960" s="10"/>
      <c r="B960" s="10"/>
      <c r="C960" s="10"/>
      <c r="D960" s="10"/>
      <c r="E960" s="10"/>
      <c r="F960" s="10"/>
      <c r="G960" s="10"/>
      <c r="H960" s="10"/>
    </row>
    <row r="961" spans="1:8" ht="14.25" customHeight="1" x14ac:dyDescent="0.35">
      <c r="A961" s="10"/>
      <c r="B961" s="10"/>
      <c r="C961" s="10"/>
      <c r="D961" s="10"/>
      <c r="E961" s="10"/>
      <c r="F961" s="10"/>
      <c r="G961" s="10"/>
      <c r="H961" s="10"/>
    </row>
    <row r="962" spans="1:8" ht="14.25" customHeight="1" x14ac:dyDescent="0.35">
      <c r="A962" s="10"/>
      <c r="B962" s="10"/>
      <c r="C962" s="10"/>
      <c r="D962" s="10"/>
      <c r="E962" s="10"/>
      <c r="F962" s="10"/>
      <c r="G962" s="10"/>
      <c r="H962" s="10"/>
    </row>
    <row r="963" spans="1:8" ht="14.25" customHeight="1" x14ac:dyDescent="0.35">
      <c r="A963" s="10"/>
      <c r="B963" s="10"/>
      <c r="C963" s="10"/>
      <c r="D963" s="10"/>
      <c r="E963" s="10"/>
      <c r="F963" s="10"/>
      <c r="G963" s="10"/>
      <c r="H963" s="10"/>
    </row>
    <row r="964" spans="1:8" ht="14.25" customHeight="1" x14ac:dyDescent="0.35">
      <c r="A964" s="10"/>
      <c r="B964" s="10"/>
      <c r="C964" s="10"/>
      <c r="D964" s="10"/>
      <c r="E964" s="10"/>
      <c r="F964" s="10"/>
      <c r="G964" s="10"/>
      <c r="H964" s="10"/>
    </row>
    <row r="965" spans="1:8" ht="14.25" customHeight="1" x14ac:dyDescent="0.35">
      <c r="A965" s="10"/>
      <c r="B965" s="10"/>
      <c r="C965" s="10"/>
      <c r="D965" s="10"/>
      <c r="E965" s="10"/>
      <c r="F965" s="10"/>
      <c r="G965" s="10"/>
      <c r="H965" s="10"/>
    </row>
    <row r="966" spans="1:8" ht="14.25" customHeight="1" x14ac:dyDescent="0.35">
      <c r="A966" s="10"/>
      <c r="B966" s="10"/>
      <c r="C966" s="10"/>
      <c r="D966" s="10"/>
      <c r="E966" s="10"/>
      <c r="F966" s="10"/>
      <c r="G966" s="10"/>
      <c r="H966" s="10"/>
    </row>
    <row r="967" spans="1:8" ht="14.25" customHeight="1" x14ac:dyDescent="0.35">
      <c r="A967" s="10"/>
      <c r="B967" s="10"/>
      <c r="C967" s="10"/>
      <c r="D967" s="10"/>
      <c r="E967" s="10"/>
      <c r="F967" s="10"/>
      <c r="G967" s="10"/>
      <c r="H967" s="10"/>
    </row>
    <row r="968" spans="1:8" ht="14.25" customHeight="1" x14ac:dyDescent="0.35">
      <c r="A968" s="10"/>
      <c r="B968" s="10"/>
      <c r="C968" s="10"/>
      <c r="D968" s="10"/>
      <c r="E968" s="10"/>
      <c r="F968" s="10"/>
      <c r="G968" s="10"/>
      <c r="H968" s="10"/>
    </row>
    <row r="969" spans="1:8" ht="14.25" customHeight="1" x14ac:dyDescent="0.35">
      <c r="A969" s="10"/>
      <c r="B969" s="10"/>
      <c r="C969" s="10"/>
      <c r="D969" s="10"/>
      <c r="E969" s="10"/>
      <c r="F969" s="10"/>
      <c r="G969" s="10"/>
      <c r="H969" s="10"/>
    </row>
    <row r="970" spans="1:8" ht="14.25" customHeight="1" x14ac:dyDescent="0.35">
      <c r="A970" s="10"/>
      <c r="B970" s="10"/>
      <c r="C970" s="10"/>
      <c r="D970" s="10"/>
      <c r="E970" s="10"/>
      <c r="F970" s="10"/>
      <c r="G970" s="10"/>
      <c r="H970" s="10"/>
    </row>
    <row r="971" spans="1:8" ht="14.25" customHeight="1" x14ac:dyDescent="0.35">
      <c r="A971" s="10"/>
      <c r="B971" s="10"/>
      <c r="C971" s="10"/>
      <c r="D971" s="10"/>
      <c r="E971" s="10"/>
      <c r="F971" s="10"/>
      <c r="G971" s="10"/>
      <c r="H971" s="10"/>
    </row>
    <row r="972" spans="1:8" ht="14.25" customHeight="1" x14ac:dyDescent="0.35">
      <c r="A972" s="10"/>
      <c r="B972" s="10"/>
      <c r="C972" s="10"/>
      <c r="D972" s="10"/>
      <c r="E972" s="10"/>
      <c r="F972" s="10"/>
      <c r="G972" s="10"/>
      <c r="H972" s="10"/>
    </row>
    <row r="973" spans="1:8" ht="14.25" customHeight="1" x14ac:dyDescent="0.35">
      <c r="A973" s="10"/>
      <c r="B973" s="10"/>
      <c r="C973" s="10"/>
      <c r="D973" s="10"/>
      <c r="E973" s="10"/>
      <c r="F973" s="10"/>
      <c r="G973" s="10"/>
      <c r="H973" s="10"/>
    </row>
    <row r="974" spans="1:8" ht="14.25" customHeight="1" x14ac:dyDescent="0.35">
      <c r="A974" s="10"/>
      <c r="B974" s="10"/>
      <c r="C974" s="10"/>
      <c r="D974" s="10"/>
      <c r="E974" s="10"/>
      <c r="F974" s="10"/>
      <c r="G974" s="10"/>
      <c r="H974" s="10"/>
    </row>
    <row r="975" spans="1:8" ht="14.25" customHeight="1" x14ac:dyDescent="0.35">
      <c r="A975" s="10"/>
      <c r="B975" s="10"/>
      <c r="C975" s="10"/>
      <c r="D975" s="10"/>
      <c r="E975" s="10"/>
      <c r="F975" s="10"/>
      <c r="G975" s="10"/>
      <c r="H975" s="10"/>
    </row>
    <row r="976" spans="1:8" ht="14.25" customHeight="1" x14ac:dyDescent="0.35">
      <c r="A976" s="10"/>
      <c r="B976" s="10"/>
      <c r="C976" s="10"/>
      <c r="D976" s="10"/>
      <c r="E976" s="10"/>
      <c r="F976" s="10"/>
      <c r="G976" s="10"/>
      <c r="H976" s="10"/>
    </row>
    <row r="977" spans="1:8" ht="14.25" customHeight="1" x14ac:dyDescent="0.35">
      <c r="A977" s="10"/>
      <c r="B977" s="10"/>
      <c r="C977" s="10"/>
      <c r="D977" s="10"/>
      <c r="E977" s="10"/>
      <c r="F977" s="10"/>
      <c r="G977" s="10"/>
      <c r="H977" s="10"/>
    </row>
    <row r="978" spans="1:8" ht="14.25" customHeight="1" x14ac:dyDescent="0.35">
      <c r="A978" s="10"/>
      <c r="B978" s="10"/>
      <c r="C978" s="10"/>
      <c r="D978" s="10"/>
      <c r="E978" s="10"/>
      <c r="F978" s="10"/>
      <c r="G978" s="10"/>
      <c r="H978" s="10"/>
    </row>
    <row r="979" spans="1:8" ht="14.25" customHeight="1" x14ac:dyDescent="0.35">
      <c r="A979" s="10"/>
      <c r="B979" s="10"/>
      <c r="C979" s="10"/>
      <c r="D979" s="10"/>
      <c r="E979" s="10"/>
      <c r="F979" s="10"/>
      <c r="G979" s="10"/>
      <c r="H979" s="10"/>
    </row>
    <row r="980" spans="1:8" ht="14.25" customHeight="1" x14ac:dyDescent="0.35">
      <c r="A980" s="10"/>
      <c r="B980" s="10"/>
      <c r="C980" s="10"/>
      <c r="D980" s="10"/>
      <c r="E980" s="10"/>
      <c r="F980" s="10"/>
      <c r="G980" s="10"/>
      <c r="H980" s="10"/>
    </row>
    <row r="981" spans="1:8" ht="14.25" customHeight="1" x14ac:dyDescent="0.35">
      <c r="A981" s="10"/>
      <c r="B981" s="10"/>
      <c r="C981" s="10"/>
      <c r="D981" s="10"/>
      <c r="E981" s="10"/>
      <c r="F981" s="10"/>
      <c r="G981" s="10"/>
      <c r="H981" s="10"/>
    </row>
    <row r="982" spans="1:8" ht="14.25" customHeight="1" x14ac:dyDescent="0.35">
      <c r="A982" s="10"/>
      <c r="B982" s="10"/>
      <c r="C982" s="10"/>
      <c r="D982" s="10"/>
      <c r="E982" s="10"/>
      <c r="F982" s="10"/>
      <c r="G982" s="10"/>
      <c r="H982" s="10"/>
    </row>
    <row r="983" spans="1:8" ht="14.25" customHeight="1" x14ac:dyDescent="0.35">
      <c r="A983" s="10"/>
      <c r="B983" s="10"/>
      <c r="C983" s="10"/>
      <c r="D983" s="10"/>
      <c r="E983" s="10"/>
      <c r="F983" s="10"/>
      <c r="G983" s="10"/>
      <c r="H983" s="10"/>
    </row>
    <row r="984" spans="1:8" ht="14.25" customHeight="1" x14ac:dyDescent="0.35">
      <c r="A984" s="10"/>
      <c r="B984" s="10"/>
      <c r="C984" s="10"/>
      <c r="D984" s="10"/>
      <c r="E984" s="10"/>
      <c r="F984" s="10"/>
      <c r="G984" s="10"/>
      <c r="H984" s="10"/>
    </row>
    <row r="985" spans="1:8" ht="14.25" customHeight="1" x14ac:dyDescent="0.35">
      <c r="A985" s="10"/>
      <c r="B985" s="10"/>
      <c r="C985" s="10"/>
      <c r="D985" s="10"/>
      <c r="E985" s="10"/>
      <c r="F985" s="10"/>
      <c r="G985" s="10"/>
      <c r="H985" s="10"/>
    </row>
    <row r="986" spans="1:8" ht="14.25" customHeight="1" x14ac:dyDescent="0.35">
      <c r="A986" s="10"/>
      <c r="B986" s="10"/>
      <c r="C986" s="10"/>
      <c r="D986" s="10"/>
      <c r="E986" s="10"/>
      <c r="F986" s="10"/>
      <c r="G986" s="10"/>
      <c r="H986" s="10"/>
    </row>
    <row r="987" spans="1:8" ht="14.25" customHeight="1" x14ac:dyDescent="0.35">
      <c r="A987" s="10"/>
      <c r="B987" s="10"/>
      <c r="C987" s="10"/>
      <c r="D987" s="10"/>
      <c r="E987" s="10"/>
      <c r="F987" s="10"/>
      <c r="G987" s="10"/>
      <c r="H987" s="10"/>
    </row>
    <row r="988" spans="1:8" ht="14.25" customHeight="1" x14ac:dyDescent="0.35">
      <c r="A988" s="10"/>
      <c r="B988" s="10"/>
      <c r="C988" s="10"/>
      <c r="D988" s="10"/>
      <c r="E988" s="10"/>
      <c r="F988" s="10"/>
      <c r="G988" s="10"/>
      <c r="H988" s="10"/>
    </row>
    <row r="989" spans="1:8" ht="14.25" customHeight="1" x14ac:dyDescent="0.35">
      <c r="A989" s="10"/>
      <c r="B989" s="10"/>
      <c r="C989" s="10"/>
      <c r="D989" s="10"/>
      <c r="E989" s="10"/>
      <c r="F989" s="10"/>
      <c r="G989" s="10"/>
      <c r="H989" s="10"/>
    </row>
    <row r="990" spans="1:8" ht="14.25" customHeight="1" x14ac:dyDescent="0.35">
      <c r="A990" s="10"/>
      <c r="B990" s="10"/>
      <c r="C990" s="10"/>
      <c r="D990" s="10"/>
      <c r="E990" s="10"/>
      <c r="F990" s="10"/>
      <c r="G990" s="10"/>
      <c r="H990" s="10"/>
    </row>
    <row r="991" spans="1:8" ht="14.25" customHeight="1" x14ac:dyDescent="0.35">
      <c r="A991" s="10"/>
      <c r="B991" s="10"/>
      <c r="C991" s="10"/>
      <c r="D991" s="10"/>
      <c r="E991" s="10"/>
      <c r="F991" s="10"/>
      <c r="G991" s="10"/>
      <c r="H991" s="10"/>
    </row>
    <row r="992" spans="1:8" ht="14.25" customHeight="1" x14ac:dyDescent="0.35">
      <c r="A992" s="10"/>
      <c r="B992" s="10"/>
      <c r="C992" s="10"/>
      <c r="D992" s="10"/>
      <c r="E992" s="10"/>
      <c r="F992" s="10"/>
      <c r="G992" s="10"/>
      <c r="H992" s="10"/>
    </row>
    <row r="993" spans="1:8" ht="14.25" customHeight="1" x14ac:dyDescent="0.35">
      <c r="A993" s="10"/>
      <c r="B993" s="10"/>
      <c r="C993" s="10"/>
      <c r="D993" s="10"/>
      <c r="E993" s="10"/>
      <c r="F993" s="10"/>
      <c r="G993" s="10"/>
      <c r="H993" s="10"/>
    </row>
    <row r="994" spans="1:8" ht="14.25" customHeight="1" x14ac:dyDescent="0.35">
      <c r="A994" s="10"/>
      <c r="B994" s="10"/>
      <c r="C994" s="10"/>
      <c r="D994" s="10"/>
      <c r="E994" s="10"/>
      <c r="F994" s="10"/>
      <c r="G994" s="10"/>
      <c r="H994" s="10"/>
    </row>
    <row r="995" spans="1:8" ht="14.25" customHeight="1" x14ac:dyDescent="0.35">
      <c r="A995" s="10"/>
      <c r="B995" s="10"/>
      <c r="C995" s="10"/>
      <c r="D995" s="10"/>
      <c r="E995" s="10"/>
      <c r="F995" s="10"/>
      <c r="G995" s="10"/>
      <c r="H995" s="10"/>
    </row>
    <row r="996" spans="1:8" ht="14.25" customHeight="1" x14ac:dyDescent="0.35">
      <c r="A996" s="10"/>
      <c r="B996" s="10"/>
      <c r="C996" s="10"/>
      <c r="D996" s="10"/>
      <c r="E996" s="10"/>
      <c r="F996" s="10"/>
      <c r="G996" s="10"/>
      <c r="H996" s="10"/>
    </row>
    <row r="997" spans="1:8" ht="14.25" customHeight="1" x14ac:dyDescent="0.35">
      <c r="A997" s="10"/>
      <c r="B997" s="10"/>
      <c r="C997" s="10"/>
      <c r="D997" s="10"/>
      <c r="E997" s="10"/>
      <c r="F997" s="10"/>
      <c r="G997" s="10"/>
      <c r="H997" s="10"/>
    </row>
    <row r="998" spans="1:8" ht="14.25" customHeight="1" x14ac:dyDescent="0.35">
      <c r="A998" s="10"/>
      <c r="B998" s="10"/>
      <c r="C998" s="10"/>
      <c r="D998" s="10"/>
      <c r="E998" s="10"/>
      <c r="F998" s="10"/>
      <c r="G998" s="10"/>
      <c r="H998" s="10"/>
    </row>
    <row r="999" spans="1:8" ht="14.25" customHeight="1" x14ac:dyDescent="0.35">
      <c r="A999" s="10"/>
      <c r="B999" s="10"/>
      <c r="C999" s="10"/>
      <c r="D999" s="10"/>
      <c r="E999" s="10"/>
      <c r="F999" s="10"/>
      <c r="G999" s="10"/>
      <c r="H999" s="10"/>
    </row>
    <row r="1000" spans="1:8" ht="14.25" customHeight="1" x14ac:dyDescent="0.35">
      <c r="A1000" s="10"/>
      <c r="B1000" s="10"/>
      <c r="C1000" s="10"/>
      <c r="D1000" s="10"/>
      <c r="E1000" s="10"/>
      <c r="F1000" s="10"/>
      <c r="G1000" s="10"/>
      <c r="H1000" s="10"/>
    </row>
  </sheetData>
  <pageMargins left="0.75" right="0.75" top="1" bottom="1" header="0" footer="0"/>
  <pageSetup paperSize="9" orientation="portrai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H1000"/>
  <sheetViews>
    <sheetView workbookViewId="0"/>
  </sheetViews>
  <sheetFormatPr defaultColWidth="14.453125" defaultRowHeight="15" customHeight="1" x14ac:dyDescent="0.35"/>
  <cols>
    <col min="1" max="1" width="34" customWidth="1"/>
    <col min="2" max="7" width="10" customWidth="1"/>
    <col min="8" max="26" width="8.54296875" customWidth="1"/>
  </cols>
  <sheetData>
    <row r="1" spans="1:8" ht="15.75" customHeight="1" x14ac:dyDescent="0.35">
      <c r="A1" s="11" t="s">
        <v>968</v>
      </c>
      <c r="B1" s="10"/>
      <c r="C1" s="10"/>
      <c r="D1" s="10"/>
      <c r="E1" s="10"/>
      <c r="F1" s="10"/>
      <c r="G1" s="10"/>
      <c r="H1" s="10"/>
    </row>
    <row r="2" spans="1:8" ht="14.25" customHeight="1" x14ac:dyDescent="0.35">
      <c r="A2" s="10"/>
      <c r="B2" s="10"/>
      <c r="C2" s="10"/>
      <c r="D2" s="10"/>
      <c r="E2" s="10"/>
      <c r="F2" s="10"/>
      <c r="G2" s="10"/>
      <c r="H2" s="10"/>
    </row>
    <row r="3" spans="1:8" ht="15" customHeight="1" x14ac:dyDescent="0.35">
      <c r="A3" s="13" t="s">
        <v>969</v>
      </c>
      <c r="B3" s="10"/>
      <c r="C3" s="10"/>
      <c r="D3" s="10"/>
      <c r="E3" s="10"/>
      <c r="F3" s="10"/>
      <c r="G3" s="10"/>
      <c r="H3" s="10"/>
    </row>
    <row r="4" spans="1:8" ht="15" customHeight="1" x14ac:dyDescent="0.35">
      <c r="A4" s="14" t="s">
        <v>954</v>
      </c>
      <c r="B4" s="14" t="s">
        <v>11</v>
      </c>
      <c r="C4" s="14" t="s">
        <v>95</v>
      </c>
      <c r="D4" s="14" t="s">
        <v>22</v>
      </c>
      <c r="E4" s="14" t="s">
        <v>38</v>
      </c>
      <c r="F4" s="14" t="s">
        <v>64</v>
      </c>
      <c r="G4" s="14" t="s">
        <v>944</v>
      </c>
      <c r="H4" s="10"/>
    </row>
    <row r="5" spans="1:8" ht="15" customHeight="1" x14ac:dyDescent="0.35">
      <c r="A5" s="22" t="s">
        <v>970</v>
      </c>
      <c r="B5" s="16">
        <f>SUMIFS('Data (parsed)'!$I$2:$I$235,'Data (parsed)'!$B$2:$B$235,"Guilt",'Data (parsed)'!$C$2:$C$235,$A5,'Data (parsed)'!$D$2:$D$235,B$4)</f>
        <v>2</v>
      </c>
      <c r="C5" s="16">
        <f>SUMIFS('Data (parsed)'!$I$2:$I$235,'Data (parsed)'!$B$2:$B$235,"Guilt",'Data (parsed)'!$C$2:$C$235,$A5,'Data (parsed)'!$D$2:$D$235,C$4)</f>
        <v>3</v>
      </c>
      <c r="D5" s="16">
        <f>SUMIFS('Data (parsed)'!$I$2:$I$235,'Data (parsed)'!$B$2:$B$235,"Guilt",'Data (parsed)'!$C$2:$C$235,$A5,'Data (parsed)'!$D$2:$D$235,D$4)</f>
        <v>2</v>
      </c>
      <c r="E5" s="16">
        <f>SUMIFS('Data (parsed)'!$I$2:$I$235,'Data (parsed)'!$B$2:$B$235,"Guilt",'Data (parsed)'!$C$2:$C$235,$A5,'Data (parsed)'!$D$2:$D$235,E$4)</f>
        <v>3</v>
      </c>
      <c r="F5" s="16">
        <f>SUMIFS('Data (parsed)'!$I$2:$I$235,'Data (parsed)'!$B$2:$B$235,"Guilt",'Data (parsed)'!$C$2:$C$235,$A5,'Data (parsed)'!$D$2:$D$235,F$4)</f>
        <v>7</v>
      </c>
      <c r="G5" s="18">
        <f t="shared" ref="G5:G10" si="0">SUM(B5:F5)</f>
        <v>17</v>
      </c>
      <c r="H5" s="10"/>
    </row>
    <row r="6" spans="1:8" ht="15" customHeight="1" x14ac:dyDescent="0.35">
      <c r="A6" s="22" t="s">
        <v>971</v>
      </c>
      <c r="B6" s="16">
        <f>SUMIFS('Data (parsed)'!$I$2:$I$235,'Data (parsed)'!$B$2:$B$235,"Guilt",'Data (parsed)'!$C$2:$C$235,$A6,'Data (parsed)'!$D$2:$D$235,B$4)</f>
        <v>0</v>
      </c>
      <c r="C6" s="16">
        <f>SUMIFS('Data (parsed)'!$I$2:$I$235,'Data (parsed)'!$B$2:$B$235,"Guilt",'Data (parsed)'!$C$2:$C$235,$A6,'Data (parsed)'!$D$2:$D$235,C$4)</f>
        <v>1</v>
      </c>
      <c r="D6" s="16">
        <f>SUMIFS('Data (parsed)'!$I$2:$I$235,'Data (parsed)'!$B$2:$B$235,"Guilt",'Data (parsed)'!$C$2:$C$235,$A6,'Data (parsed)'!$D$2:$D$235,D$4)</f>
        <v>0</v>
      </c>
      <c r="E6" s="16">
        <f>SUMIFS('Data (parsed)'!$I$2:$I$235,'Data (parsed)'!$B$2:$B$235,"Guilt",'Data (parsed)'!$C$2:$C$235,$A6,'Data (parsed)'!$D$2:$D$235,E$4)</f>
        <v>0</v>
      </c>
      <c r="F6" s="16">
        <f>SUMIFS('Data (parsed)'!$I$2:$I$235,'Data (parsed)'!$B$2:$B$235,"Guilt",'Data (parsed)'!$C$2:$C$235,$A6,'Data (parsed)'!$D$2:$D$235,F$4)</f>
        <v>4</v>
      </c>
      <c r="G6" s="18">
        <f t="shared" si="0"/>
        <v>5</v>
      </c>
      <c r="H6" s="10"/>
    </row>
    <row r="7" spans="1:8" ht="15" customHeight="1" x14ac:dyDescent="0.35">
      <c r="A7" s="22" t="s">
        <v>972</v>
      </c>
      <c r="B7" s="16">
        <f>SUMIFS('Data (parsed)'!$I$2:$I$235,'Data (parsed)'!$B$2:$B$235,"Guilt",'Data (parsed)'!$C$2:$C$235,$A7,'Data (parsed)'!$D$2:$D$235,B$4)</f>
        <v>2</v>
      </c>
      <c r="C7" s="16">
        <f>SUMIFS('Data (parsed)'!$I$2:$I$235,'Data (parsed)'!$B$2:$B$235,"Guilt",'Data (parsed)'!$C$2:$C$235,$A7,'Data (parsed)'!$D$2:$D$235,C$4)</f>
        <v>0</v>
      </c>
      <c r="D7" s="16">
        <f>SUMIFS('Data (parsed)'!$I$2:$I$235,'Data (parsed)'!$B$2:$B$235,"Guilt",'Data (parsed)'!$C$2:$C$235,$A7,'Data (parsed)'!$D$2:$D$235,D$4)</f>
        <v>0</v>
      </c>
      <c r="E7" s="16">
        <f>SUMIFS('Data (parsed)'!$I$2:$I$235,'Data (parsed)'!$B$2:$B$235,"Guilt",'Data (parsed)'!$C$2:$C$235,$A7,'Data (parsed)'!$D$2:$D$235,E$4)</f>
        <v>1</v>
      </c>
      <c r="F7" s="16">
        <f>SUMIFS('Data (parsed)'!$I$2:$I$235,'Data (parsed)'!$B$2:$B$235,"Guilt",'Data (parsed)'!$C$2:$C$235,$A7,'Data (parsed)'!$D$2:$D$235,F$4)</f>
        <v>0</v>
      </c>
      <c r="G7" s="18">
        <f t="shared" si="0"/>
        <v>3</v>
      </c>
      <c r="H7" s="10"/>
    </row>
    <row r="8" spans="1:8" ht="15" customHeight="1" x14ac:dyDescent="0.35">
      <c r="A8" s="22" t="s">
        <v>973</v>
      </c>
      <c r="B8" s="16">
        <f>SUMIFS('Data (parsed)'!$I$2:$I$235,'Data (parsed)'!$B$2:$B$235,"Guilt",'Data (parsed)'!$C$2:$C$235,$A8,'Data (parsed)'!$D$2:$D$235,B$4)</f>
        <v>0</v>
      </c>
      <c r="C8" s="16">
        <f>SUMIFS('Data (parsed)'!$I$2:$I$235,'Data (parsed)'!$B$2:$B$235,"Guilt",'Data (parsed)'!$C$2:$C$235,$A8,'Data (parsed)'!$D$2:$D$235,C$4)</f>
        <v>1</v>
      </c>
      <c r="D8" s="16">
        <f>SUMIFS('Data (parsed)'!$I$2:$I$235,'Data (parsed)'!$B$2:$B$235,"Guilt",'Data (parsed)'!$C$2:$C$235,$A8,'Data (parsed)'!$D$2:$D$235,D$4)</f>
        <v>0</v>
      </c>
      <c r="E8" s="16">
        <f>SUMIFS('Data (parsed)'!$I$2:$I$235,'Data (parsed)'!$B$2:$B$235,"Guilt",'Data (parsed)'!$C$2:$C$235,$A8,'Data (parsed)'!$D$2:$D$235,E$4)</f>
        <v>0</v>
      </c>
      <c r="F8" s="16">
        <f>SUMIFS('Data (parsed)'!$I$2:$I$235,'Data (parsed)'!$B$2:$B$235,"Guilt",'Data (parsed)'!$C$2:$C$235,$A8,'Data (parsed)'!$D$2:$D$235,F$4)</f>
        <v>2</v>
      </c>
      <c r="G8" s="18">
        <f t="shared" si="0"/>
        <v>3</v>
      </c>
      <c r="H8" s="10"/>
    </row>
    <row r="9" spans="1:8" ht="15" customHeight="1" x14ac:dyDescent="0.35">
      <c r="A9" s="22" t="s">
        <v>974</v>
      </c>
      <c r="B9" s="16">
        <f>SUMIFS('Data (parsed)'!$I$2:$I$235,'Data (parsed)'!$B$2:$B$235,"Guilt",'Data (parsed)'!$C$2:$C$235,$A9,'Data (parsed)'!$D$2:$D$235,B$4)</f>
        <v>0</v>
      </c>
      <c r="C9" s="16">
        <f>SUMIFS('Data (parsed)'!$I$2:$I$235,'Data (parsed)'!$B$2:$B$235,"Guilt",'Data (parsed)'!$C$2:$C$235,$A9,'Data (parsed)'!$D$2:$D$235,C$4)</f>
        <v>2</v>
      </c>
      <c r="D9" s="16">
        <f>SUMIFS('Data (parsed)'!$I$2:$I$235,'Data (parsed)'!$B$2:$B$235,"Guilt",'Data (parsed)'!$C$2:$C$235,$A9,'Data (parsed)'!$D$2:$D$235,D$4)</f>
        <v>0</v>
      </c>
      <c r="E9" s="16">
        <f>SUMIFS('Data (parsed)'!$I$2:$I$235,'Data (parsed)'!$B$2:$B$235,"Guilt",'Data (parsed)'!$C$2:$C$235,$A9,'Data (parsed)'!$D$2:$D$235,E$4)</f>
        <v>0</v>
      </c>
      <c r="F9" s="16">
        <f>SUMIFS('Data (parsed)'!$I$2:$I$235,'Data (parsed)'!$B$2:$B$235,"Guilt",'Data (parsed)'!$C$2:$C$235,$A9,'Data (parsed)'!$D$2:$D$235,F$4)</f>
        <v>0</v>
      </c>
      <c r="G9" s="18">
        <f t="shared" si="0"/>
        <v>2</v>
      </c>
      <c r="H9" s="10"/>
    </row>
    <row r="10" spans="1:8" ht="15" customHeight="1" x14ac:dyDescent="0.35">
      <c r="A10" s="22" t="s">
        <v>975</v>
      </c>
      <c r="B10" s="16">
        <f>SUMIFS('Data (parsed)'!$I$2:$I$235,'Data (parsed)'!$B$2:$B$235,"Guilt",'Data (parsed)'!$C$2:$C$235,$A10,'Data (parsed)'!$D$2:$D$235,B$4)</f>
        <v>0</v>
      </c>
      <c r="C10" s="16">
        <f>SUMIFS('Data (parsed)'!$I$2:$I$235,'Data (parsed)'!$B$2:$B$235,"Guilt",'Data (parsed)'!$C$2:$C$235,$A10,'Data (parsed)'!$D$2:$D$235,C$4)</f>
        <v>0</v>
      </c>
      <c r="D10" s="16">
        <f>SUMIFS('Data (parsed)'!$I$2:$I$235,'Data (parsed)'!$B$2:$B$235,"Guilt",'Data (parsed)'!$C$2:$C$235,$A10,'Data (parsed)'!$D$2:$D$235,D$4)</f>
        <v>0</v>
      </c>
      <c r="E10" s="16">
        <f>SUMIFS('Data (parsed)'!$I$2:$I$235,'Data (parsed)'!$B$2:$B$235,"Guilt",'Data (parsed)'!$C$2:$C$235,$A10,'Data (parsed)'!$D$2:$D$235,E$4)</f>
        <v>1</v>
      </c>
      <c r="F10" s="16">
        <f>SUMIFS('Data (parsed)'!$I$2:$I$235,'Data (parsed)'!$B$2:$B$235,"Guilt",'Data (parsed)'!$C$2:$C$235,$A10,'Data (parsed)'!$D$2:$D$235,F$4)</f>
        <v>0</v>
      </c>
      <c r="G10" s="18">
        <f t="shared" si="0"/>
        <v>1</v>
      </c>
      <c r="H10" s="10"/>
    </row>
    <row r="11" spans="1:8" ht="15" customHeight="1" x14ac:dyDescent="0.35">
      <c r="A11" s="17" t="s">
        <v>944</v>
      </c>
      <c r="B11" s="18">
        <f t="shared" ref="B11:G11" si="1">SUM(B5:B10)</f>
        <v>4</v>
      </c>
      <c r="C11" s="18">
        <f t="shared" si="1"/>
        <v>7</v>
      </c>
      <c r="D11" s="18">
        <f t="shared" si="1"/>
        <v>2</v>
      </c>
      <c r="E11" s="18">
        <f t="shared" si="1"/>
        <v>5</v>
      </c>
      <c r="F11" s="18">
        <f t="shared" si="1"/>
        <v>13</v>
      </c>
      <c r="G11" s="18">
        <f t="shared" si="1"/>
        <v>31</v>
      </c>
      <c r="H11" s="10"/>
    </row>
    <row r="12" spans="1:8" ht="14.25" customHeight="1" x14ac:dyDescent="0.35">
      <c r="A12" s="10"/>
      <c r="B12" s="10"/>
      <c r="C12" s="10"/>
      <c r="D12" s="10"/>
      <c r="E12" s="10"/>
      <c r="F12" s="10"/>
      <c r="G12" s="10"/>
      <c r="H12" s="10"/>
    </row>
    <row r="13" spans="1:8" ht="15" customHeight="1" x14ac:dyDescent="0.35">
      <c r="A13" s="13" t="s">
        <v>976</v>
      </c>
      <c r="B13" s="10"/>
      <c r="C13" s="10"/>
      <c r="D13" s="10"/>
      <c r="E13" s="10"/>
      <c r="F13" s="10"/>
      <c r="G13" s="10"/>
      <c r="H13" s="10"/>
    </row>
    <row r="14" spans="1:8" ht="15" customHeight="1" x14ac:dyDescent="0.35">
      <c r="A14" s="14" t="s">
        <v>954</v>
      </c>
      <c r="B14" s="14" t="s">
        <v>14</v>
      </c>
      <c r="C14" s="14" t="s">
        <v>98</v>
      </c>
      <c r="D14" s="14" t="s">
        <v>87</v>
      </c>
      <c r="E14" s="14" t="s">
        <v>92</v>
      </c>
      <c r="F14" s="14" t="s">
        <v>967</v>
      </c>
      <c r="G14" s="14" t="s">
        <v>939</v>
      </c>
      <c r="H14" s="10"/>
    </row>
    <row r="15" spans="1:8" ht="15" customHeight="1" x14ac:dyDescent="0.35">
      <c r="A15" s="22" t="s">
        <v>970</v>
      </c>
      <c r="B15" s="16">
        <f>COUNTIFS('Data (parsed)'!$E$2:$E$235,B$14,'Data (parsed)'!$B$2:$B$235,"Guilt",'Data (parsed)'!$C$2:$C$235,$A15)</f>
        <v>12</v>
      </c>
      <c r="C15" s="16">
        <f>COUNTIFS('Data (parsed)'!$E$2:$E$235,C$14,'Data (parsed)'!$B$2:$B$235,"Guilt",'Data (parsed)'!$C$2:$C$235,$A15)</f>
        <v>0</v>
      </c>
      <c r="D15" s="16">
        <f>COUNTIFS('Data (parsed)'!$E$2:$E$235,D$14,'Data (parsed)'!$B$2:$B$235,"Guilt",'Data (parsed)'!$C$2:$C$235,$A15)</f>
        <v>0</v>
      </c>
      <c r="E15" s="16">
        <f>COUNTIFS('Data (parsed)'!$E$2:$E$235,E$14,'Data (parsed)'!$B$2:$B$235,"Guilt",'Data (parsed)'!$C$2:$C$235,$A15)</f>
        <v>2</v>
      </c>
      <c r="F15" s="16">
        <f>SUMIFS('Data (parsed)'!$I$2:$I$235,'Data (parsed)'!$B$2:$B$235,"Guilt",'Data (parsed)'!$C$2:$C$235,$A15,'Data (parsed)'!$J$2:$J$235,0)</f>
        <v>4</v>
      </c>
      <c r="G15" s="18">
        <f>SUMIFS('Data (parsed)'!$I$2:$I$235,'Data (parsed)'!$B$2:$B$235,"Guilt",'Data (parsed)'!$C$2:$C$235,$A15)</f>
        <v>17</v>
      </c>
      <c r="H15" s="10"/>
    </row>
    <row r="16" spans="1:8" ht="15" customHeight="1" x14ac:dyDescent="0.35">
      <c r="A16" s="22" t="s">
        <v>971</v>
      </c>
      <c r="B16" s="16">
        <f>COUNTIFS('Data (parsed)'!$E$2:$E$235,B$14,'Data (parsed)'!$B$2:$B$235,"Guilt",'Data (parsed)'!$C$2:$C$235,$A16)</f>
        <v>4</v>
      </c>
      <c r="C16" s="16">
        <f>COUNTIFS('Data (parsed)'!$E$2:$E$235,C$14,'Data (parsed)'!$B$2:$B$235,"Guilt",'Data (parsed)'!$C$2:$C$235,$A16)</f>
        <v>0</v>
      </c>
      <c r="D16" s="16">
        <f>COUNTIFS('Data (parsed)'!$E$2:$E$235,D$14,'Data (parsed)'!$B$2:$B$235,"Guilt",'Data (parsed)'!$C$2:$C$235,$A16)</f>
        <v>0</v>
      </c>
      <c r="E16" s="16">
        <f>COUNTIFS('Data (parsed)'!$E$2:$E$235,E$14,'Data (parsed)'!$B$2:$B$235,"Guilt",'Data (parsed)'!$C$2:$C$235,$A16)</f>
        <v>1</v>
      </c>
      <c r="F16" s="16">
        <f>SUMIFS('Data (parsed)'!$I$2:$I$235,'Data (parsed)'!$B$2:$B$235,"Guilt",'Data (parsed)'!$C$2:$C$235,$A16,'Data (parsed)'!$J$2:$J$235,0)</f>
        <v>0</v>
      </c>
      <c r="G16" s="18">
        <f>SUMIFS('Data (parsed)'!$I$2:$I$235,'Data (parsed)'!$B$2:$B$235,"Guilt",'Data (parsed)'!$C$2:$C$235,$A16)</f>
        <v>5</v>
      </c>
      <c r="H16" s="10"/>
    </row>
    <row r="17" spans="1:8" ht="15" customHeight="1" x14ac:dyDescent="0.35">
      <c r="A17" s="22" t="s">
        <v>972</v>
      </c>
      <c r="B17" s="16">
        <f>COUNTIFS('Data (parsed)'!$E$2:$E$235,B$14,'Data (parsed)'!$B$2:$B$235,"Guilt",'Data (parsed)'!$C$2:$C$235,$A17)</f>
        <v>2</v>
      </c>
      <c r="C17" s="16">
        <f>COUNTIFS('Data (parsed)'!$E$2:$E$235,C$14,'Data (parsed)'!$B$2:$B$235,"Guilt",'Data (parsed)'!$C$2:$C$235,$A17)</f>
        <v>0</v>
      </c>
      <c r="D17" s="16">
        <f>COUNTIFS('Data (parsed)'!$E$2:$E$235,D$14,'Data (parsed)'!$B$2:$B$235,"Guilt",'Data (parsed)'!$C$2:$C$235,$A17)</f>
        <v>0</v>
      </c>
      <c r="E17" s="16">
        <f>COUNTIFS('Data (parsed)'!$E$2:$E$235,E$14,'Data (parsed)'!$B$2:$B$235,"Guilt",'Data (parsed)'!$C$2:$C$235,$A17)</f>
        <v>0</v>
      </c>
      <c r="F17" s="16">
        <f>SUMIFS('Data (parsed)'!$I$2:$I$235,'Data (parsed)'!$B$2:$B$235,"Guilt",'Data (parsed)'!$C$2:$C$235,$A17,'Data (parsed)'!$J$2:$J$235,0)</f>
        <v>1</v>
      </c>
      <c r="G17" s="18">
        <f>SUMIFS('Data (parsed)'!$I$2:$I$235,'Data (parsed)'!$B$2:$B$235,"Guilt",'Data (parsed)'!$C$2:$C$235,$A17)</f>
        <v>3</v>
      </c>
      <c r="H17" s="10"/>
    </row>
    <row r="18" spans="1:8" ht="15" customHeight="1" x14ac:dyDescent="0.35">
      <c r="A18" s="22" t="s">
        <v>973</v>
      </c>
      <c r="B18" s="16">
        <f>COUNTIFS('Data (parsed)'!$E$2:$E$235,B$14,'Data (parsed)'!$B$2:$B$235,"Guilt",'Data (parsed)'!$C$2:$C$235,$A18)</f>
        <v>3</v>
      </c>
      <c r="C18" s="16">
        <f>COUNTIFS('Data (parsed)'!$E$2:$E$235,C$14,'Data (parsed)'!$B$2:$B$235,"Guilt",'Data (parsed)'!$C$2:$C$235,$A18)</f>
        <v>0</v>
      </c>
      <c r="D18" s="16">
        <f>COUNTIFS('Data (parsed)'!$E$2:$E$235,D$14,'Data (parsed)'!$B$2:$B$235,"Guilt",'Data (parsed)'!$C$2:$C$235,$A18)</f>
        <v>0</v>
      </c>
      <c r="E18" s="16">
        <f>COUNTIFS('Data (parsed)'!$E$2:$E$235,E$14,'Data (parsed)'!$B$2:$B$235,"Guilt",'Data (parsed)'!$C$2:$C$235,$A18)</f>
        <v>0</v>
      </c>
      <c r="F18" s="16">
        <f>SUMIFS('Data (parsed)'!$I$2:$I$235,'Data (parsed)'!$B$2:$B$235,"Guilt",'Data (parsed)'!$C$2:$C$235,$A18,'Data (parsed)'!$J$2:$J$235,0)</f>
        <v>0</v>
      </c>
      <c r="G18" s="18">
        <f>SUMIFS('Data (parsed)'!$I$2:$I$235,'Data (parsed)'!$B$2:$B$235,"Guilt",'Data (parsed)'!$C$2:$C$235,$A18)</f>
        <v>3</v>
      </c>
      <c r="H18" s="10"/>
    </row>
    <row r="19" spans="1:8" ht="15" customHeight="1" x14ac:dyDescent="0.35">
      <c r="A19" s="22" t="s">
        <v>974</v>
      </c>
      <c r="B19" s="16">
        <f>COUNTIFS('Data (parsed)'!$E$2:$E$235,B$14,'Data (parsed)'!$B$2:$B$235,"Guilt",'Data (parsed)'!$C$2:$C$235,$A19)</f>
        <v>2</v>
      </c>
      <c r="C19" s="16">
        <f>COUNTIFS('Data (parsed)'!$E$2:$E$235,C$14,'Data (parsed)'!$B$2:$B$235,"Guilt",'Data (parsed)'!$C$2:$C$235,$A19)</f>
        <v>0</v>
      </c>
      <c r="D19" s="16">
        <f>COUNTIFS('Data (parsed)'!$E$2:$E$235,D$14,'Data (parsed)'!$B$2:$B$235,"Guilt",'Data (parsed)'!$C$2:$C$235,$A19)</f>
        <v>0</v>
      </c>
      <c r="E19" s="16">
        <f>COUNTIFS('Data (parsed)'!$E$2:$E$235,E$14,'Data (parsed)'!$B$2:$B$235,"Guilt",'Data (parsed)'!$C$2:$C$235,$A19)</f>
        <v>0</v>
      </c>
      <c r="F19" s="16">
        <f>SUMIFS('Data (parsed)'!$I$2:$I$235,'Data (parsed)'!$B$2:$B$235,"Guilt",'Data (parsed)'!$C$2:$C$235,$A19,'Data (parsed)'!$J$2:$J$235,0)</f>
        <v>0</v>
      </c>
      <c r="G19" s="18">
        <f>SUMIFS('Data (parsed)'!$I$2:$I$235,'Data (parsed)'!$B$2:$B$235,"Guilt",'Data (parsed)'!$C$2:$C$235,$A19)</f>
        <v>2</v>
      </c>
      <c r="H19" s="10"/>
    </row>
    <row r="20" spans="1:8" ht="15" customHeight="1" x14ac:dyDescent="0.35">
      <c r="A20" s="22" t="s">
        <v>975</v>
      </c>
      <c r="B20" s="16">
        <f>COUNTIFS('Data (parsed)'!$E$2:$E$235,B$14,'Data (parsed)'!$B$2:$B$235,"Guilt",'Data (parsed)'!$C$2:$C$235,$A20)</f>
        <v>1</v>
      </c>
      <c r="C20" s="16">
        <f>COUNTIFS('Data (parsed)'!$E$2:$E$235,C$14,'Data (parsed)'!$B$2:$B$235,"Guilt",'Data (parsed)'!$C$2:$C$235,$A20)</f>
        <v>0</v>
      </c>
      <c r="D20" s="16">
        <f>COUNTIFS('Data (parsed)'!$E$2:$E$235,D$14,'Data (parsed)'!$B$2:$B$235,"Guilt",'Data (parsed)'!$C$2:$C$235,$A20)</f>
        <v>0</v>
      </c>
      <c r="E20" s="16">
        <f>COUNTIFS('Data (parsed)'!$E$2:$E$235,E$14,'Data (parsed)'!$B$2:$B$235,"Guilt",'Data (parsed)'!$C$2:$C$235,$A20)</f>
        <v>0</v>
      </c>
      <c r="F20" s="16">
        <f>SUMIFS('Data (parsed)'!$I$2:$I$235,'Data (parsed)'!$B$2:$B$235,"Guilt",'Data (parsed)'!$C$2:$C$235,$A20,'Data (parsed)'!$J$2:$J$235,0)</f>
        <v>0</v>
      </c>
      <c r="G20" s="18">
        <f>SUMIFS('Data (parsed)'!$I$2:$I$235,'Data (parsed)'!$B$2:$B$235,"Guilt",'Data (parsed)'!$C$2:$C$235,$A20)</f>
        <v>1</v>
      </c>
      <c r="H20" s="10"/>
    </row>
    <row r="21" spans="1:8" ht="15" customHeight="1" x14ac:dyDescent="0.35">
      <c r="A21" s="17" t="s">
        <v>944</v>
      </c>
      <c r="B21" s="18">
        <f t="shared" ref="B21:G21" si="2">SUM(B15:B20)</f>
        <v>24</v>
      </c>
      <c r="C21" s="18">
        <f t="shared" si="2"/>
        <v>0</v>
      </c>
      <c r="D21" s="18">
        <f t="shared" si="2"/>
        <v>0</v>
      </c>
      <c r="E21" s="18">
        <f t="shared" si="2"/>
        <v>3</v>
      </c>
      <c r="F21" s="18">
        <f t="shared" si="2"/>
        <v>5</v>
      </c>
      <c r="G21" s="18">
        <f t="shared" si="2"/>
        <v>31</v>
      </c>
      <c r="H21" s="10"/>
    </row>
    <row r="22" spans="1:8" ht="14.25" customHeight="1" x14ac:dyDescent="0.35">
      <c r="A22" s="10"/>
      <c r="B22" s="10"/>
      <c r="C22" s="10"/>
      <c r="D22" s="10"/>
      <c r="E22" s="10"/>
      <c r="F22" s="10"/>
      <c r="G22" s="10"/>
      <c r="H22" s="10"/>
    </row>
    <row r="23" spans="1:8" ht="14.25" customHeight="1" x14ac:dyDescent="0.35">
      <c r="A23" s="10"/>
      <c r="B23" s="10"/>
      <c r="C23" s="10"/>
      <c r="D23" s="10"/>
      <c r="E23" s="10"/>
      <c r="F23" s="10"/>
      <c r="G23" s="10"/>
      <c r="H23" s="10"/>
    </row>
    <row r="24" spans="1:8" ht="14.25" customHeight="1" x14ac:dyDescent="0.35">
      <c r="A24" s="10"/>
      <c r="B24" s="10"/>
      <c r="C24" s="10"/>
      <c r="D24" s="10"/>
      <c r="E24" s="10"/>
      <c r="F24" s="10"/>
      <c r="G24" s="10"/>
      <c r="H24" s="10"/>
    </row>
    <row r="25" spans="1:8" ht="14.25" customHeight="1" x14ac:dyDescent="0.35">
      <c r="A25" s="10"/>
      <c r="B25" s="10"/>
      <c r="C25" s="10"/>
      <c r="D25" s="10"/>
      <c r="E25" s="10"/>
      <c r="F25" s="10"/>
      <c r="G25" s="10"/>
      <c r="H25" s="10"/>
    </row>
    <row r="26" spans="1:8" ht="14.25" customHeight="1" x14ac:dyDescent="0.35">
      <c r="A26" s="10"/>
      <c r="B26" s="10"/>
      <c r="C26" s="10"/>
      <c r="D26" s="10"/>
      <c r="E26" s="10"/>
      <c r="F26" s="10"/>
      <c r="G26" s="10"/>
      <c r="H26" s="10"/>
    </row>
    <row r="27" spans="1:8" ht="14.25" customHeight="1" x14ac:dyDescent="0.35">
      <c r="A27" s="10"/>
      <c r="B27" s="10"/>
      <c r="C27" s="10"/>
      <c r="D27" s="10"/>
      <c r="E27" s="10"/>
      <c r="F27" s="10"/>
      <c r="G27" s="10"/>
      <c r="H27" s="10"/>
    </row>
    <row r="28" spans="1:8" ht="14.25" customHeight="1" x14ac:dyDescent="0.35">
      <c r="A28" s="10"/>
      <c r="B28" s="10"/>
      <c r="C28" s="10"/>
      <c r="D28" s="10"/>
      <c r="E28" s="10"/>
      <c r="F28" s="10"/>
      <c r="G28" s="10"/>
      <c r="H28" s="10"/>
    </row>
    <row r="29" spans="1:8" ht="14.25" customHeight="1" x14ac:dyDescent="0.35">
      <c r="A29" s="10"/>
      <c r="B29" s="10"/>
      <c r="C29" s="10"/>
      <c r="D29" s="10"/>
      <c r="E29" s="10"/>
      <c r="F29" s="10"/>
      <c r="G29" s="10"/>
      <c r="H29" s="10"/>
    </row>
    <row r="30" spans="1:8" ht="14.25" customHeight="1" x14ac:dyDescent="0.35">
      <c r="A30" s="10"/>
      <c r="B30" s="10"/>
      <c r="C30" s="10"/>
      <c r="D30" s="10"/>
      <c r="E30" s="10"/>
      <c r="F30" s="10"/>
      <c r="G30" s="10"/>
      <c r="H30" s="10"/>
    </row>
    <row r="31" spans="1:8" ht="14.25" customHeight="1" x14ac:dyDescent="0.35">
      <c r="A31" s="10"/>
      <c r="B31" s="10"/>
      <c r="C31" s="10"/>
      <c r="D31" s="10"/>
      <c r="E31" s="10"/>
      <c r="F31" s="10"/>
      <c r="G31" s="10"/>
      <c r="H31" s="10"/>
    </row>
    <row r="32" spans="1:8" ht="14.25" customHeight="1" x14ac:dyDescent="0.35">
      <c r="A32" s="10"/>
      <c r="B32" s="10"/>
      <c r="C32" s="10"/>
      <c r="D32" s="10"/>
      <c r="E32" s="10"/>
      <c r="F32" s="10"/>
      <c r="G32" s="10"/>
      <c r="H32" s="10"/>
    </row>
    <row r="33" spans="1:8" ht="14.25" customHeight="1" x14ac:dyDescent="0.35">
      <c r="A33" s="10"/>
      <c r="B33" s="10"/>
      <c r="C33" s="10"/>
      <c r="D33" s="10"/>
      <c r="E33" s="10"/>
      <c r="F33" s="10"/>
      <c r="G33" s="10"/>
      <c r="H33" s="10"/>
    </row>
    <row r="34" spans="1:8" ht="14.25" customHeight="1" x14ac:dyDescent="0.35">
      <c r="A34" s="10"/>
      <c r="B34" s="10"/>
      <c r="C34" s="10"/>
      <c r="D34" s="10"/>
      <c r="E34" s="10"/>
      <c r="F34" s="10"/>
      <c r="G34" s="10"/>
      <c r="H34" s="10"/>
    </row>
    <row r="35" spans="1:8" ht="14.25" customHeight="1" x14ac:dyDescent="0.35">
      <c r="A35" s="10"/>
      <c r="B35" s="10"/>
      <c r="C35" s="10"/>
      <c r="D35" s="10"/>
      <c r="E35" s="10"/>
      <c r="F35" s="10"/>
      <c r="G35" s="10"/>
      <c r="H35" s="10"/>
    </row>
    <row r="36" spans="1:8" ht="14.25" customHeight="1" x14ac:dyDescent="0.35">
      <c r="A36" s="10"/>
      <c r="B36" s="10"/>
      <c r="C36" s="10"/>
      <c r="D36" s="10"/>
      <c r="E36" s="10"/>
      <c r="F36" s="10"/>
      <c r="G36" s="10"/>
      <c r="H36" s="10"/>
    </row>
    <row r="37" spans="1:8" ht="14.25" customHeight="1" x14ac:dyDescent="0.35">
      <c r="A37" s="10"/>
      <c r="B37" s="10"/>
      <c r="C37" s="10"/>
      <c r="D37" s="10"/>
      <c r="E37" s="10"/>
      <c r="F37" s="10"/>
      <c r="G37" s="10"/>
      <c r="H37" s="10"/>
    </row>
    <row r="38" spans="1:8" ht="14.25" customHeight="1" x14ac:dyDescent="0.35">
      <c r="A38" s="10"/>
      <c r="B38" s="10"/>
      <c r="C38" s="10"/>
      <c r="D38" s="10"/>
      <c r="E38" s="10"/>
      <c r="F38" s="10"/>
      <c r="G38" s="10"/>
      <c r="H38" s="10"/>
    </row>
    <row r="39" spans="1:8" ht="14.25" customHeight="1" x14ac:dyDescent="0.35">
      <c r="A39" s="10"/>
      <c r="B39" s="10"/>
      <c r="C39" s="10"/>
      <c r="D39" s="10"/>
      <c r="E39" s="10"/>
      <c r="F39" s="10"/>
      <c r="G39" s="10"/>
      <c r="H39" s="10"/>
    </row>
    <row r="40" spans="1:8" ht="14.25" customHeight="1" x14ac:dyDescent="0.35">
      <c r="A40" s="10"/>
      <c r="B40" s="10"/>
      <c r="C40" s="10"/>
      <c r="D40" s="10"/>
      <c r="E40" s="10"/>
      <c r="F40" s="10"/>
      <c r="G40" s="10"/>
      <c r="H40" s="10"/>
    </row>
    <row r="41" spans="1:8" ht="14.25" customHeight="1" x14ac:dyDescent="0.35">
      <c r="A41" s="10"/>
      <c r="B41" s="10"/>
      <c r="C41" s="10"/>
      <c r="D41" s="10"/>
      <c r="E41" s="10"/>
      <c r="F41" s="10"/>
      <c r="G41" s="10"/>
      <c r="H41" s="10"/>
    </row>
    <row r="42" spans="1:8" ht="14.25" customHeight="1" x14ac:dyDescent="0.35">
      <c r="A42" s="10"/>
      <c r="B42" s="10"/>
      <c r="C42" s="10"/>
      <c r="D42" s="10"/>
      <c r="E42" s="10"/>
      <c r="F42" s="10"/>
      <c r="G42" s="10"/>
      <c r="H42" s="10"/>
    </row>
    <row r="43" spans="1:8" ht="14.25" customHeight="1" x14ac:dyDescent="0.35">
      <c r="A43" s="10"/>
      <c r="B43" s="10"/>
      <c r="C43" s="10"/>
      <c r="D43" s="10"/>
      <c r="E43" s="10"/>
      <c r="F43" s="10"/>
      <c r="G43" s="10"/>
      <c r="H43" s="10"/>
    </row>
    <row r="44" spans="1:8" ht="14.25" customHeight="1" x14ac:dyDescent="0.35">
      <c r="A44" s="10"/>
      <c r="B44" s="10"/>
      <c r="C44" s="10"/>
      <c r="D44" s="10"/>
      <c r="E44" s="10"/>
      <c r="F44" s="10"/>
      <c r="G44" s="10"/>
      <c r="H44" s="10"/>
    </row>
    <row r="45" spans="1:8" ht="14.25" customHeight="1" x14ac:dyDescent="0.35">
      <c r="A45" s="10"/>
      <c r="B45" s="10"/>
      <c r="C45" s="10"/>
      <c r="D45" s="10"/>
      <c r="E45" s="10"/>
      <c r="F45" s="10"/>
      <c r="G45" s="10"/>
      <c r="H45" s="10"/>
    </row>
    <row r="46" spans="1:8" ht="14.25" customHeight="1" x14ac:dyDescent="0.35">
      <c r="A46" s="10"/>
      <c r="B46" s="10"/>
      <c r="C46" s="10"/>
      <c r="D46" s="10"/>
      <c r="E46" s="10"/>
      <c r="F46" s="10"/>
      <c r="G46" s="10"/>
      <c r="H46" s="10"/>
    </row>
    <row r="47" spans="1:8" ht="14.25" customHeight="1" x14ac:dyDescent="0.35">
      <c r="A47" s="10"/>
      <c r="B47" s="10"/>
      <c r="C47" s="10"/>
      <c r="D47" s="10"/>
      <c r="E47" s="10"/>
      <c r="F47" s="10"/>
      <c r="G47" s="10"/>
      <c r="H47" s="10"/>
    </row>
    <row r="48" spans="1:8" ht="14.25" customHeight="1" x14ac:dyDescent="0.35">
      <c r="A48" s="10"/>
      <c r="B48" s="10"/>
      <c r="C48" s="10"/>
      <c r="D48" s="10"/>
      <c r="E48" s="10"/>
      <c r="F48" s="10"/>
      <c r="G48" s="10"/>
      <c r="H48" s="10"/>
    </row>
    <row r="49" spans="1:8" ht="14.25" customHeight="1" x14ac:dyDescent="0.35">
      <c r="A49" s="10"/>
      <c r="B49" s="10"/>
      <c r="C49" s="10"/>
      <c r="D49" s="10"/>
      <c r="E49" s="10"/>
      <c r="F49" s="10"/>
      <c r="G49" s="10"/>
      <c r="H49" s="10"/>
    </row>
    <row r="50" spans="1:8" ht="14.25" customHeight="1" x14ac:dyDescent="0.35">
      <c r="A50" s="10"/>
      <c r="B50" s="10"/>
      <c r="C50" s="10"/>
      <c r="D50" s="10"/>
      <c r="E50" s="10"/>
      <c r="F50" s="10"/>
      <c r="G50" s="10"/>
      <c r="H50" s="10"/>
    </row>
    <row r="51" spans="1:8" ht="14.25" customHeight="1" x14ac:dyDescent="0.35">
      <c r="A51" s="10"/>
      <c r="B51" s="10"/>
      <c r="C51" s="10"/>
      <c r="D51" s="10"/>
      <c r="E51" s="10"/>
      <c r="F51" s="10"/>
      <c r="G51" s="10"/>
      <c r="H51" s="10"/>
    </row>
    <row r="52" spans="1:8" ht="14.25" customHeight="1" x14ac:dyDescent="0.35">
      <c r="A52" s="10"/>
      <c r="B52" s="10"/>
      <c r="C52" s="10"/>
      <c r="D52" s="10"/>
      <c r="E52" s="10"/>
      <c r="F52" s="10"/>
      <c r="G52" s="10"/>
      <c r="H52" s="10"/>
    </row>
    <row r="53" spans="1:8" ht="14.25" customHeight="1" x14ac:dyDescent="0.35">
      <c r="A53" s="10"/>
      <c r="B53" s="10"/>
      <c r="C53" s="10"/>
      <c r="D53" s="10"/>
      <c r="E53" s="10"/>
      <c r="F53" s="10"/>
      <c r="G53" s="10"/>
      <c r="H53" s="10"/>
    </row>
    <row r="54" spans="1:8" ht="14.25" customHeight="1" x14ac:dyDescent="0.35">
      <c r="A54" s="10"/>
      <c r="B54" s="10"/>
      <c r="C54" s="10"/>
      <c r="D54" s="10"/>
      <c r="E54" s="10"/>
      <c r="F54" s="10"/>
      <c r="G54" s="10"/>
      <c r="H54" s="10"/>
    </row>
    <row r="55" spans="1:8" ht="14.25" customHeight="1" x14ac:dyDescent="0.35">
      <c r="A55" s="10"/>
      <c r="B55" s="10"/>
      <c r="C55" s="10"/>
      <c r="D55" s="10"/>
      <c r="E55" s="10"/>
      <c r="F55" s="10"/>
      <c r="G55" s="10"/>
      <c r="H55" s="10"/>
    </row>
    <row r="56" spans="1:8" ht="14.25" customHeight="1" x14ac:dyDescent="0.35">
      <c r="A56" s="10"/>
      <c r="B56" s="10"/>
      <c r="C56" s="10"/>
      <c r="D56" s="10"/>
      <c r="E56" s="10"/>
      <c r="F56" s="10"/>
      <c r="G56" s="10"/>
      <c r="H56" s="10"/>
    </row>
    <row r="57" spans="1:8" ht="14.25" customHeight="1" x14ac:dyDescent="0.35">
      <c r="A57" s="10"/>
      <c r="B57" s="10"/>
      <c r="C57" s="10"/>
      <c r="D57" s="10"/>
      <c r="E57" s="10"/>
      <c r="F57" s="10"/>
      <c r="G57" s="10"/>
      <c r="H57" s="10"/>
    </row>
    <row r="58" spans="1:8" ht="14.25" customHeight="1" x14ac:dyDescent="0.35">
      <c r="A58" s="10"/>
      <c r="B58" s="10"/>
      <c r="C58" s="10"/>
      <c r="D58" s="10"/>
      <c r="E58" s="10"/>
      <c r="F58" s="10"/>
      <c r="G58" s="10"/>
      <c r="H58" s="10"/>
    </row>
    <row r="59" spans="1:8" ht="14.25" customHeight="1" x14ac:dyDescent="0.35">
      <c r="A59" s="10"/>
      <c r="B59" s="10"/>
      <c r="C59" s="10"/>
      <c r="D59" s="10"/>
      <c r="E59" s="10"/>
      <c r="F59" s="10"/>
      <c r="G59" s="10"/>
      <c r="H59" s="10"/>
    </row>
    <row r="60" spans="1:8" ht="14.25" customHeight="1" x14ac:dyDescent="0.35">
      <c r="A60" s="10"/>
      <c r="B60" s="10"/>
      <c r="C60" s="10"/>
      <c r="D60" s="10"/>
      <c r="E60" s="10"/>
      <c r="F60" s="10"/>
      <c r="G60" s="10"/>
      <c r="H60" s="10"/>
    </row>
    <row r="61" spans="1:8" ht="14.25" customHeight="1" x14ac:dyDescent="0.35">
      <c r="A61" s="10"/>
      <c r="B61" s="10"/>
      <c r="C61" s="10"/>
      <c r="D61" s="10"/>
      <c r="E61" s="10"/>
      <c r="F61" s="10"/>
      <c r="G61" s="10"/>
      <c r="H61" s="10"/>
    </row>
    <row r="62" spans="1:8" ht="14.25" customHeight="1" x14ac:dyDescent="0.35">
      <c r="A62" s="10"/>
      <c r="B62" s="10"/>
      <c r="C62" s="10"/>
      <c r="D62" s="10"/>
      <c r="E62" s="10"/>
      <c r="F62" s="10"/>
      <c r="G62" s="10"/>
      <c r="H62" s="10"/>
    </row>
    <row r="63" spans="1:8" ht="14.25" customHeight="1" x14ac:dyDescent="0.35">
      <c r="A63" s="10"/>
      <c r="B63" s="10"/>
      <c r="C63" s="10"/>
      <c r="D63" s="10"/>
      <c r="E63" s="10"/>
      <c r="F63" s="10"/>
      <c r="G63" s="10"/>
      <c r="H63" s="10"/>
    </row>
    <row r="64" spans="1:8" ht="14.25" customHeight="1" x14ac:dyDescent="0.35">
      <c r="A64" s="10"/>
      <c r="B64" s="10"/>
      <c r="C64" s="10"/>
      <c r="D64" s="10"/>
      <c r="E64" s="10"/>
      <c r="F64" s="10"/>
      <c r="G64" s="10"/>
      <c r="H64" s="10"/>
    </row>
    <row r="65" spans="1:8" ht="14.25" customHeight="1" x14ac:dyDescent="0.35">
      <c r="A65" s="10"/>
      <c r="B65" s="10"/>
      <c r="C65" s="10"/>
      <c r="D65" s="10"/>
      <c r="E65" s="10"/>
      <c r="F65" s="10"/>
      <c r="G65" s="10"/>
      <c r="H65" s="10"/>
    </row>
    <row r="66" spans="1:8" ht="14.25" customHeight="1" x14ac:dyDescent="0.35">
      <c r="A66" s="10"/>
      <c r="B66" s="10"/>
      <c r="C66" s="10"/>
      <c r="D66" s="10"/>
      <c r="E66" s="10"/>
      <c r="F66" s="10"/>
      <c r="G66" s="10"/>
      <c r="H66" s="10"/>
    </row>
    <row r="67" spans="1:8" ht="14.25" customHeight="1" x14ac:dyDescent="0.35">
      <c r="A67" s="10"/>
      <c r="B67" s="10"/>
      <c r="C67" s="10"/>
      <c r="D67" s="10"/>
      <c r="E67" s="10"/>
      <c r="F67" s="10"/>
      <c r="G67" s="10"/>
      <c r="H67" s="10"/>
    </row>
    <row r="68" spans="1:8" ht="14.25" customHeight="1" x14ac:dyDescent="0.35">
      <c r="A68" s="10"/>
      <c r="B68" s="10"/>
      <c r="C68" s="10"/>
      <c r="D68" s="10"/>
      <c r="E68" s="10"/>
      <c r="F68" s="10"/>
      <c r="G68" s="10"/>
      <c r="H68" s="10"/>
    </row>
    <row r="69" spans="1:8" ht="14.25" customHeight="1" x14ac:dyDescent="0.35">
      <c r="A69" s="10"/>
      <c r="B69" s="10"/>
      <c r="C69" s="10"/>
      <c r="D69" s="10"/>
      <c r="E69" s="10"/>
      <c r="F69" s="10"/>
      <c r="G69" s="10"/>
      <c r="H69" s="10"/>
    </row>
    <row r="70" spans="1:8" ht="14.25" customHeight="1" x14ac:dyDescent="0.35">
      <c r="A70" s="10"/>
      <c r="B70" s="10"/>
      <c r="C70" s="10"/>
      <c r="D70" s="10"/>
      <c r="E70" s="10"/>
      <c r="F70" s="10"/>
      <c r="G70" s="10"/>
      <c r="H70" s="10"/>
    </row>
    <row r="71" spans="1:8" ht="14.25" customHeight="1" x14ac:dyDescent="0.35">
      <c r="A71" s="10"/>
      <c r="B71" s="10"/>
      <c r="C71" s="10"/>
      <c r="D71" s="10"/>
      <c r="E71" s="10"/>
      <c r="F71" s="10"/>
      <c r="G71" s="10"/>
      <c r="H71" s="10"/>
    </row>
    <row r="72" spans="1:8" ht="14.25" customHeight="1" x14ac:dyDescent="0.35">
      <c r="A72" s="10"/>
      <c r="B72" s="10"/>
      <c r="C72" s="10"/>
      <c r="D72" s="10"/>
      <c r="E72" s="10"/>
      <c r="F72" s="10"/>
      <c r="G72" s="10"/>
      <c r="H72" s="10"/>
    </row>
    <row r="73" spans="1:8" ht="14.25" customHeight="1" x14ac:dyDescent="0.35">
      <c r="A73" s="10"/>
      <c r="B73" s="10"/>
      <c r="C73" s="10"/>
      <c r="D73" s="10"/>
      <c r="E73" s="10"/>
      <c r="F73" s="10"/>
      <c r="G73" s="10"/>
      <c r="H73" s="10"/>
    </row>
    <row r="74" spans="1:8" ht="14.25" customHeight="1" x14ac:dyDescent="0.35">
      <c r="A74" s="10"/>
      <c r="B74" s="10"/>
      <c r="C74" s="10"/>
      <c r="D74" s="10"/>
      <c r="E74" s="10"/>
      <c r="F74" s="10"/>
      <c r="G74" s="10"/>
      <c r="H74" s="10"/>
    </row>
    <row r="75" spans="1:8" ht="14.25" customHeight="1" x14ac:dyDescent="0.35">
      <c r="A75" s="10"/>
      <c r="B75" s="10"/>
      <c r="C75" s="10"/>
      <c r="D75" s="10"/>
      <c r="E75" s="10"/>
      <c r="F75" s="10"/>
      <c r="G75" s="10"/>
      <c r="H75" s="10"/>
    </row>
    <row r="76" spans="1:8" ht="14.25" customHeight="1" x14ac:dyDescent="0.35">
      <c r="A76" s="10"/>
      <c r="B76" s="10"/>
      <c r="C76" s="10"/>
      <c r="D76" s="10"/>
      <c r="E76" s="10"/>
      <c r="F76" s="10"/>
      <c r="G76" s="10"/>
      <c r="H76" s="10"/>
    </row>
    <row r="77" spans="1:8" ht="14.25" customHeight="1" x14ac:dyDescent="0.35">
      <c r="A77" s="10"/>
      <c r="B77" s="10"/>
      <c r="C77" s="10"/>
      <c r="D77" s="10"/>
      <c r="E77" s="10"/>
      <c r="F77" s="10"/>
      <c r="G77" s="10"/>
      <c r="H77" s="10"/>
    </row>
    <row r="78" spans="1:8" ht="14.25" customHeight="1" x14ac:dyDescent="0.35">
      <c r="A78" s="10"/>
      <c r="B78" s="10"/>
      <c r="C78" s="10"/>
      <c r="D78" s="10"/>
      <c r="E78" s="10"/>
      <c r="F78" s="10"/>
      <c r="G78" s="10"/>
      <c r="H78" s="10"/>
    </row>
    <row r="79" spans="1:8" ht="14.25" customHeight="1" x14ac:dyDescent="0.35">
      <c r="A79" s="10"/>
      <c r="B79" s="10"/>
      <c r="C79" s="10"/>
      <c r="D79" s="10"/>
      <c r="E79" s="10"/>
      <c r="F79" s="10"/>
      <c r="G79" s="10"/>
      <c r="H79" s="10"/>
    </row>
    <row r="80" spans="1:8" ht="14.25" customHeight="1" x14ac:dyDescent="0.35">
      <c r="A80" s="10"/>
      <c r="B80" s="10"/>
      <c r="C80" s="10"/>
      <c r="D80" s="10"/>
      <c r="E80" s="10"/>
      <c r="F80" s="10"/>
      <c r="G80" s="10"/>
      <c r="H80" s="10"/>
    </row>
    <row r="81" spans="1:8" ht="14.25" customHeight="1" x14ac:dyDescent="0.35">
      <c r="A81" s="10"/>
      <c r="B81" s="10"/>
      <c r="C81" s="10"/>
      <c r="D81" s="10"/>
      <c r="E81" s="10"/>
      <c r="F81" s="10"/>
      <c r="G81" s="10"/>
      <c r="H81" s="10"/>
    </row>
    <row r="82" spans="1:8" ht="14.25" customHeight="1" x14ac:dyDescent="0.35">
      <c r="A82" s="10"/>
      <c r="B82" s="10"/>
      <c r="C82" s="10"/>
      <c r="D82" s="10"/>
      <c r="E82" s="10"/>
      <c r="F82" s="10"/>
      <c r="G82" s="10"/>
      <c r="H82" s="10"/>
    </row>
    <row r="83" spans="1:8" ht="14.25" customHeight="1" x14ac:dyDescent="0.35">
      <c r="A83" s="10"/>
      <c r="B83" s="10"/>
      <c r="C83" s="10"/>
      <c r="D83" s="10"/>
      <c r="E83" s="10"/>
      <c r="F83" s="10"/>
      <c r="G83" s="10"/>
      <c r="H83" s="10"/>
    </row>
    <row r="84" spans="1:8" ht="14.25" customHeight="1" x14ac:dyDescent="0.35">
      <c r="A84" s="10"/>
      <c r="B84" s="10"/>
      <c r="C84" s="10"/>
      <c r="D84" s="10"/>
      <c r="E84" s="10"/>
      <c r="F84" s="10"/>
      <c r="G84" s="10"/>
      <c r="H84" s="10"/>
    </row>
    <row r="85" spans="1:8" ht="14.25" customHeight="1" x14ac:dyDescent="0.35">
      <c r="A85" s="10"/>
      <c r="B85" s="10"/>
      <c r="C85" s="10"/>
      <c r="D85" s="10"/>
      <c r="E85" s="10"/>
      <c r="F85" s="10"/>
      <c r="G85" s="10"/>
      <c r="H85" s="10"/>
    </row>
    <row r="86" spans="1:8" ht="14.25" customHeight="1" x14ac:dyDescent="0.35">
      <c r="A86" s="10"/>
      <c r="B86" s="10"/>
      <c r="C86" s="10"/>
      <c r="D86" s="10"/>
      <c r="E86" s="10"/>
      <c r="F86" s="10"/>
      <c r="G86" s="10"/>
      <c r="H86" s="10"/>
    </row>
    <row r="87" spans="1:8" ht="14.25" customHeight="1" x14ac:dyDescent="0.35">
      <c r="A87" s="10"/>
      <c r="B87" s="10"/>
      <c r="C87" s="10"/>
      <c r="D87" s="10"/>
      <c r="E87" s="10"/>
      <c r="F87" s="10"/>
      <c r="G87" s="10"/>
      <c r="H87" s="10"/>
    </row>
    <row r="88" spans="1:8" ht="14.25" customHeight="1" x14ac:dyDescent="0.35">
      <c r="A88" s="10"/>
      <c r="B88" s="10"/>
      <c r="C88" s="10"/>
      <c r="D88" s="10"/>
      <c r="E88" s="10"/>
      <c r="F88" s="10"/>
      <c r="G88" s="10"/>
      <c r="H88" s="10"/>
    </row>
    <row r="89" spans="1:8" ht="14.25" customHeight="1" x14ac:dyDescent="0.35">
      <c r="A89" s="10"/>
      <c r="B89" s="10"/>
      <c r="C89" s="10"/>
      <c r="D89" s="10"/>
      <c r="E89" s="10"/>
      <c r="F89" s="10"/>
      <c r="G89" s="10"/>
      <c r="H89" s="10"/>
    </row>
    <row r="90" spans="1:8" ht="14.25" customHeight="1" x14ac:dyDescent="0.35">
      <c r="A90" s="10"/>
      <c r="B90" s="10"/>
      <c r="C90" s="10"/>
      <c r="D90" s="10"/>
      <c r="E90" s="10"/>
      <c r="F90" s="10"/>
      <c r="G90" s="10"/>
      <c r="H90" s="10"/>
    </row>
    <row r="91" spans="1:8" ht="14.25" customHeight="1" x14ac:dyDescent="0.35">
      <c r="A91" s="10"/>
      <c r="B91" s="10"/>
      <c r="C91" s="10"/>
      <c r="D91" s="10"/>
      <c r="E91" s="10"/>
      <c r="F91" s="10"/>
      <c r="G91" s="10"/>
      <c r="H91" s="10"/>
    </row>
    <row r="92" spans="1:8" ht="14.25" customHeight="1" x14ac:dyDescent="0.35">
      <c r="A92" s="10"/>
      <c r="B92" s="10"/>
      <c r="C92" s="10"/>
      <c r="D92" s="10"/>
      <c r="E92" s="10"/>
      <c r="F92" s="10"/>
      <c r="G92" s="10"/>
      <c r="H92" s="10"/>
    </row>
    <row r="93" spans="1:8" ht="14.25" customHeight="1" x14ac:dyDescent="0.35">
      <c r="A93" s="10"/>
      <c r="B93" s="10"/>
      <c r="C93" s="10"/>
      <c r="D93" s="10"/>
      <c r="E93" s="10"/>
      <c r="F93" s="10"/>
      <c r="G93" s="10"/>
      <c r="H93" s="10"/>
    </row>
    <row r="94" spans="1:8" ht="14.25" customHeight="1" x14ac:dyDescent="0.35">
      <c r="A94" s="10"/>
      <c r="B94" s="10"/>
      <c r="C94" s="10"/>
      <c r="D94" s="10"/>
      <c r="E94" s="10"/>
      <c r="F94" s="10"/>
      <c r="G94" s="10"/>
      <c r="H94" s="10"/>
    </row>
    <row r="95" spans="1:8" ht="14.25" customHeight="1" x14ac:dyDescent="0.35">
      <c r="A95" s="10"/>
      <c r="B95" s="10"/>
      <c r="C95" s="10"/>
      <c r="D95" s="10"/>
      <c r="E95" s="10"/>
      <c r="F95" s="10"/>
      <c r="G95" s="10"/>
      <c r="H95" s="10"/>
    </row>
    <row r="96" spans="1:8" ht="14.25" customHeight="1" x14ac:dyDescent="0.35">
      <c r="A96" s="10"/>
      <c r="B96" s="10"/>
      <c r="C96" s="10"/>
      <c r="D96" s="10"/>
      <c r="E96" s="10"/>
      <c r="F96" s="10"/>
      <c r="G96" s="10"/>
      <c r="H96" s="10"/>
    </row>
    <row r="97" spans="1:8" ht="14.25" customHeight="1" x14ac:dyDescent="0.35">
      <c r="A97" s="10"/>
      <c r="B97" s="10"/>
      <c r="C97" s="10"/>
      <c r="D97" s="10"/>
      <c r="E97" s="10"/>
      <c r="F97" s="10"/>
      <c r="G97" s="10"/>
      <c r="H97" s="10"/>
    </row>
    <row r="98" spans="1:8" ht="14.25" customHeight="1" x14ac:dyDescent="0.35">
      <c r="A98" s="10"/>
      <c r="B98" s="10"/>
      <c r="C98" s="10"/>
      <c r="D98" s="10"/>
      <c r="E98" s="10"/>
      <c r="F98" s="10"/>
      <c r="G98" s="10"/>
      <c r="H98" s="10"/>
    </row>
    <row r="99" spans="1:8" ht="14.25" customHeight="1" x14ac:dyDescent="0.35">
      <c r="A99" s="10"/>
      <c r="B99" s="10"/>
      <c r="C99" s="10"/>
      <c r="D99" s="10"/>
      <c r="E99" s="10"/>
      <c r="F99" s="10"/>
      <c r="G99" s="10"/>
      <c r="H99" s="10"/>
    </row>
    <row r="100" spans="1:8" ht="14.25" customHeight="1" x14ac:dyDescent="0.35">
      <c r="A100" s="10"/>
      <c r="B100" s="10"/>
      <c r="C100" s="10"/>
      <c r="D100" s="10"/>
      <c r="E100" s="10"/>
      <c r="F100" s="10"/>
      <c r="G100" s="10"/>
      <c r="H100" s="10"/>
    </row>
    <row r="101" spans="1:8" ht="14.25" customHeight="1" x14ac:dyDescent="0.35">
      <c r="A101" s="10"/>
      <c r="B101" s="10"/>
      <c r="C101" s="10"/>
      <c r="D101" s="10"/>
      <c r="E101" s="10"/>
      <c r="F101" s="10"/>
      <c r="G101" s="10"/>
      <c r="H101" s="10"/>
    </row>
    <row r="102" spans="1:8" ht="14.25" customHeight="1" x14ac:dyDescent="0.35">
      <c r="A102" s="10"/>
      <c r="B102" s="10"/>
      <c r="C102" s="10"/>
      <c r="D102" s="10"/>
      <c r="E102" s="10"/>
      <c r="F102" s="10"/>
      <c r="G102" s="10"/>
      <c r="H102" s="10"/>
    </row>
    <row r="103" spans="1:8" ht="14.25" customHeight="1" x14ac:dyDescent="0.35">
      <c r="A103" s="10"/>
      <c r="B103" s="10"/>
      <c r="C103" s="10"/>
      <c r="D103" s="10"/>
      <c r="E103" s="10"/>
      <c r="F103" s="10"/>
      <c r="G103" s="10"/>
      <c r="H103" s="10"/>
    </row>
    <row r="104" spans="1:8" ht="14.25" customHeight="1" x14ac:dyDescent="0.35">
      <c r="A104" s="10"/>
      <c r="B104" s="10"/>
      <c r="C104" s="10"/>
      <c r="D104" s="10"/>
      <c r="E104" s="10"/>
      <c r="F104" s="10"/>
      <c r="G104" s="10"/>
      <c r="H104" s="10"/>
    </row>
    <row r="105" spans="1:8" ht="14.25" customHeight="1" x14ac:dyDescent="0.35">
      <c r="A105" s="10"/>
      <c r="B105" s="10"/>
      <c r="C105" s="10"/>
      <c r="D105" s="10"/>
      <c r="E105" s="10"/>
      <c r="F105" s="10"/>
      <c r="G105" s="10"/>
      <c r="H105" s="10"/>
    </row>
    <row r="106" spans="1:8" ht="14.25" customHeight="1" x14ac:dyDescent="0.35">
      <c r="A106" s="10"/>
      <c r="B106" s="10"/>
      <c r="C106" s="10"/>
      <c r="D106" s="10"/>
      <c r="E106" s="10"/>
      <c r="F106" s="10"/>
      <c r="G106" s="10"/>
      <c r="H106" s="10"/>
    </row>
    <row r="107" spans="1:8" ht="14.25" customHeight="1" x14ac:dyDescent="0.35">
      <c r="A107" s="10"/>
      <c r="B107" s="10"/>
      <c r="C107" s="10"/>
      <c r="D107" s="10"/>
      <c r="E107" s="10"/>
      <c r="F107" s="10"/>
      <c r="G107" s="10"/>
      <c r="H107" s="10"/>
    </row>
    <row r="108" spans="1:8" ht="14.25" customHeight="1" x14ac:dyDescent="0.35">
      <c r="A108" s="10"/>
      <c r="B108" s="10"/>
      <c r="C108" s="10"/>
      <c r="D108" s="10"/>
      <c r="E108" s="10"/>
      <c r="F108" s="10"/>
      <c r="G108" s="10"/>
      <c r="H108" s="10"/>
    </row>
    <row r="109" spans="1:8" ht="14.25" customHeight="1" x14ac:dyDescent="0.35">
      <c r="A109" s="10"/>
      <c r="B109" s="10"/>
      <c r="C109" s="10"/>
      <c r="D109" s="10"/>
      <c r="E109" s="10"/>
      <c r="F109" s="10"/>
      <c r="G109" s="10"/>
      <c r="H109" s="10"/>
    </row>
    <row r="110" spans="1:8" ht="14.25" customHeight="1" x14ac:dyDescent="0.35">
      <c r="A110" s="10"/>
      <c r="B110" s="10"/>
      <c r="C110" s="10"/>
      <c r="D110" s="10"/>
      <c r="E110" s="10"/>
      <c r="F110" s="10"/>
      <c r="G110" s="10"/>
      <c r="H110" s="10"/>
    </row>
    <row r="111" spans="1:8" ht="14.25" customHeight="1" x14ac:dyDescent="0.35">
      <c r="A111" s="10"/>
      <c r="B111" s="10"/>
      <c r="C111" s="10"/>
      <c r="D111" s="10"/>
      <c r="E111" s="10"/>
      <c r="F111" s="10"/>
      <c r="G111" s="10"/>
      <c r="H111" s="10"/>
    </row>
    <row r="112" spans="1:8" ht="14.25" customHeight="1" x14ac:dyDescent="0.35">
      <c r="A112" s="10"/>
      <c r="B112" s="10"/>
      <c r="C112" s="10"/>
      <c r="D112" s="10"/>
      <c r="E112" s="10"/>
      <c r="F112" s="10"/>
      <c r="G112" s="10"/>
      <c r="H112" s="10"/>
    </row>
    <row r="113" spans="1:8" ht="14.25" customHeight="1" x14ac:dyDescent="0.35">
      <c r="A113" s="10"/>
      <c r="B113" s="10"/>
      <c r="C113" s="10"/>
      <c r="D113" s="10"/>
      <c r="E113" s="10"/>
      <c r="F113" s="10"/>
      <c r="G113" s="10"/>
      <c r="H113" s="10"/>
    </row>
    <row r="114" spans="1:8" ht="14.25" customHeight="1" x14ac:dyDescent="0.35">
      <c r="A114" s="10"/>
      <c r="B114" s="10"/>
      <c r="C114" s="10"/>
      <c r="D114" s="10"/>
      <c r="E114" s="10"/>
      <c r="F114" s="10"/>
      <c r="G114" s="10"/>
      <c r="H114" s="10"/>
    </row>
    <row r="115" spans="1:8" ht="14.25" customHeight="1" x14ac:dyDescent="0.35">
      <c r="A115" s="10"/>
      <c r="B115" s="10"/>
      <c r="C115" s="10"/>
      <c r="D115" s="10"/>
      <c r="E115" s="10"/>
      <c r="F115" s="10"/>
      <c r="G115" s="10"/>
      <c r="H115" s="10"/>
    </row>
    <row r="116" spans="1:8" ht="14.25" customHeight="1" x14ac:dyDescent="0.35">
      <c r="A116" s="10"/>
      <c r="B116" s="10"/>
      <c r="C116" s="10"/>
      <c r="D116" s="10"/>
      <c r="E116" s="10"/>
      <c r="F116" s="10"/>
      <c r="G116" s="10"/>
      <c r="H116" s="10"/>
    </row>
    <row r="117" spans="1:8" ht="14.25" customHeight="1" x14ac:dyDescent="0.35">
      <c r="A117" s="10"/>
      <c r="B117" s="10"/>
      <c r="C117" s="10"/>
      <c r="D117" s="10"/>
      <c r="E117" s="10"/>
      <c r="F117" s="10"/>
      <c r="G117" s="10"/>
      <c r="H117" s="10"/>
    </row>
    <row r="118" spans="1:8" ht="14.25" customHeight="1" x14ac:dyDescent="0.35">
      <c r="A118" s="10"/>
      <c r="B118" s="10"/>
      <c r="C118" s="10"/>
      <c r="D118" s="10"/>
      <c r="E118" s="10"/>
      <c r="F118" s="10"/>
      <c r="G118" s="10"/>
      <c r="H118" s="10"/>
    </row>
    <row r="119" spans="1:8" ht="14.25" customHeight="1" x14ac:dyDescent="0.35">
      <c r="A119" s="10"/>
      <c r="B119" s="10"/>
      <c r="C119" s="10"/>
      <c r="D119" s="10"/>
      <c r="E119" s="10"/>
      <c r="F119" s="10"/>
      <c r="G119" s="10"/>
      <c r="H119" s="10"/>
    </row>
    <row r="120" spans="1:8" ht="14.25" customHeight="1" x14ac:dyDescent="0.35">
      <c r="A120" s="10"/>
      <c r="B120" s="10"/>
      <c r="C120" s="10"/>
      <c r="D120" s="10"/>
      <c r="E120" s="10"/>
      <c r="F120" s="10"/>
      <c r="G120" s="10"/>
      <c r="H120" s="10"/>
    </row>
    <row r="121" spans="1:8" ht="14.25" customHeight="1" x14ac:dyDescent="0.35">
      <c r="A121" s="10"/>
      <c r="B121" s="10"/>
      <c r="C121" s="10"/>
      <c r="D121" s="10"/>
      <c r="E121" s="10"/>
      <c r="F121" s="10"/>
      <c r="G121" s="10"/>
      <c r="H121" s="10"/>
    </row>
    <row r="122" spans="1:8" ht="14.25" customHeight="1" x14ac:dyDescent="0.35">
      <c r="A122" s="10"/>
      <c r="B122" s="10"/>
      <c r="C122" s="10"/>
      <c r="D122" s="10"/>
      <c r="E122" s="10"/>
      <c r="F122" s="10"/>
      <c r="G122" s="10"/>
      <c r="H122" s="10"/>
    </row>
    <row r="123" spans="1:8" ht="14.25" customHeight="1" x14ac:dyDescent="0.35">
      <c r="A123" s="10"/>
      <c r="B123" s="10"/>
      <c r="C123" s="10"/>
      <c r="D123" s="10"/>
      <c r="E123" s="10"/>
      <c r="F123" s="10"/>
      <c r="G123" s="10"/>
      <c r="H123" s="10"/>
    </row>
    <row r="124" spans="1:8" ht="14.25" customHeight="1" x14ac:dyDescent="0.35">
      <c r="A124" s="10"/>
      <c r="B124" s="10"/>
      <c r="C124" s="10"/>
      <c r="D124" s="10"/>
      <c r="E124" s="10"/>
      <c r="F124" s="10"/>
      <c r="G124" s="10"/>
      <c r="H124" s="10"/>
    </row>
    <row r="125" spans="1:8" ht="14.25" customHeight="1" x14ac:dyDescent="0.35">
      <c r="A125" s="10"/>
      <c r="B125" s="10"/>
      <c r="C125" s="10"/>
      <c r="D125" s="10"/>
      <c r="E125" s="10"/>
      <c r="F125" s="10"/>
      <c r="G125" s="10"/>
      <c r="H125" s="10"/>
    </row>
    <row r="126" spans="1:8" ht="14.25" customHeight="1" x14ac:dyDescent="0.35">
      <c r="A126" s="10"/>
      <c r="B126" s="10"/>
      <c r="C126" s="10"/>
      <c r="D126" s="10"/>
      <c r="E126" s="10"/>
      <c r="F126" s="10"/>
      <c r="G126" s="10"/>
      <c r="H126" s="10"/>
    </row>
    <row r="127" spans="1:8" ht="14.25" customHeight="1" x14ac:dyDescent="0.35">
      <c r="A127" s="10"/>
      <c r="B127" s="10"/>
      <c r="C127" s="10"/>
      <c r="D127" s="10"/>
      <c r="E127" s="10"/>
      <c r="F127" s="10"/>
      <c r="G127" s="10"/>
      <c r="H127" s="10"/>
    </row>
    <row r="128" spans="1:8" ht="14.25" customHeight="1" x14ac:dyDescent="0.35">
      <c r="A128" s="10"/>
      <c r="B128" s="10"/>
      <c r="C128" s="10"/>
      <c r="D128" s="10"/>
      <c r="E128" s="10"/>
      <c r="F128" s="10"/>
      <c r="G128" s="10"/>
      <c r="H128" s="10"/>
    </row>
    <row r="129" spans="1:8" ht="14.25" customHeight="1" x14ac:dyDescent="0.35">
      <c r="A129" s="10"/>
      <c r="B129" s="10"/>
      <c r="C129" s="10"/>
      <c r="D129" s="10"/>
      <c r="E129" s="10"/>
      <c r="F129" s="10"/>
      <c r="G129" s="10"/>
      <c r="H129" s="10"/>
    </row>
    <row r="130" spans="1:8" ht="14.25" customHeight="1" x14ac:dyDescent="0.35">
      <c r="A130" s="10"/>
      <c r="B130" s="10"/>
      <c r="C130" s="10"/>
      <c r="D130" s="10"/>
      <c r="E130" s="10"/>
      <c r="F130" s="10"/>
      <c r="G130" s="10"/>
      <c r="H130" s="10"/>
    </row>
    <row r="131" spans="1:8" ht="14.25" customHeight="1" x14ac:dyDescent="0.35">
      <c r="A131" s="10"/>
      <c r="B131" s="10"/>
      <c r="C131" s="10"/>
      <c r="D131" s="10"/>
      <c r="E131" s="10"/>
      <c r="F131" s="10"/>
      <c r="G131" s="10"/>
      <c r="H131" s="10"/>
    </row>
    <row r="132" spans="1:8" ht="14.25" customHeight="1" x14ac:dyDescent="0.35">
      <c r="A132" s="10"/>
      <c r="B132" s="10"/>
      <c r="C132" s="10"/>
      <c r="D132" s="10"/>
      <c r="E132" s="10"/>
      <c r="F132" s="10"/>
      <c r="G132" s="10"/>
      <c r="H132" s="10"/>
    </row>
    <row r="133" spans="1:8" ht="14.25" customHeight="1" x14ac:dyDescent="0.35">
      <c r="A133" s="10"/>
      <c r="B133" s="10"/>
      <c r="C133" s="10"/>
      <c r="D133" s="10"/>
      <c r="E133" s="10"/>
      <c r="F133" s="10"/>
      <c r="G133" s="10"/>
      <c r="H133" s="10"/>
    </row>
    <row r="134" spans="1:8" ht="14.25" customHeight="1" x14ac:dyDescent="0.35">
      <c r="A134" s="10"/>
      <c r="B134" s="10"/>
      <c r="C134" s="10"/>
      <c r="D134" s="10"/>
      <c r="E134" s="10"/>
      <c r="F134" s="10"/>
      <c r="G134" s="10"/>
      <c r="H134" s="10"/>
    </row>
    <row r="135" spans="1:8" ht="14.25" customHeight="1" x14ac:dyDescent="0.35">
      <c r="A135" s="10"/>
      <c r="B135" s="10"/>
      <c r="C135" s="10"/>
      <c r="D135" s="10"/>
      <c r="E135" s="10"/>
      <c r="F135" s="10"/>
      <c r="G135" s="10"/>
      <c r="H135" s="10"/>
    </row>
    <row r="136" spans="1:8" ht="14.25" customHeight="1" x14ac:dyDescent="0.35">
      <c r="A136" s="10"/>
      <c r="B136" s="10"/>
      <c r="C136" s="10"/>
      <c r="D136" s="10"/>
      <c r="E136" s="10"/>
      <c r="F136" s="10"/>
      <c r="G136" s="10"/>
      <c r="H136" s="10"/>
    </row>
    <row r="137" spans="1:8" ht="14.25" customHeight="1" x14ac:dyDescent="0.35">
      <c r="A137" s="10"/>
      <c r="B137" s="10"/>
      <c r="C137" s="10"/>
      <c r="D137" s="10"/>
      <c r="E137" s="10"/>
      <c r="F137" s="10"/>
      <c r="G137" s="10"/>
      <c r="H137" s="10"/>
    </row>
    <row r="138" spans="1:8" ht="14.25" customHeight="1" x14ac:dyDescent="0.35">
      <c r="A138" s="10"/>
      <c r="B138" s="10"/>
      <c r="C138" s="10"/>
      <c r="D138" s="10"/>
      <c r="E138" s="10"/>
      <c r="F138" s="10"/>
      <c r="G138" s="10"/>
      <c r="H138" s="10"/>
    </row>
    <row r="139" spans="1:8" ht="14.25" customHeight="1" x14ac:dyDescent="0.35">
      <c r="A139" s="10"/>
      <c r="B139" s="10"/>
      <c r="C139" s="10"/>
      <c r="D139" s="10"/>
      <c r="E139" s="10"/>
      <c r="F139" s="10"/>
      <c r="G139" s="10"/>
      <c r="H139" s="10"/>
    </row>
    <row r="140" spans="1:8" ht="14.25" customHeight="1" x14ac:dyDescent="0.35">
      <c r="A140" s="10"/>
      <c r="B140" s="10"/>
      <c r="C140" s="10"/>
      <c r="D140" s="10"/>
      <c r="E140" s="10"/>
      <c r="F140" s="10"/>
      <c r="G140" s="10"/>
      <c r="H140" s="10"/>
    </row>
    <row r="141" spans="1:8" ht="14.25" customHeight="1" x14ac:dyDescent="0.35">
      <c r="A141" s="10"/>
      <c r="B141" s="10"/>
      <c r="C141" s="10"/>
      <c r="D141" s="10"/>
      <c r="E141" s="10"/>
      <c r="F141" s="10"/>
      <c r="G141" s="10"/>
      <c r="H141" s="10"/>
    </row>
    <row r="142" spans="1:8" ht="14.25" customHeight="1" x14ac:dyDescent="0.35">
      <c r="A142" s="10"/>
      <c r="B142" s="10"/>
      <c r="C142" s="10"/>
      <c r="D142" s="10"/>
      <c r="E142" s="10"/>
      <c r="F142" s="10"/>
      <c r="G142" s="10"/>
      <c r="H142" s="10"/>
    </row>
    <row r="143" spans="1:8" ht="14.25" customHeight="1" x14ac:dyDescent="0.35">
      <c r="A143" s="10"/>
      <c r="B143" s="10"/>
      <c r="C143" s="10"/>
      <c r="D143" s="10"/>
      <c r="E143" s="10"/>
      <c r="F143" s="10"/>
      <c r="G143" s="10"/>
      <c r="H143" s="10"/>
    </row>
    <row r="144" spans="1:8" ht="14.25" customHeight="1" x14ac:dyDescent="0.35">
      <c r="A144" s="10"/>
      <c r="B144" s="10"/>
      <c r="C144" s="10"/>
      <c r="D144" s="10"/>
      <c r="E144" s="10"/>
      <c r="F144" s="10"/>
      <c r="G144" s="10"/>
      <c r="H144" s="10"/>
    </row>
    <row r="145" spans="1:8" ht="14.25" customHeight="1" x14ac:dyDescent="0.35">
      <c r="A145" s="10"/>
      <c r="B145" s="10"/>
      <c r="C145" s="10"/>
      <c r="D145" s="10"/>
      <c r="E145" s="10"/>
      <c r="F145" s="10"/>
      <c r="G145" s="10"/>
      <c r="H145" s="10"/>
    </row>
    <row r="146" spans="1:8" ht="14.25" customHeight="1" x14ac:dyDescent="0.35">
      <c r="A146" s="10"/>
      <c r="B146" s="10"/>
      <c r="C146" s="10"/>
      <c r="D146" s="10"/>
      <c r="E146" s="10"/>
      <c r="F146" s="10"/>
      <c r="G146" s="10"/>
      <c r="H146" s="10"/>
    </row>
    <row r="147" spans="1:8" ht="14.25" customHeight="1" x14ac:dyDescent="0.35">
      <c r="A147" s="10"/>
      <c r="B147" s="10"/>
      <c r="C147" s="10"/>
      <c r="D147" s="10"/>
      <c r="E147" s="10"/>
      <c r="F147" s="10"/>
      <c r="G147" s="10"/>
      <c r="H147" s="10"/>
    </row>
    <row r="148" spans="1:8" ht="14.25" customHeight="1" x14ac:dyDescent="0.35">
      <c r="A148" s="10"/>
      <c r="B148" s="10"/>
      <c r="C148" s="10"/>
      <c r="D148" s="10"/>
      <c r="E148" s="10"/>
      <c r="F148" s="10"/>
      <c r="G148" s="10"/>
      <c r="H148" s="10"/>
    </row>
    <row r="149" spans="1:8" ht="14.25" customHeight="1" x14ac:dyDescent="0.35">
      <c r="A149" s="10"/>
      <c r="B149" s="10"/>
      <c r="C149" s="10"/>
      <c r="D149" s="10"/>
      <c r="E149" s="10"/>
      <c r="F149" s="10"/>
      <c r="G149" s="10"/>
      <c r="H149" s="10"/>
    </row>
    <row r="150" spans="1:8" ht="14.25" customHeight="1" x14ac:dyDescent="0.35">
      <c r="A150" s="10"/>
      <c r="B150" s="10"/>
      <c r="C150" s="10"/>
      <c r="D150" s="10"/>
      <c r="E150" s="10"/>
      <c r="F150" s="10"/>
      <c r="G150" s="10"/>
      <c r="H150" s="10"/>
    </row>
    <row r="151" spans="1:8" ht="14.25" customHeight="1" x14ac:dyDescent="0.35">
      <c r="A151" s="10"/>
      <c r="B151" s="10"/>
      <c r="C151" s="10"/>
      <c r="D151" s="10"/>
      <c r="E151" s="10"/>
      <c r="F151" s="10"/>
      <c r="G151" s="10"/>
      <c r="H151" s="10"/>
    </row>
    <row r="152" spans="1:8" ht="14.25" customHeight="1" x14ac:dyDescent="0.35">
      <c r="A152" s="10"/>
      <c r="B152" s="10"/>
      <c r="C152" s="10"/>
      <c r="D152" s="10"/>
      <c r="E152" s="10"/>
      <c r="F152" s="10"/>
      <c r="G152" s="10"/>
      <c r="H152" s="10"/>
    </row>
    <row r="153" spans="1:8" ht="14.25" customHeight="1" x14ac:dyDescent="0.35">
      <c r="A153" s="10"/>
      <c r="B153" s="10"/>
      <c r="C153" s="10"/>
      <c r="D153" s="10"/>
      <c r="E153" s="10"/>
      <c r="F153" s="10"/>
      <c r="G153" s="10"/>
      <c r="H153" s="10"/>
    </row>
    <row r="154" spans="1:8" ht="14.25" customHeight="1" x14ac:dyDescent="0.35">
      <c r="A154" s="10"/>
      <c r="B154" s="10"/>
      <c r="C154" s="10"/>
      <c r="D154" s="10"/>
      <c r="E154" s="10"/>
      <c r="F154" s="10"/>
      <c r="G154" s="10"/>
      <c r="H154" s="10"/>
    </row>
    <row r="155" spans="1:8" ht="14.25" customHeight="1" x14ac:dyDescent="0.35">
      <c r="A155" s="10"/>
      <c r="B155" s="10"/>
      <c r="C155" s="10"/>
      <c r="D155" s="10"/>
      <c r="E155" s="10"/>
      <c r="F155" s="10"/>
      <c r="G155" s="10"/>
      <c r="H155" s="10"/>
    </row>
    <row r="156" spans="1:8" ht="14.25" customHeight="1" x14ac:dyDescent="0.35">
      <c r="A156" s="10"/>
      <c r="B156" s="10"/>
      <c r="C156" s="10"/>
      <c r="D156" s="10"/>
      <c r="E156" s="10"/>
      <c r="F156" s="10"/>
      <c r="G156" s="10"/>
      <c r="H156" s="10"/>
    </row>
    <row r="157" spans="1:8" ht="14.25" customHeight="1" x14ac:dyDescent="0.35">
      <c r="A157" s="10"/>
      <c r="B157" s="10"/>
      <c r="C157" s="10"/>
      <c r="D157" s="10"/>
      <c r="E157" s="10"/>
      <c r="F157" s="10"/>
      <c r="G157" s="10"/>
      <c r="H157" s="10"/>
    </row>
    <row r="158" spans="1:8" ht="14.25" customHeight="1" x14ac:dyDescent="0.35">
      <c r="A158" s="10"/>
      <c r="B158" s="10"/>
      <c r="C158" s="10"/>
      <c r="D158" s="10"/>
      <c r="E158" s="10"/>
      <c r="F158" s="10"/>
      <c r="G158" s="10"/>
      <c r="H158" s="10"/>
    </row>
    <row r="159" spans="1:8" ht="14.25" customHeight="1" x14ac:dyDescent="0.35">
      <c r="A159" s="10"/>
      <c r="B159" s="10"/>
      <c r="C159" s="10"/>
      <c r="D159" s="10"/>
      <c r="E159" s="10"/>
      <c r="F159" s="10"/>
      <c r="G159" s="10"/>
      <c r="H159" s="10"/>
    </row>
    <row r="160" spans="1:8" ht="14.25" customHeight="1" x14ac:dyDescent="0.35">
      <c r="A160" s="10"/>
      <c r="B160" s="10"/>
      <c r="C160" s="10"/>
      <c r="D160" s="10"/>
      <c r="E160" s="10"/>
      <c r="F160" s="10"/>
      <c r="G160" s="10"/>
      <c r="H160" s="10"/>
    </row>
    <row r="161" spans="1:8" ht="14.25" customHeight="1" x14ac:dyDescent="0.35">
      <c r="A161" s="10"/>
      <c r="B161" s="10"/>
      <c r="C161" s="10"/>
      <c r="D161" s="10"/>
      <c r="E161" s="10"/>
      <c r="F161" s="10"/>
      <c r="G161" s="10"/>
      <c r="H161" s="10"/>
    </row>
    <row r="162" spans="1:8" ht="14.25" customHeight="1" x14ac:dyDescent="0.35">
      <c r="A162" s="10"/>
      <c r="B162" s="10"/>
      <c r="C162" s="10"/>
      <c r="D162" s="10"/>
      <c r="E162" s="10"/>
      <c r="F162" s="10"/>
      <c r="G162" s="10"/>
      <c r="H162" s="10"/>
    </row>
    <row r="163" spans="1:8" ht="14.25" customHeight="1" x14ac:dyDescent="0.35">
      <c r="A163" s="10"/>
      <c r="B163" s="10"/>
      <c r="C163" s="10"/>
      <c r="D163" s="10"/>
      <c r="E163" s="10"/>
      <c r="F163" s="10"/>
      <c r="G163" s="10"/>
      <c r="H163" s="10"/>
    </row>
    <row r="164" spans="1:8" ht="14.25" customHeight="1" x14ac:dyDescent="0.35">
      <c r="A164" s="10"/>
      <c r="B164" s="10"/>
      <c r="C164" s="10"/>
      <c r="D164" s="10"/>
      <c r="E164" s="10"/>
      <c r="F164" s="10"/>
      <c r="G164" s="10"/>
      <c r="H164" s="10"/>
    </row>
    <row r="165" spans="1:8" ht="14.25" customHeight="1" x14ac:dyDescent="0.35">
      <c r="A165" s="10"/>
      <c r="B165" s="10"/>
      <c r="C165" s="10"/>
      <c r="D165" s="10"/>
      <c r="E165" s="10"/>
      <c r="F165" s="10"/>
      <c r="G165" s="10"/>
      <c r="H165" s="10"/>
    </row>
    <row r="166" spans="1:8" ht="14.25" customHeight="1" x14ac:dyDescent="0.35">
      <c r="A166" s="10"/>
      <c r="B166" s="10"/>
      <c r="C166" s="10"/>
      <c r="D166" s="10"/>
      <c r="E166" s="10"/>
      <c r="F166" s="10"/>
      <c r="G166" s="10"/>
      <c r="H166" s="10"/>
    </row>
    <row r="167" spans="1:8" ht="14.25" customHeight="1" x14ac:dyDescent="0.35">
      <c r="A167" s="10"/>
      <c r="B167" s="10"/>
      <c r="C167" s="10"/>
      <c r="D167" s="10"/>
      <c r="E167" s="10"/>
      <c r="F167" s="10"/>
      <c r="G167" s="10"/>
      <c r="H167" s="10"/>
    </row>
    <row r="168" spans="1:8" ht="14.25" customHeight="1" x14ac:dyDescent="0.35">
      <c r="A168" s="10"/>
      <c r="B168" s="10"/>
      <c r="C168" s="10"/>
      <c r="D168" s="10"/>
      <c r="E168" s="10"/>
      <c r="F168" s="10"/>
      <c r="G168" s="10"/>
      <c r="H168" s="10"/>
    </row>
    <row r="169" spans="1:8" ht="14.25" customHeight="1" x14ac:dyDescent="0.35">
      <c r="A169" s="10"/>
      <c r="B169" s="10"/>
      <c r="C169" s="10"/>
      <c r="D169" s="10"/>
      <c r="E169" s="10"/>
      <c r="F169" s="10"/>
      <c r="G169" s="10"/>
      <c r="H169" s="10"/>
    </row>
    <row r="170" spans="1:8" ht="14.25" customHeight="1" x14ac:dyDescent="0.35">
      <c r="A170" s="10"/>
      <c r="B170" s="10"/>
      <c r="C170" s="10"/>
      <c r="D170" s="10"/>
      <c r="E170" s="10"/>
      <c r="F170" s="10"/>
      <c r="G170" s="10"/>
      <c r="H170" s="10"/>
    </row>
    <row r="171" spans="1:8" ht="14.25" customHeight="1" x14ac:dyDescent="0.35">
      <c r="A171" s="10"/>
      <c r="B171" s="10"/>
      <c r="C171" s="10"/>
      <c r="D171" s="10"/>
      <c r="E171" s="10"/>
      <c r="F171" s="10"/>
      <c r="G171" s="10"/>
      <c r="H171" s="10"/>
    </row>
    <row r="172" spans="1:8" ht="14.25" customHeight="1" x14ac:dyDescent="0.35">
      <c r="A172" s="10"/>
      <c r="B172" s="10"/>
      <c r="C172" s="10"/>
      <c r="D172" s="10"/>
      <c r="E172" s="10"/>
      <c r="F172" s="10"/>
      <c r="G172" s="10"/>
      <c r="H172" s="10"/>
    </row>
    <row r="173" spans="1:8" ht="14.25" customHeight="1" x14ac:dyDescent="0.35">
      <c r="A173" s="10"/>
      <c r="B173" s="10"/>
      <c r="C173" s="10"/>
      <c r="D173" s="10"/>
      <c r="E173" s="10"/>
      <c r="F173" s="10"/>
      <c r="G173" s="10"/>
      <c r="H173" s="10"/>
    </row>
    <row r="174" spans="1:8" ht="14.25" customHeight="1" x14ac:dyDescent="0.35">
      <c r="A174" s="10"/>
      <c r="B174" s="10"/>
      <c r="C174" s="10"/>
      <c r="D174" s="10"/>
      <c r="E174" s="10"/>
      <c r="F174" s="10"/>
      <c r="G174" s="10"/>
      <c r="H174" s="10"/>
    </row>
    <row r="175" spans="1:8" ht="14.25" customHeight="1" x14ac:dyDescent="0.35">
      <c r="A175" s="10"/>
      <c r="B175" s="10"/>
      <c r="C175" s="10"/>
      <c r="D175" s="10"/>
      <c r="E175" s="10"/>
      <c r="F175" s="10"/>
      <c r="G175" s="10"/>
      <c r="H175" s="10"/>
    </row>
    <row r="176" spans="1:8" ht="14.25" customHeight="1" x14ac:dyDescent="0.35">
      <c r="A176" s="10"/>
      <c r="B176" s="10"/>
      <c r="C176" s="10"/>
      <c r="D176" s="10"/>
      <c r="E176" s="10"/>
      <c r="F176" s="10"/>
      <c r="G176" s="10"/>
      <c r="H176" s="10"/>
    </row>
    <row r="177" spans="1:8" ht="14.25" customHeight="1" x14ac:dyDescent="0.35">
      <c r="A177" s="10"/>
      <c r="B177" s="10"/>
      <c r="C177" s="10"/>
      <c r="D177" s="10"/>
      <c r="E177" s="10"/>
      <c r="F177" s="10"/>
      <c r="G177" s="10"/>
      <c r="H177" s="10"/>
    </row>
    <row r="178" spans="1:8" ht="14.25" customHeight="1" x14ac:dyDescent="0.35">
      <c r="A178" s="10"/>
      <c r="B178" s="10"/>
      <c r="C178" s="10"/>
      <c r="D178" s="10"/>
      <c r="E178" s="10"/>
      <c r="F178" s="10"/>
      <c r="G178" s="10"/>
      <c r="H178" s="10"/>
    </row>
    <row r="179" spans="1:8" ht="14.25" customHeight="1" x14ac:dyDescent="0.35">
      <c r="A179" s="10"/>
      <c r="B179" s="10"/>
      <c r="C179" s="10"/>
      <c r="D179" s="10"/>
      <c r="E179" s="10"/>
      <c r="F179" s="10"/>
      <c r="G179" s="10"/>
      <c r="H179" s="10"/>
    </row>
    <row r="180" spans="1:8" ht="14.25" customHeight="1" x14ac:dyDescent="0.35">
      <c r="A180" s="10"/>
      <c r="B180" s="10"/>
      <c r="C180" s="10"/>
      <c r="D180" s="10"/>
      <c r="E180" s="10"/>
      <c r="F180" s="10"/>
      <c r="G180" s="10"/>
      <c r="H180" s="10"/>
    </row>
    <row r="181" spans="1:8" ht="14.25" customHeight="1" x14ac:dyDescent="0.35">
      <c r="A181" s="10"/>
      <c r="B181" s="10"/>
      <c r="C181" s="10"/>
      <c r="D181" s="10"/>
      <c r="E181" s="10"/>
      <c r="F181" s="10"/>
      <c r="G181" s="10"/>
      <c r="H181" s="10"/>
    </row>
    <row r="182" spans="1:8" ht="14.25" customHeight="1" x14ac:dyDescent="0.35">
      <c r="A182" s="10"/>
      <c r="B182" s="10"/>
      <c r="C182" s="10"/>
      <c r="D182" s="10"/>
      <c r="E182" s="10"/>
      <c r="F182" s="10"/>
      <c r="G182" s="10"/>
      <c r="H182" s="10"/>
    </row>
    <row r="183" spans="1:8" ht="14.25" customHeight="1" x14ac:dyDescent="0.35">
      <c r="A183" s="10"/>
      <c r="B183" s="10"/>
      <c r="C183" s="10"/>
      <c r="D183" s="10"/>
      <c r="E183" s="10"/>
      <c r="F183" s="10"/>
      <c r="G183" s="10"/>
      <c r="H183" s="10"/>
    </row>
    <row r="184" spans="1:8" ht="14.25" customHeight="1" x14ac:dyDescent="0.35">
      <c r="A184" s="10"/>
      <c r="B184" s="10"/>
      <c r="C184" s="10"/>
      <c r="D184" s="10"/>
      <c r="E184" s="10"/>
      <c r="F184" s="10"/>
      <c r="G184" s="10"/>
      <c r="H184" s="10"/>
    </row>
    <row r="185" spans="1:8" ht="14.25" customHeight="1" x14ac:dyDescent="0.35">
      <c r="A185" s="10"/>
      <c r="B185" s="10"/>
      <c r="C185" s="10"/>
      <c r="D185" s="10"/>
      <c r="E185" s="10"/>
      <c r="F185" s="10"/>
      <c r="G185" s="10"/>
      <c r="H185" s="10"/>
    </row>
    <row r="186" spans="1:8" ht="14.25" customHeight="1" x14ac:dyDescent="0.35">
      <c r="A186" s="10"/>
      <c r="B186" s="10"/>
      <c r="C186" s="10"/>
      <c r="D186" s="10"/>
      <c r="E186" s="10"/>
      <c r="F186" s="10"/>
      <c r="G186" s="10"/>
      <c r="H186" s="10"/>
    </row>
    <row r="187" spans="1:8" ht="14.25" customHeight="1" x14ac:dyDescent="0.35">
      <c r="A187" s="10"/>
      <c r="B187" s="10"/>
      <c r="C187" s="10"/>
      <c r="D187" s="10"/>
      <c r="E187" s="10"/>
      <c r="F187" s="10"/>
      <c r="G187" s="10"/>
      <c r="H187" s="10"/>
    </row>
    <row r="188" spans="1:8" ht="14.25" customHeight="1" x14ac:dyDescent="0.35">
      <c r="A188" s="10"/>
      <c r="B188" s="10"/>
      <c r="C188" s="10"/>
      <c r="D188" s="10"/>
      <c r="E188" s="10"/>
      <c r="F188" s="10"/>
      <c r="G188" s="10"/>
      <c r="H188" s="10"/>
    </row>
    <row r="189" spans="1:8" ht="14.25" customHeight="1" x14ac:dyDescent="0.35">
      <c r="A189" s="10"/>
      <c r="B189" s="10"/>
      <c r="C189" s="10"/>
      <c r="D189" s="10"/>
      <c r="E189" s="10"/>
      <c r="F189" s="10"/>
      <c r="G189" s="10"/>
      <c r="H189" s="10"/>
    </row>
    <row r="190" spans="1:8" ht="14.25" customHeight="1" x14ac:dyDescent="0.35">
      <c r="A190" s="10"/>
      <c r="B190" s="10"/>
      <c r="C190" s="10"/>
      <c r="D190" s="10"/>
      <c r="E190" s="10"/>
      <c r="F190" s="10"/>
      <c r="G190" s="10"/>
      <c r="H190" s="10"/>
    </row>
    <row r="191" spans="1:8" ht="14.25" customHeight="1" x14ac:dyDescent="0.35">
      <c r="A191" s="10"/>
      <c r="B191" s="10"/>
      <c r="C191" s="10"/>
      <c r="D191" s="10"/>
      <c r="E191" s="10"/>
      <c r="F191" s="10"/>
      <c r="G191" s="10"/>
      <c r="H191" s="10"/>
    </row>
    <row r="192" spans="1:8" ht="14.25" customHeight="1" x14ac:dyDescent="0.35">
      <c r="A192" s="10"/>
      <c r="B192" s="10"/>
      <c r="C192" s="10"/>
      <c r="D192" s="10"/>
      <c r="E192" s="10"/>
      <c r="F192" s="10"/>
      <c r="G192" s="10"/>
      <c r="H192" s="10"/>
    </row>
    <row r="193" spans="1:8" ht="14.25" customHeight="1" x14ac:dyDescent="0.35">
      <c r="A193" s="10"/>
      <c r="B193" s="10"/>
      <c r="C193" s="10"/>
      <c r="D193" s="10"/>
      <c r="E193" s="10"/>
      <c r="F193" s="10"/>
      <c r="G193" s="10"/>
      <c r="H193" s="10"/>
    </row>
    <row r="194" spans="1:8" ht="14.25" customHeight="1" x14ac:dyDescent="0.35">
      <c r="A194" s="10"/>
      <c r="B194" s="10"/>
      <c r="C194" s="10"/>
      <c r="D194" s="10"/>
      <c r="E194" s="10"/>
      <c r="F194" s="10"/>
      <c r="G194" s="10"/>
      <c r="H194" s="10"/>
    </row>
    <row r="195" spans="1:8" ht="14.25" customHeight="1" x14ac:dyDescent="0.35">
      <c r="A195" s="10"/>
      <c r="B195" s="10"/>
      <c r="C195" s="10"/>
      <c r="D195" s="10"/>
      <c r="E195" s="10"/>
      <c r="F195" s="10"/>
      <c r="G195" s="10"/>
      <c r="H195" s="10"/>
    </row>
    <row r="196" spans="1:8" ht="14.25" customHeight="1" x14ac:dyDescent="0.35">
      <c r="A196" s="10"/>
      <c r="B196" s="10"/>
      <c r="C196" s="10"/>
      <c r="D196" s="10"/>
      <c r="E196" s="10"/>
      <c r="F196" s="10"/>
      <c r="G196" s="10"/>
      <c r="H196" s="10"/>
    </row>
    <row r="197" spans="1:8" ht="14.25" customHeight="1" x14ac:dyDescent="0.35">
      <c r="A197" s="10"/>
      <c r="B197" s="10"/>
      <c r="C197" s="10"/>
      <c r="D197" s="10"/>
      <c r="E197" s="10"/>
      <c r="F197" s="10"/>
      <c r="G197" s="10"/>
      <c r="H197" s="10"/>
    </row>
    <row r="198" spans="1:8" ht="14.25" customHeight="1" x14ac:dyDescent="0.35">
      <c r="A198" s="10"/>
      <c r="B198" s="10"/>
      <c r="C198" s="10"/>
      <c r="D198" s="10"/>
      <c r="E198" s="10"/>
      <c r="F198" s="10"/>
      <c r="G198" s="10"/>
      <c r="H198" s="10"/>
    </row>
    <row r="199" spans="1:8" ht="14.25" customHeight="1" x14ac:dyDescent="0.35">
      <c r="A199" s="10"/>
      <c r="B199" s="10"/>
      <c r="C199" s="10"/>
      <c r="D199" s="10"/>
      <c r="E199" s="10"/>
      <c r="F199" s="10"/>
      <c r="G199" s="10"/>
      <c r="H199" s="10"/>
    </row>
    <row r="200" spans="1:8" ht="14.25" customHeight="1" x14ac:dyDescent="0.35">
      <c r="A200" s="10"/>
      <c r="B200" s="10"/>
      <c r="C200" s="10"/>
      <c r="D200" s="10"/>
      <c r="E200" s="10"/>
      <c r="F200" s="10"/>
      <c r="G200" s="10"/>
      <c r="H200" s="10"/>
    </row>
    <row r="201" spans="1:8" ht="14.25" customHeight="1" x14ac:dyDescent="0.35">
      <c r="A201" s="10"/>
      <c r="B201" s="10"/>
      <c r="C201" s="10"/>
      <c r="D201" s="10"/>
      <c r="E201" s="10"/>
      <c r="F201" s="10"/>
      <c r="G201" s="10"/>
      <c r="H201" s="10"/>
    </row>
    <row r="202" spans="1:8" ht="14.25" customHeight="1" x14ac:dyDescent="0.35">
      <c r="A202" s="10"/>
      <c r="B202" s="10"/>
      <c r="C202" s="10"/>
      <c r="D202" s="10"/>
      <c r="E202" s="10"/>
      <c r="F202" s="10"/>
      <c r="G202" s="10"/>
      <c r="H202" s="10"/>
    </row>
    <row r="203" spans="1:8" ht="14.25" customHeight="1" x14ac:dyDescent="0.35">
      <c r="A203" s="10"/>
      <c r="B203" s="10"/>
      <c r="C203" s="10"/>
      <c r="D203" s="10"/>
      <c r="E203" s="10"/>
      <c r="F203" s="10"/>
      <c r="G203" s="10"/>
      <c r="H203" s="10"/>
    </row>
    <row r="204" spans="1:8" ht="14.25" customHeight="1" x14ac:dyDescent="0.35">
      <c r="A204" s="10"/>
      <c r="B204" s="10"/>
      <c r="C204" s="10"/>
      <c r="D204" s="10"/>
      <c r="E204" s="10"/>
      <c r="F204" s="10"/>
      <c r="G204" s="10"/>
      <c r="H204" s="10"/>
    </row>
    <row r="205" spans="1:8" ht="14.25" customHeight="1" x14ac:dyDescent="0.35">
      <c r="A205" s="10"/>
      <c r="B205" s="10"/>
      <c r="C205" s="10"/>
      <c r="D205" s="10"/>
      <c r="E205" s="10"/>
      <c r="F205" s="10"/>
      <c r="G205" s="10"/>
      <c r="H205" s="10"/>
    </row>
    <row r="206" spans="1:8" ht="14.25" customHeight="1" x14ac:dyDescent="0.35">
      <c r="A206" s="10"/>
      <c r="B206" s="10"/>
      <c r="C206" s="10"/>
      <c r="D206" s="10"/>
      <c r="E206" s="10"/>
      <c r="F206" s="10"/>
      <c r="G206" s="10"/>
      <c r="H206" s="10"/>
    </row>
    <row r="207" spans="1:8" ht="14.25" customHeight="1" x14ac:dyDescent="0.35">
      <c r="A207" s="10"/>
      <c r="B207" s="10"/>
      <c r="C207" s="10"/>
      <c r="D207" s="10"/>
      <c r="E207" s="10"/>
      <c r="F207" s="10"/>
      <c r="G207" s="10"/>
      <c r="H207" s="10"/>
    </row>
    <row r="208" spans="1:8" ht="14.25" customHeight="1" x14ac:dyDescent="0.35">
      <c r="A208" s="10"/>
      <c r="B208" s="10"/>
      <c r="C208" s="10"/>
      <c r="D208" s="10"/>
      <c r="E208" s="10"/>
      <c r="F208" s="10"/>
      <c r="G208" s="10"/>
      <c r="H208" s="10"/>
    </row>
    <row r="209" spans="1:8" ht="14.25" customHeight="1" x14ac:dyDescent="0.35">
      <c r="A209" s="10"/>
      <c r="B209" s="10"/>
      <c r="C209" s="10"/>
      <c r="D209" s="10"/>
      <c r="E209" s="10"/>
      <c r="F209" s="10"/>
      <c r="G209" s="10"/>
      <c r="H209" s="10"/>
    </row>
    <row r="210" spans="1:8" ht="14.25" customHeight="1" x14ac:dyDescent="0.35">
      <c r="A210" s="10"/>
      <c r="B210" s="10"/>
      <c r="C210" s="10"/>
      <c r="D210" s="10"/>
      <c r="E210" s="10"/>
      <c r="F210" s="10"/>
      <c r="G210" s="10"/>
      <c r="H210" s="10"/>
    </row>
    <row r="211" spans="1:8" ht="14.25" customHeight="1" x14ac:dyDescent="0.35">
      <c r="A211" s="10"/>
      <c r="B211" s="10"/>
      <c r="C211" s="10"/>
      <c r="D211" s="10"/>
      <c r="E211" s="10"/>
      <c r="F211" s="10"/>
      <c r="G211" s="10"/>
      <c r="H211" s="10"/>
    </row>
    <row r="212" spans="1:8" ht="14.25" customHeight="1" x14ac:dyDescent="0.35">
      <c r="A212" s="10"/>
      <c r="B212" s="10"/>
      <c r="C212" s="10"/>
      <c r="D212" s="10"/>
      <c r="E212" s="10"/>
      <c r="F212" s="10"/>
      <c r="G212" s="10"/>
      <c r="H212" s="10"/>
    </row>
    <row r="213" spans="1:8" ht="14.25" customHeight="1" x14ac:dyDescent="0.35">
      <c r="A213" s="10"/>
      <c r="B213" s="10"/>
      <c r="C213" s="10"/>
      <c r="D213" s="10"/>
      <c r="E213" s="10"/>
      <c r="F213" s="10"/>
      <c r="G213" s="10"/>
      <c r="H213" s="10"/>
    </row>
    <row r="214" spans="1:8" ht="14.25" customHeight="1" x14ac:dyDescent="0.35">
      <c r="A214" s="10"/>
      <c r="B214" s="10"/>
      <c r="C214" s="10"/>
      <c r="D214" s="10"/>
      <c r="E214" s="10"/>
      <c r="F214" s="10"/>
      <c r="G214" s="10"/>
      <c r="H214" s="10"/>
    </row>
    <row r="215" spans="1:8" ht="14.25" customHeight="1" x14ac:dyDescent="0.35">
      <c r="A215" s="10"/>
      <c r="B215" s="10"/>
      <c r="C215" s="10"/>
      <c r="D215" s="10"/>
      <c r="E215" s="10"/>
      <c r="F215" s="10"/>
      <c r="G215" s="10"/>
      <c r="H215" s="10"/>
    </row>
    <row r="216" spans="1:8" ht="14.25" customHeight="1" x14ac:dyDescent="0.35">
      <c r="A216" s="10"/>
      <c r="B216" s="10"/>
      <c r="C216" s="10"/>
      <c r="D216" s="10"/>
      <c r="E216" s="10"/>
      <c r="F216" s="10"/>
      <c r="G216" s="10"/>
      <c r="H216" s="10"/>
    </row>
    <row r="217" spans="1:8" ht="14.25" customHeight="1" x14ac:dyDescent="0.35">
      <c r="A217" s="10"/>
      <c r="B217" s="10"/>
      <c r="C217" s="10"/>
      <c r="D217" s="10"/>
      <c r="E217" s="10"/>
      <c r="F217" s="10"/>
      <c r="G217" s="10"/>
      <c r="H217" s="10"/>
    </row>
    <row r="218" spans="1:8" ht="14.25" customHeight="1" x14ac:dyDescent="0.35">
      <c r="A218" s="10"/>
      <c r="B218" s="10"/>
      <c r="C218" s="10"/>
      <c r="D218" s="10"/>
      <c r="E218" s="10"/>
      <c r="F218" s="10"/>
      <c r="G218" s="10"/>
      <c r="H218" s="10"/>
    </row>
    <row r="219" spans="1:8" ht="14.25" customHeight="1" x14ac:dyDescent="0.35">
      <c r="A219" s="10"/>
      <c r="B219" s="10"/>
      <c r="C219" s="10"/>
      <c r="D219" s="10"/>
      <c r="E219" s="10"/>
      <c r="F219" s="10"/>
      <c r="G219" s="10"/>
      <c r="H219" s="10"/>
    </row>
    <row r="220" spans="1:8" ht="14.25" customHeight="1" x14ac:dyDescent="0.35">
      <c r="A220" s="10"/>
      <c r="B220" s="10"/>
      <c r="C220" s="10"/>
      <c r="D220" s="10"/>
      <c r="E220" s="10"/>
      <c r="F220" s="10"/>
      <c r="G220" s="10"/>
      <c r="H220" s="10"/>
    </row>
    <row r="221" spans="1:8" ht="14.25" customHeight="1" x14ac:dyDescent="0.35">
      <c r="A221" s="10"/>
      <c r="B221" s="10"/>
      <c r="C221" s="10"/>
      <c r="D221" s="10"/>
      <c r="E221" s="10"/>
      <c r="F221" s="10"/>
      <c r="G221" s="10"/>
      <c r="H221" s="10"/>
    </row>
    <row r="222" spans="1:8" ht="14.25" customHeight="1" x14ac:dyDescent="0.35">
      <c r="A222" s="10"/>
      <c r="B222" s="10"/>
      <c r="C222" s="10"/>
      <c r="D222" s="10"/>
      <c r="E222" s="10"/>
      <c r="F222" s="10"/>
      <c r="G222" s="10"/>
      <c r="H222" s="10"/>
    </row>
    <row r="223" spans="1:8" ht="14.25" customHeight="1" x14ac:dyDescent="0.35">
      <c r="A223" s="10"/>
      <c r="B223" s="10"/>
      <c r="C223" s="10"/>
      <c r="D223" s="10"/>
      <c r="E223" s="10"/>
      <c r="F223" s="10"/>
      <c r="G223" s="10"/>
      <c r="H223" s="10"/>
    </row>
    <row r="224" spans="1:8" ht="14.25" customHeight="1" x14ac:dyDescent="0.35">
      <c r="A224" s="10"/>
      <c r="B224" s="10"/>
      <c r="C224" s="10"/>
      <c r="D224" s="10"/>
      <c r="E224" s="10"/>
      <c r="F224" s="10"/>
      <c r="G224" s="10"/>
      <c r="H224" s="10"/>
    </row>
    <row r="225" spans="1:8" ht="14.25" customHeight="1" x14ac:dyDescent="0.35">
      <c r="A225" s="10"/>
      <c r="B225" s="10"/>
      <c r="C225" s="10"/>
      <c r="D225" s="10"/>
      <c r="E225" s="10"/>
      <c r="F225" s="10"/>
      <c r="G225" s="10"/>
      <c r="H225" s="10"/>
    </row>
    <row r="226" spans="1:8" ht="14.25" customHeight="1" x14ac:dyDescent="0.35">
      <c r="A226" s="10"/>
      <c r="B226" s="10"/>
      <c r="C226" s="10"/>
      <c r="D226" s="10"/>
      <c r="E226" s="10"/>
      <c r="F226" s="10"/>
      <c r="G226" s="10"/>
      <c r="H226" s="10"/>
    </row>
    <row r="227" spans="1:8" ht="14.25" customHeight="1" x14ac:dyDescent="0.35">
      <c r="A227" s="10"/>
      <c r="B227" s="10"/>
      <c r="C227" s="10"/>
      <c r="D227" s="10"/>
      <c r="E227" s="10"/>
      <c r="F227" s="10"/>
      <c r="G227" s="10"/>
      <c r="H227" s="10"/>
    </row>
    <row r="228" spans="1:8" ht="14.25" customHeight="1" x14ac:dyDescent="0.35">
      <c r="A228" s="10"/>
      <c r="B228" s="10"/>
      <c r="C228" s="10"/>
      <c r="D228" s="10"/>
      <c r="E228" s="10"/>
      <c r="F228" s="10"/>
      <c r="G228" s="10"/>
      <c r="H228" s="10"/>
    </row>
    <row r="229" spans="1:8" ht="14.25" customHeight="1" x14ac:dyDescent="0.35">
      <c r="A229" s="10"/>
      <c r="B229" s="10"/>
      <c r="C229" s="10"/>
      <c r="D229" s="10"/>
      <c r="E229" s="10"/>
      <c r="F229" s="10"/>
      <c r="G229" s="10"/>
      <c r="H229" s="10"/>
    </row>
    <row r="230" spans="1:8" ht="14.25" customHeight="1" x14ac:dyDescent="0.35">
      <c r="A230" s="10"/>
      <c r="B230" s="10"/>
      <c r="C230" s="10"/>
      <c r="D230" s="10"/>
      <c r="E230" s="10"/>
      <c r="F230" s="10"/>
      <c r="G230" s="10"/>
      <c r="H230" s="10"/>
    </row>
    <row r="231" spans="1:8" ht="14.25" customHeight="1" x14ac:dyDescent="0.35">
      <c r="A231" s="10"/>
      <c r="B231" s="10"/>
      <c r="C231" s="10"/>
      <c r="D231" s="10"/>
      <c r="E231" s="10"/>
      <c r="F231" s="10"/>
      <c r="G231" s="10"/>
      <c r="H231" s="10"/>
    </row>
    <row r="232" spans="1:8" ht="14.25" customHeight="1" x14ac:dyDescent="0.35">
      <c r="A232" s="10"/>
      <c r="B232" s="10"/>
      <c r="C232" s="10"/>
      <c r="D232" s="10"/>
      <c r="E232" s="10"/>
      <c r="F232" s="10"/>
      <c r="G232" s="10"/>
      <c r="H232" s="10"/>
    </row>
    <row r="233" spans="1:8" ht="14.25" customHeight="1" x14ac:dyDescent="0.35">
      <c r="A233" s="10"/>
      <c r="B233" s="10"/>
      <c r="C233" s="10"/>
      <c r="D233" s="10"/>
      <c r="E233" s="10"/>
      <c r="F233" s="10"/>
      <c r="G233" s="10"/>
      <c r="H233" s="10"/>
    </row>
    <row r="234" spans="1:8" ht="14.25" customHeight="1" x14ac:dyDescent="0.35">
      <c r="A234" s="10"/>
      <c r="B234" s="10"/>
      <c r="C234" s="10"/>
      <c r="D234" s="10"/>
      <c r="E234" s="10"/>
      <c r="F234" s="10"/>
      <c r="G234" s="10"/>
      <c r="H234" s="10"/>
    </row>
    <row r="235" spans="1:8" ht="14.25" customHeight="1" x14ac:dyDescent="0.35">
      <c r="A235" s="10"/>
      <c r="B235" s="10"/>
      <c r="C235" s="10"/>
      <c r="D235" s="10"/>
      <c r="E235" s="10"/>
      <c r="F235" s="10"/>
      <c r="G235" s="10"/>
      <c r="H235" s="10"/>
    </row>
    <row r="236" spans="1:8" ht="14.25" customHeight="1" x14ac:dyDescent="0.35">
      <c r="A236" s="10"/>
      <c r="B236" s="10"/>
      <c r="C236" s="10"/>
      <c r="D236" s="10"/>
      <c r="E236" s="10"/>
      <c r="F236" s="10"/>
      <c r="G236" s="10"/>
      <c r="H236" s="10"/>
    </row>
    <row r="237" spans="1:8" ht="14.25" customHeight="1" x14ac:dyDescent="0.35">
      <c r="A237" s="10"/>
      <c r="B237" s="10"/>
      <c r="C237" s="10"/>
      <c r="D237" s="10"/>
      <c r="E237" s="10"/>
      <c r="F237" s="10"/>
      <c r="G237" s="10"/>
      <c r="H237" s="10"/>
    </row>
    <row r="238" spans="1:8" ht="14.25" customHeight="1" x14ac:dyDescent="0.35">
      <c r="A238" s="10"/>
      <c r="B238" s="10"/>
      <c r="C238" s="10"/>
      <c r="D238" s="10"/>
      <c r="E238" s="10"/>
      <c r="F238" s="10"/>
      <c r="G238" s="10"/>
      <c r="H238" s="10"/>
    </row>
    <row r="239" spans="1:8" ht="14.25" customHeight="1" x14ac:dyDescent="0.35">
      <c r="A239" s="10"/>
      <c r="B239" s="10"/>
      <c r="C239" s="10"/>
      <c r="D239" s="10"/>
      <c r="E239" s="10"/>
      <c r="F239" s="10"/>
      <c r="G239" s="10"/>
      <c r="H239" s="10"/>
    </row>
    <row r="240" spans="1:8" ht="14.25" customHeight="1" x14ac:dyDescent="0.35">
      <c r="A240" s="10"/>
      <c r="B240" s="10"/>
      <c r="C240" s="10"/>
      <c r="D240" s="10"/>
      <c r="E240" s="10"/>
      <c r="F240" s="10"/>
      <c r="G240" s="10"/>
      <c r="H240" s="10"/>
    </row>
    <row r="241" spans="1:8" ht="14.25" customHeight="1" x14ac:dyDescent="0.35">
      <c r="A241" s="10"/>
      <c r="B241" s="10"/>
      <c r="C241" s="10"/>
      <c r="D241" s="10"/>
      <c r="E241" s="10"/>
      <c r="F241" s="10"/>
      <c r="G241" s="10"/>
      <c r="H241" s="10"/>
    </row>
    <row r="242" spans="1:8" ht="14.25" customHeight="1" x14ac:dyDescent="0.35">
      <c r="A242" s="10"/>
      <c r="B242" s="10"/>
      <c r="C242" s="10"/>
      <c r="D242" s="10"/>
      <c r="E242" s="10"/>
      <c r="F242" s="10"/>
      <c r="G242" s="10"/>
      <c r="H242" s="10"/>
    </row>
    <row r="243" spans="1:8" ht="14.25" customHeight="1" x14ac:dyDescent="0.35">
      <c r="A243" s="10"/>
      <c r="B243" s="10"/>
      <c r="C243" s="10"/>
      <c r="D243" s="10"/>
      <c r="E243" s="10"/>
      <c r="F243" s="10"/>
      <c r="G243" s="10"/>
      <c r="H243" s="10"/>
    </row>
    <row r="244" spans="1:8" ht="14.25" customHeight="1" x14ac:dyDescent="0.35">
      <c r="A244" s="10"/>
      <c r="B244" s="10"/>
      <c r="C244" s="10"/>
      <c r="D244" s="10"/>
      <c r="E244" s="10"/>
      <c r="F244" s="10"/>
      <c r="G244" s="10"/>
      <c r="H244" s="10"/>
    </row>
    <row r="245" spans="1:8" ht="14.25" customHeight="1" x14ac:dyDescent="0.35">
      <c r="A245" s="10"/>
      <c r="B245" s="10"/>
      <c r="C245" s="10"/>
      <c r="D245" s="10"/>
      <c r="E245" s="10"/>
      <c r="F245" s="10"/>
      <c r="G245" s="10"/>
      <c r="H245" s="10"/>
    </row>
    <row r="246" spans="1:8" ht="14.25" customHeight="1" x14ac:dyDescent="0.35">
      <c r="A246" s="10"/>
      <c r="B246" s="10"/>
      <c r="C246" s="10"/>
      <c r="D246" s="10"/>
      <c r="E246" s="10"/>
      <c r="F246" s="10"/>
      <c r="G246" s="10"/>
      <c r="H246" s="10"/>
    </row>
    <row r="247" spans="1:8" ht="14.25" customHeight="1" x14ac:dyDescent="0.35">
      <c r="A247" s="10"/>
      <c r="B247" s="10"/>
      <c r="C247" s="10"/>
      <c r="D247" s="10"/>
      <c r="E247" s="10"/>
      <c r="F247" s="10"/>
      <c r="G247" s="10"/>
      <c r="H247" s="10"/>
    </row>
    <row r="248" spans="1:8" ht="14.25" customHeight="1" x14ac:dyDescent="0.35">
      <c r="A248" s="10"/>
      <c r="B248" s="10"/>
      <c r="C248" s="10"/>
      <c r="D248" s="10"/>
      <c r="E248" s="10"/>
      <c r="F248" s="10"/>
      <c r="G248" s="10"/>
      <c r="H248" s="10"/>
    </row>
    <row r="249" spans="1:8" ht="14.25" customHeight="1" x14ac:dyDescent="0.35">
      <c r="A249" s="10"/>
      <c r="B249" s="10"/>
      <c r="C249" s="10"/>
      <c r="D249" s="10"/>
      <c r="E249" s="10"/>
      <c r="F249" s="10"/>
      <c r="G249" s="10"/>
      <c r="H249" s="10"/>
    </row>
    <row r="250" spans="1:8" ht="14.25" customHeight="1" x14ac:dyDescent="0.35">
      <c r="A250" s="10"/>
      <c r="B250" s="10"/>
      <c r="C250" s="10"/>
      <c r="D250" s="10"/>
      <c r="E250" s="10"/>
      <c r="F250" s="10"/>
      <c r="G250" s="10"/>
      <c r="H250" s="10"/>
    </row>
    <row r="251" spans="1:8" ht="14.25" customHeight="1" x14ac:dyDescent="0.35">
      <c r="A251" s="10"/>
      <c r="B251" s="10"/>
      <c r="C251" s="10"/>
      <c r="D251" s="10"/>
      <c r="E251" s="10"/>
      <c r="F251" s="10"/>
      <c r="G251" s="10"/>
      <c r="H251" s="10"/>
    </row>
    <row r="252" spans="1:8" ht="14.25" customHeight="1" x14ac:dyDescent="0.35">
      <c r="A252" s="10"/>
      <c r="B252" s="10"/>
      <c r="C252" s="10"/>
      <c r="D252" s="10"/>
      <c r="E252" s="10"/>
      <c r="F252" s="10"/>
      <c r="G252" s="10"/>
      <c r="H252" s="10"/>
    </row>
    <row r="253" spans="1:8" ht="14.25" customHeight="1" x14ac:dyDescent="0.35">
      <c r="A253" s="10"/>
      <c r="B253" s="10"/>
      <c r="C253" s="10"/>
      <c r="D253" s="10"/>
      <c r="E253" s="10"/>
      <c r="F253" s="10"/>
      <c r="G253" s="10"/>
      <c r="H253" s="10"/>
    </row>
    <row r="254" spans="1:8" ht="14.25" customHeight="1" x14ac:dyDescent="0.35">
      <c r="A254" s="10"/>
      <c r="B254" s="10"/>
      <c r="C254" s="10"/>
      <c r="D254" s="10"/>
      <c r="E254" s="10"/>
      <c r="F254" s="10"/>
      <c r="G254" s="10"/>
      <c r="H254" s="10"/>
    </row>
    <row r="255" spans="1:8" ht="14.25" customHeight="1" x14ac:dyDescent="0.35">
      <c r="A255" s="10"/>
      <c r="B255" s="10"/>
      <c r="C255" s="10"/>
      <c r="D255" s="10"/>
      <c r="E255" s="10"/>
      <c r="F255" s="10"/>
      <c r="G255" s="10"/>
      <c r="H255" s="10"/>
    </row>
    <row r="256" spans="1:8" ht="14.25" customHeight="1" x14ac:dyDescent="0.35">
      <c r="A256" s="10"/>
      <c r="B256" s="10"/>
      <c r="C256" s="10"/>
      <c r="D256" s="10"/>
      <c r="E256" s="10"/>
      <c r="F256" s="10"/>
      <c r="G256" s="10"/>
      <c r="H256" s="10"/>
    </row>
    <row r="257" spans="1:8" ht="14.25" customHeight="1" x14ac:dyDescent="0.35">
      <c r="A257" s="10"/>
      <c r="B257" s="10"/>
      <c r="C257" s="10"/>
      <c r="D257" s="10"/>
      <c r="E257" s="10"/>
      <c r="F257" s="10"/>
      <c r="G257" s="10"/>
      <c r="H257" s="10"/>
    </row>
    <row r="258" spans="1:8" ht="14.25" customHeight="1" x14ac:dyDescent="0.35">
      <c r="A258" s="10"/>
      <c r="B258" s="10"/>
      <c r="C258" s="10"/>
      <c r="D258" s="10"/>
      <c r="E258" s="10"/>
      <c r="F258" s="10"/>
      <c r="G258" s="10"/>
      <c r="H258" s="10"/>
    </row>
    <row r="259" spans="1:8" ht="14.25" customHeight="1" x14ac:dyDescent="0.35">
      <c r="A259" s="10"/>
      <c r="B259" s="10"/>
      <c r="C259" s="10"/>
      <c r="D259" s="10"/>
      <c r="E259" s="10"/>
      <c r="F259" s="10"/>
      <c r="G259" s="10"/>
      <c r="H259" s="10"/>
    </row>
    <row r="260" spans="1:8" ht="14.25" customHeight="1" x14ac:dyDescent="0.35">
      <c r="A260" s="10"/>
      <c r="B260" s="10"/>
      <c r="C260" s="10"/>
      <c r="D260" s="10"/>
      <c r="E260" s="10"/>
      <c r="F260" s="10"/>
      <c r="G260" s="10"/>
      <c r="H260" s="10"/>
    </row>
    <row r="261" spans="1:8" ht="14.25" customHeight="1" x14ac:dyDescent="0.35">
      <c r="A261" s="10"/>
      <c r="B261" s="10"/>
      <c r="C261" s="10"/>
      <c r="D261" s="10"/>
      <c r="E261" s="10"/>
      <c r="F261" s="10"/>
      <c r="G261" s="10"/>
      <c r="H261" s="10"/>
    </row>
    <row r="262" spans="1:8" ht="14.25" customHeight="1" x14ac:dyDescent="0.35">
      <c r="A262" s="10"/>
      <c r="B262" s="10"/>
      <c r="C262" s="10"/>
      <c r="D262" s="10"/>
      <c r="E262" s="10"/>
      <c r="F262" s="10"/>
      <c r="G262" s="10"/>
      <c r="H262" s="10"/>
    </row>
    <row r="263" spans="1:8" ht="14.25" customHeight="1" x14ac:dyDescent="0.35">
      <c r="A263" s="10"/>
      <c r="B263" s="10"/>
      <c r="C263" s="10"/>
      <c r="D263" s="10"/>
      <c r="E263" s="10"/>
      <c r="F263" s="10"/>
      <c r="G263" s="10"/>
      <c r="H263" s="10"/>
    </row>
    <row r="264" spans="1:8" ht="14.25" customHeight="1" x14ac:dyDescent="0.35">
      <c r="A264" s="10"/>
      <c r="B264" s="10"/>
      <c r="C264" s="10"/>
      <c r="D264" s="10"/>
      <c r="E264" s="10"/>
      <c r="F264" s="10"/>
      <c r="G264" s="10"/>
      <c r="H264" s="10"/>
    </row>
    <row r="265" spans="1:8" ht="14.25" customHeight="1" x14ac:dyDescent="0.35">
      <c r="A265" s="10"/>
      <c r="B265" s="10"/>
      <c r="C265" s="10"/>
      <c r="D265" s="10"/>
      <c r="E265" s="10"/>
      <c r="F265" s="10"/>
      <c r="G265" s="10"/>
      <c r="H265" s="10"/>
    </row>
    <row r="266" spans="1:8" ht="14.25" customHeight="1" x14ac:dyDescent="0.35">
      <c r="A266" s="10"/>
      <c r="B266" s="10"/>
      <c r="C266" s="10"/>
      <c r="D266" s="10"/>
      <c r="E266" s="10"/>
      <c r="F266" s="10"/>
      <c r="G266" s="10"/>
      <c r="H266" s="10"/>
    </row>
    <row r="267" spans="1:8" ht="14.25" customHeight="1" x14ac:dyDescent="0.35">
      <c r="A267" s="10"/>
      <c r="B267" s="10"/>
      <c r="C267" s="10"/>
      <c r="D267" s="10"/>
      <c r="E267" s="10"/>
      <c r="F267" s="10"/>
      <c r="G267" s="10"/>
      <c r="H267" s="10"/>
    </row>
    <row r="268" spans="1:8" ht="14.25" customHeight="1" x14ac:dyDescent="0.35">
      <c r="A268" s="10"/>
      <c r="B268" s="10"/>
      <c r="C268" s="10"/>
      <c r="D268" s="10"/>
      <c r="E268" s="10"/>
      <c r="F268" s="10"/>
      <c r="G268" s="10"/>
      <c r="H268" s="10"/>
    </row>
    <row r="269" spans="1:8" ht="14.25" customHeight="1" x14ac:dyDescent="0.35">
      <c r="A269" s="10"/>
      <c r="B269" s="10"/>
      <c r="C269" s="10"/>
      <c r="D269" s="10"/>
      <c r="E269" s="10"/>
      <c r="F269" s="10"/>
      <c r="G269" s="10"/>
      <c r="H269" s="10"/>
    </row>
    <row r="270" spans="1:8" ht="14.25" customHeight="1" x14ac:dyDescent="0.35">
      <c r="A270" s="10"/>
      <c r="B270" s="10"/>
      <c r="C270" s="10"/>
      <c r="D270" s="10"/>
      <c r="E270" s="10"/>
      <c r="F270" s="10"/>
      <c r="G270" s="10"/>
      <c r="H270" s="10"/>
    </row>
    <row r="271" spans="1:8" ht="14.25" customHeight="1" x14ac:dyDescent="0.35">
      <c r="A271" s="10"/>
      <c r="B271" s="10"/>
      <c r="C271" s="10"/>
      <c r="D271" s="10"/>
      <c r="E271" s="10"/>
      <c r="F271" s="10"/>
      <c r="G271" s="10"/>
      <c r="H271" s="10"/>
    </row>
    <row r="272" spans="1:8" ht="14.25" customHeight="1" x14ac:dyDescent="0.35">
      <c r="A272" s="10"/>
      <c r="B272" s="10"/>
      <c r="C272" s="10"/>
      <c r="D272" s="10"/>
      <c r="E272" s="10"/>
      <c r="F272" s="10"/>
      <c r="G272" s="10"/>
      <c r="H272" s="10"/>
    </row>
    <row r="273" spans="1:8" ht="14.25" customHeight="1" x14ac:dyDescent="0.35">
      <c r="A273" s="10"/>
      <c r="B273" s="10"/>
      <c r="C273" s="10"/>
      <c r="D273" s="10"/>
      <c r="E273" s="10"/>
      <c r="F273" s="10"/>
      <c r="G273" s="10"/>
      <c r="H273" s="10"/>
    </row>
    <row r="274" spans="1:8" ht="14.25" customHeight="1" x14ac:dyDescent="0.35">
      <c r="A274" s="10"/>
      <c r="B274" s="10"/>
      <c r="C274" s="10"/>
      <c r="D274" s="10"/>
      <c r="E274" s="10"/>
      <c r="F274" s="10"/>
      <c r="G274" s="10"/>
      <c r="H274" s="10"/>
    </row>
    <row r="275" spans="1:8" ht="14.25" customHeight="1" x14ac:dyDescent="0.35">
      <c r="A275" s="10"/>
      <c r="B275" s="10"/>
      <c r="C275" s="10"/>
      <c r="D275" s="10"/>
      <c r="E275" s="10"/>
      <c r="F275" s="10"/>
      <c r="G275" s="10"/>
      <c r="H275" s="10"/>
    </row>
    <row r="276" spans="1:8" ht="14.25" customHeight="1" x14ac:dyDescent="0.35">
      <c r="A276" s="10"/>
      <c r="B276" s="10"/>
      <c r="C276" s="10"/>
      <c r="D276" s="10"/>
      <c r="E276" s="10"/>
      <c r="F276" s="10"/>
      <c r="G276" s="10"/>
      <c r="H276" s="10"/>
    </row>
    <row r="277" spans="1:8" ht="14.25" customHeight="1" x14ac:dyDescent="0.35">
      <c r="A277" s="10"/>
      <c r="B277" s="10"/>
      <c r="C277" s="10"/>
      <c r="D277" s="10"/>
      <c r="E277" s="10"/>
      <c r="F277" s="10"/>
      <c r="G277" s="10"/>
      <c r="H277" s="10"/>
    </row>
    <row r="278" spans="1:8" ht="14.25" customHeight="1" x14ac:dyDescent="0.35">
      <c r="A278" s="10"/>
      <c r="B278" s="10"/>
      <c r="C278" s="10"/>
      <c r="D278" s="10"/>
      <c r="E278" s="10"/>
      <c r="F278" s="10"/>
      <c r="G278" s="10"/>
      <c r="H278" s="10"/>
    </row>
    <row r="279" spans="1:8" ht="14.25" customHeight="1" x14ac:dyDescent="0.35">
      <c r="A279" s="10"/>
      <c r="B279" s="10"/>
      <c r="C279" s="10"/>
      <c r="D279" s="10"/>
      <c r="E279" s="10"/>
      <c r="F279" s="10"/>
      <c r="G279" s="10"/>
      <c r="H279" s="10"/>
    </row>
    <row r="280" spans="1:8" ht="14.25" customHeight="1" x14ac:dyDescent="0.35">
      <c r="A280" s="10"/>
      <c r="B280" s="10"/>
      <c r="C280" s="10"/>
      <c r="D280" s="10"/>
      <c r="E280" s="10"/>
      <c r="F280" s="10"/>
      <c r="G280" s="10"/>
      <c r="H280" s="10"/>
    </row>
    <row r="281" spans="1:8" ht="14.25" customHeight="1" x14ac:dyDescent="0.35">
      <c r="A281" s="10"/>
      <c r="B281" s="10"/>
      <c r="C281" s="10"/>
      <c r="D281" s="10"/>
      <c r="E281" s="10"/>
      <c r="F281" s="10"/>
      <c r="G281" s="10"/>
      <c r="H281" s="10"/>
    </row>
    <row r="282" spans="1:8" ht="14.25" customHeight="1" x14ac:dyDescent="0.35">
      <c r="A282" s="10"/>
      <c r="B282" s="10"/>
      <c r="C282" s="10"/>
      <c r="D282" s="10"/>
      <c r="E282" s="10"/>
      <c r="F282" s="10"/>
      <c r="G282" s="10"/>
      <c r="H282" s="10"/>
    </row>
    <row r="283" spans="1:8" ht="14.25" customHeight="1" x14ac:dyDescent="0.35">
      <c r="A283" s="10"/>
      <c r="B283" s="10"/>
      <c r="C283" s="10"/>
      <c r="D283" s="10"/>
      <c r="E283" s="10"/>
      <c r="F283" s="10"/>
      <c r="G283" s="10"/>
      <c r="H283" s="10"/>
    </row>
    <row r="284" spans="1:8" ht="14.25" customHeight="1" x14ac:dyDescent="0.35">
      <c r="A284" s="10"/>
      <c r="B284" s="10"/>
      <c r="C284" s="10"/>
      <c r="D284" s="10"/>
      <c r="E284" s="10"/>
      <c r="F284" s="10"/>
      <c r="G284" s="10"/>
      <c r="H284" s="10"/>
    </row>
    <row r="285" spans="1:8" ht="14.25" customHeight="1" x14ac:dyDescent="0.35">
      <c r="A285" s="10"/>
      <c r="B285" s="10"/>
      <c r="C285" s="10"/>
      <c r="D285" s="10"/>
      <c r="E285" s="10"/>
      <c r="F285" s="10"/>
      <c r="G285" s="10"/>
      <c r="H285" s="10"/>
    </row>
    <row r="286" spans="1:8" ht="14.25" customHeight="1" x14ac:dyDescent="0.35">
      <c r="A286" s="10"/>
      <c r="B286" s="10"/>
      <c r="C286" s="10"/>
      <c r="D286" s="10"/>
      <c r="E286" s="10"/>
      <c r="F286" s="10"/>
      <c r="G286" s="10"/>
      <c r="H286" s="10"/>
    </row>
    <row r="287" spans="1:8" ht="14.25" customHeight="1" x14ac:dyDescent="0.35">
      <c r="A287" s="10"/>
      <c r="B287" s="10"/>
      <c r="C287" s="10"/>
      <c r="D287" s="10"/>
      <c r="E287" s="10"/>
      <c r="F287" s="10"/>
      <c r="G287" s="10"/>
      <c r="H287" s="10"/>
    </row>
    <row r="288" spans="1:8" ht="14.25" customHeight="1" x14ac:dyDescent="0.35">
      <c r="A288" s="10"/>
      <c r="B288" s="10"/>
      <c r="C288" s="10"/>
      <c r="D288" s="10"/>
      <c r="E288" s="10"/>
      <c r="F288" s="10"/>
      <c r="G288" s="10"/>
      <c r="H288" s="10"/>
    </row>
    <row r="289" spans="1:8" ht="14.25" customHeight="1" x14ac:dyDescent="0.35">
      <c r="A289" s="10"/>
      <c r="B289" s="10"/>
      <c r="C289" s="10"/>
      <c r="D289" s="10"/>
      <c r="E289" s="10"/>
      <c r="F289" s="10"/>
      <c r="G289" s="10"/>
      <c r="H289" s="10"/>
    </row>
    <row r="290" spans="1:8" ht="14.25" customHeight="1" x14ac:dyDescent="0.35">
      <c r="A290" s="10"/>
      <c r="B290" s="10"/>
      <c r="C290" s="10"/>
      <c r="D290" s="10"/>
      <c r="E290" s="10"/>
      <c r="F290" s="10"/>
      <c r="G290" s="10"/>
      <c r="H290" s="10"/>
    </row>
    <row r="291" spans="1:8" ht="14.25" customHeight="1" x14ac:dyDescent="0.35">
      <c r="A291" s="10"/>
      <c r="B291" s="10"/>
      <c r="C291" s="10"/>
      <c r="D291" s="10"/>
      <c r="E291" s="10"/>
      <c r="F291" s="10"/>
      <c r="G291" s="10"/>
      <c r="H291" s="10"/>
    </row>
    <row r="292" spans="1:8" ht="14.25" customHeight="1" x14ac:dyDescent="0.35">
      <c r="A292" s="10"/>
      <c r="B292" s="10"/>
      <c r="C292" s="10"/>
      <c r="D292" s="10"/>
      <c r="E292" s="10"/>
      <c r="F292" s="10"/>
      <c r="G292" s="10"/>
      <c r="H292" s="10"/>
    </row>
    <row r="293" spans="1:8" ht="14.25" customHeight="1" x14ac:dyDescent="0.35">
      <c r="A293" s="10"/>
      <c r="B293" s="10"/>
      <c r="C293" s="10"/>
      <c r="D293" s="10"/>
      <c r="E293" s="10"/>
      <c r="F293" s="10"/>
      <c r="G293" s="10"/>
      <c r="H293" s="10"/>
    </row>
    <row r="294" spans="1:8" ht="14.25" customHeight="1" x14ac:dyDescent="0.35">
      <c r="A294" s="10"/>
      <c r="B294" s="10"/>
      <c r="C294" s="10"/>
      <c r="D294" s="10"/>
      <c r="E294" s="10"/>
      <c r="F294" s="10"/>
      <c r="G294" s="10"/>
      <c r="H294" s="10"/>
    </row>
    <row r="295" spans="1:8" ht="14.25" customHeight="1" x14ac:dyDescent="0.35">
      <c r="A295" s="10"/>
      <c r="B295" s="10"/>
      <c r="C295" s="10"/>
      <c r="D295" s="10"/>
      <c r="E295" s="10"/>
      <c r="F295" s="10"/>
      <c r="G295" s="10"/>
      <c r="H295" s="10"/>
    </row>
    <row r="296" spans="1:8" ht="14.25" customHeight="1" x14ac:dyDescent="0.35">
      <c r="A296" s="10"/>
      <c r="B296" s="10"/>
      <c r="C296" s="10"/>
      <c r="D296" s="10"/>
      <c r="E296" s="10"/>
      <c r="F296" s="10"/>
      <c r="G296" s="10"/>
      <c r="H296" s="10"/>
    </row>
    <row r="297" spans="1:8" ht="14.25" customHeight="1" x14ac:dyDescent="0.35">
      <c r="A297" s="10"/>
      <c r="B297" s="10"/>
      <c r="C297" s="10"/>
      <c r="D297" s="10"/>
      <c r="E297" s="10"/>
      <c r="F297" s="10"/>
      <c r="G297" s="10"/>
      <c r="H297" s="10"/>
    </row>
    <row r="298" spans="1:8" ht="14.25" customHeight="1" x14ac:dyDescent="0.35">
      <c r="A298" s="10"/>
      <c r="B298" s="10"/>
      <c r="C298" s="10"/>
      <c r="D298" s="10"/>
      <c r="E298" s="10"/>
      <c r="F298" s="10"/>
      <c r="G298" s="10"/>
      <c r="H298" s="10"/>
    </row>
    <row r="299" spans="1:8" ht="14.25" customHeight="1" x14ac:dyDescent="0.35">
      <c r="A299" s="10"/>
      <c r="B299" s="10"/>
      <c r="C299" s="10"/>
      <c r="D299" s="10"/>
      <c r="E299" s="10"/>
      <c r="F299" s="10"/>
      <c r="G299" s="10"/>
      <c r="H299" s="10"/>
    </row>
    <row r="300" spans="1:8" ht="14.25" customHeight="1" x14ac:dyDescent="0.35">
      <c r="A300" s="10"/>
      <c r="B300" s="10"/>
      <c r="C300" s="10"/>
      <c r="D300" s="10"/>
      <c r="E300" s="10"/>
      <c r="F300" s="10"/>
      <c r="G300" s="10"/>
      <c r="H300" s="10"/>
    </row>
    <row r="301" spans="1:8" ht="14.25" customHeight="1" x14ac:dyDescent="0.35">
      <c r="A301" s="10"/>
      <c r="B301" s="10"/>
      <c r="C301" s="10"/>
      <c r="D301" s="10"/>
      <c r="E301" s="10"/>
      <c r="F301" s="10"/>
      <c r="G301" s="10"/>
      <c r="H301" s="10"/>
    </row>
    <row r="302" spans="1:8" ht="14.25" customHeight="1" x14ac:dyDescent="0.35">
      <c r="A302" s="10"/>
      <c r="B302" s="10"/>
      <c r="C302" s="10"/>
      <c r="D302" s="10"/>
      <c r="E302" s="10"/>
      <c r="F302" s="10"/>
      <c r="G302" s="10"/>
      <c r="H302" s="10"/>
    </row>
    <row r="303" spans="1:8" ht="14.25" customHeight="1" x14ac:dyDescent="0.35">
      <c r="A303" s="10"/>
      <c r="B303" s="10"/>
      <c r="C303" s="10"/>
      <c r="D303" s="10"/>
      <c r="E303" s="10"/>
      <c r="F303" s="10"/>
      <c r="G303" s="10"/>
      <c r="H303" s="10"/>
    </row>
    <row r="304" spans="1:8" ht="14.25" customHeight="1" x14ac:dyDescent="0.35">
      <c r="A304" s="10"/>
      <c r="B304" s="10"/>
      <c r="C304" s="10"/>
      <c r="D304" s="10"/>
      <c r="E304" s="10"/>
      <c r="F304" s="10"/>
      <c r="G304" s="10"/>
      <c r="H304" s="10"/>
    </row>
    <row r="305" spans="1:8" ht="14.25" customHeight="1" x14ac:dyDescent="0.35">
      <c r="A305" s="10"/>
      <c r="B305" s="10"/>
      <c r="C305" s="10"/>
      <c r="D305" s="10"/>
      <c r="E305" s="10"/>
      <c r="F305" s="10"/>
      <c r="G305" s="10"/>
      <c r="H305" s="10"/>
    </row>
    <row r="306" spans="1:8" ht="14.25" customHeight="1" x14ac:dyDescent="0.35">
      <c r="A306" s="10"/>
      <c r="B306" s="10"/>
      <c r="C306" s="10"/>
      <c r="D306" s="10"/>
      <c r="E306" s="10"/>
      <c r="F306" s="10"/>
      <c r="G306" s="10"/>
      <c r="H306" s="10"/>
    </row>
    <row r="307" spans="1:8" ht="14.25" customHeight="1" x14ac:dyDescent="0.35">
      <c r="A307" s="10"/>
      <c r="B307" s="10"/>
      <c r="C307" s="10"/>
      <c r="D307" s="10"/>
      <c r="E307" s="10"/>
      <c r="F307" s="10"/>
      <c r="G307" s="10"/>
      <c r="H307" s="10"/>
    </row>
    <row r="308" spans="1:8" ht="14.25" customHeight="1" x14ac:dyDescent="0.35">
      <c r="A308" s="10"/>
      <c r="B308" s="10"/>
      <c r="C308" s="10"/>
      <c r="D308" s="10"/>
      <c r="E308" s="10"/>
      <c r="F308" s="10"/>
      <c r="G308" s="10"/>
      <c r="H308" s="10"/>
    </row>
    <row r="309" spans="1:8" ht="14.25" customHeight="1" x14ac:dyDescent="0.35">
      <c r="A309" s="10"/>
      <c r="B309" s="10"/>
      <c r="C309" s="10"/>
      <c r="D309" s="10"/>
      <c r="E309" s="10"/>
      <c r="F309" s="10"/>
      <c r="G309" s="10"/>
      <c r="H309" s="10"/>
    </row>
    <row r="310" spans="1:8" ht="14.25" customHeight="1" x14ac:dyDescent="0.35">
      <c r="A310" s="10"/>
      <c r="B310" s="10"/>
      <c r="C310" s="10"/>
      <c r="D310" s="10"/>
      <c r="E310" s="10"/>
      <c r="F310" s="10"/>
      <c r="G310" s="10"/>
      <c r="H310" s="10"/>
    </row>
    <row r="311" spans="1:8" ht="14.25" customHeight="1" x14ac:dyDescent="0.35">
      <c r="A311" s="10"/>
      <c r="B311" s="10"/>
      <c r="C311" s="10"/>
      <c r="D311" s="10"/>
      <c r="E311" s="10"/>
      <c r="F311" s="10"/>
      <c r="G311" s="10"/>
      <c r="H311" s="10"/>
    </row>
    <row r="312" spans="1:8" ht="14.25" customHeight="1" x14ac:dyDescent="0.35">
      <c r="A312" s="10"/>
      <c r="B312" s="10"/>
      <c r="C312" s="10"/>
      <c r="D312" s="10"/>
      <c r="E312" s="10"/>
      <c r="F312" s="10"/>
      <c r="G312" s="10"/>
      <c r="H312" s="10"/>
    </row>
    <row r="313" spans="1:8" ht="14.25" customHeight="1" x14ac:dyDescent="0.35">
      <c r="A313" s="10"/>
      <c r="B313" s="10"/>
      <c r="C313" s="10"/>
      <c r="D313" s="10"/>
      <c r="E313" s="10"/>
      <c r="F313" s="10"/>
      <c r="G313" s="10"/>
      <c r="H313" s="10"/>
    </row>
    <row r="314" spans="1:8" ht="14.25" customHeight="1" x14ac:dyDescent="0.35">
      <c r="A314" s="10"/>
      <c r="B314" s="10"/>
      <c r="C314" s="10"/>
      <c r="D314" s="10"/>
      <c r="E314" s="10"/>
      <c r="F314" s="10"/>
      <c r="G314" s="10"/>
      <c r="H314" s="10"/>
    </row>
    <row r="315" spans="1:8" ht="14.25" customHeight="1" x14ac:dyDescent="0.35">
      <c r="A315" s="10"/>
      <c r="B315" s="10"/>
      <c r="C315" s="10"/>
      <c r="D315" s="10"/>
      <c r="E315" s="10"/>
      <c r="F315" s="10"/>
      <c r="G315" s="10"/>
      <c r="H315" s="10"/>
    </row>
    <row r="316" spans="1:8" ht="14.25" customHeight="1" x14ac:dyDescent="0.35">
      <c r="A316" s="10"/>
      <c r="B316" s="10"/>
      <c r="C316" s="10"/>
      <c r="D316" s="10"/>
      <c r="E316" s="10"/>
      <c r="F316" s="10"/>
      <c r="G316" s="10"/>
      <c r="H316" s="10"/>
    </row>
    <row r="317" spans="1:8" ht="14.25" customHeight="1" x14ac:dyDescent="0.35">
      <c r="A317" s="10"/>
      <c r="B317" s="10"/>
      <c r="C317" s="10"/>
      <c r="D317" s="10"/>
      <c r="E317" s="10"/>
      <c r="F317" s="10"/>
      <c r="G317" s="10"/>
      <c r="H317" s="10"/>
    </row>
    <row r="318" spans="1:8" ht="14.25" customHeight="1" x14ac:dyDescent="0.35">
      <c r="A318" s="10"/>
      <c r="B318" s="10"/>
      <c r="C318" s="10"/>
      <c r="D318" s="10"/>
      <c r="E318" s="10"/>
      <c r="F318" s="10"/>
      <c r="G318" s="10"/>
      <c r="H318" s="10"/>
    </row>
    <row r="319" spans="1:8" ht="14.25" customHeight="1" x14ac:dyDescent="0.35">
      <c r="A319" s="10"/>
      <c r="B319" s="10"/>
      <c r="C319" s="10"/>
      <c r="D319" s="10"/>
      <c r="E319" s="10"/>
      <c r="F319" s="10"/>
      <c r="G319" s="10"/>
      <c r="H319" s="10"/>
    </row>
    <row r="320" spans="1:8" ht="14.25" customHeight="1" x14ac:dyDescent="0.35">
      <c r="A320" s="10"/>
      <c r="B320" s="10"/>
      <c r="C320" s="10"/>
      <c r="D320" s="10"/>
      <c r="E320" s="10"/>
      <c r="F320" s="10"/>
      <c r="G320" s="10"/>
      <c r="H320" s="10"/>
    </row>
    <row r="321" spans="1:8" ht="14.25" customHeight="1" x14ac:dyDescent="0.35">
      <c r="A321" s="10"/>
      <c r="B321" s="10"/>
      <c r="C321" s="10"/>
      <c r="D321" s="10"/>
      <c r="E321" s="10"/>
      <c r="F321" s="10"/>
      <c r="G321" s="10"/>
      <c r="H321" s="10"/>
    </row>
    <row r="322" spans="1:8" ht="14.25" customHeight="1" x14ac:dyDescent="0.35">
      <c r="A322" s="10"/>
      <c r="B322" s="10"/>
      <c r="C322" s="10"/>
      <c r="D322" s="10"/>
      <c r="E322" s="10"/>
      <c r="F322" s="10"/>
      <c r="G322" s="10"/>
      <c r="H322" s="10"/>
    </row>
    <row r="323" spans="1:8" ht="14.25" customHeight="1" x14ac:dyDescent="0.35">
      <c r="A323" s="10"/>
      <c r="B323" s="10"/>
      <c r="C323" s="10"/>
      <c r="D323" s="10"/>
      <c r="E323" s="10"/>
      <c r="F323" s="10"/>
      <c r="G323" s="10"/>
      <c r="H323" s="10"/>
    </row>
    <row r="324" spans="1:8" ht="14.25" customHeight="1" x14ac:dyDescent="0.35">
      <c r="A324" s="10"/>
      <c r="B324" s="10"/>
      <c r="C324" s="10"/>
      <c r="D324" s="10"/>
      <c r="E324" s="10"/>
      <c r="F324" s="10"/>
      <c r="G324" s="10"/>
      <c r="H324" s="10"/>
    </row>
    <row r="325" spans="1:8" ht="14.25" customHeight="1" x14ac:dyDescent="0.35">
      <c r="A325" s="10"/>
      <c r="B325" s="10"/>
      <c r="C325" s="10"/>
      <c r="D325" s="10"/>
      <c r="E325" s="10"/>
      <c r="F325" s="10"/>
      <c r="G325" s="10"/>
      <c r="H325" s="10"/>
    </row>
    <row r="326" spans="1:8" ht="14.25" customHeight="1" x14ac:dyDescent="0.35">
      <c r="A326" s="10"/>
      <c r="B326" s="10"/>
      <c r="C326" s="10"/>
      <c r="D326" s="10"/>
      <c r="E326" s="10"/>
      <c r="F326" s="10"/>
      <c r="G326" s="10"/>
      <c r="H326" s="10"/>
    </row>
    <row r="327" spans="1:8" ht="14.25" customHeight="1" x14ac:dyDescent="0.35">
      <c r="A327" s="10"/>
      <c r="B327" s="10"/>
      <c r="C327" s="10"/>
      <c r="D327" s="10"/>
      <c r="E327" s="10"/>
      <c r="F327" s="10"/>
      <c r="G327" s="10"/>
      <c r="H327" s="10"/>
    </row>
    <row r="328" spans="1:8" ht="14.25" customHeight="1" x14ac:dyDescent="0.35">
      <c r="A328" s="10"/>
      <c r="B328" s="10"/>
      <c r="C328" s="10"/>
      <c r="D328" s="10"/>
      <c r="E328" s="10"/>
      <c r="F328" s="10"/>
      <c r="G328" s="10"/>
      <c r="H328" s="10"/>
    </row>
    <row r="329" spans="1:8" ht="14.25" customHeight="1" x14ac:dyDescent="0.35">
      <c r="A329" s="10"/>
      <c r="B329" s="10"/>
      <c r="C329" s="10"/>
      <c r="D329" s="10"/>
      <c r="E329" s="10"/>
      <c r="F329" s="10"/>
      <c r="G329" s="10"/>
      <c r="H329" s="10"/>
    </row>
    <row r="330" spans="1:8" ht="14.25" customHeight="1" x14ac:dyDescent="0.35">
      <c r="A330" s="10"/>
      <c r="B330" s="10"/>
      <c r="C330" s="10"/>
      <c r="D330" s="10"/>
      <c r="E330" s="10"/>
      <c r="F330" s="10"/>
      <c r="G330" s="10"/>
      <c r="H330" s="10"/>
    </row>
    <row r="331" spans="1:8" ht="14.25" customHeight="1" x14ac:dyDescent="0.35">
      <c r="A331" s="10"/>
      <c r="B331" s="10"/>
      <c r="C331" s="10"/>
      <c r="D331" s="10"/>
      <c r="E331" s="10"/>
      <c r="F331" s="10"/>
      <c r="G331" s="10"/>
      <c r="H331" s="10"/>
    </row>
    <row r="332" spans="1:8" ht="14.25" customHeight="1" x14ac:dyDescent="0.35">
      <c r="A332" s="10"/>
      <c r="B332" s="10"/>
      <c r="C332" s="10"/>
      <c r="D332" s="10"/>
      <c r="E332" s="10"/>
      <c r="F332" s="10"/>
      <c r="G332" s="10"/>
      <c r="H332" s="10"/>
    </row>
    <row r="333" spans="1:8" ht="14.25" customHeight="1" x14ac:dyDescent="0.35">
      <c r="A333" s="10"/>
      <c r="B333" s="10"/>
      <c r="C333" s="10"/>
      <c r="D333" s="10"/>
      <c r="E333" s="10"/>
      <c r="F333" s="10"/>
      <c r="G333" s="10"/>
      <c r="H333" s="10"/>
    </row>
    <row r="334" spans="1:8" ht="14.25" customHeight="1" x14ac:dyDescent="0.35">
      <c r="A334" s="10"/>
      <c r="B334" s="10"/>
      <c r="C334" s="10"/>
      <c r="D334" s="10"/>
      <c r="E334" s="10"/>
      <c r="F334" s="10"/>
      <c r="G334" s="10"/>
      <c r="H334" s="10"/>
    </row>
    <row r="335" spans="1:8" ht="14.25" customHeight="1" x14ac:dyDescent="0.35">
      <c r="A335" s="10"/>
      <c r="B335" s="10"/>
      <c r="C335" s="10"/>
      <c r="D335" s="10"/>
      <c r="E335" s="10"/>
      <c r="F335" s="10"/>
      <c r="G335" s="10"/>
      <c r="H335" s="10"/>
    </row>
    <row r="336" spans="1:8" ht="14.25" customHeight="1" x14ac:dyDescent="0.35">
      <c r="A336" s="10"/>
      <c r="B336" s="10"/>
      <c r="C336" s="10"/>
      <c r="D336" s="10"/>
      <c r="E336" s="10"/>
      <c r="F336" s="10"/>
      <c r="G336" s="10"/>
      <c r="H336" s="10"/>
    </row>
    <row r="337" spans="1:8" ht="14.25" customHeight="1" x14ac:dyDescent="0.35">
      <c r="A337" s="10"/>
      <c r="B337" s="10"/>
      <c r="C337" s="10"/>
      <c r="D337" s="10"/>
      <c r="E337" s="10"/>
      <c r="F337" s="10"/>
      <c r="G337" s="10"/>
      <c r="H337" s="10"/>
    </row>
    <row r="338" spans="1:8" ht="14.25" customHeight="1" x14ac:dyDescent="0.35">
      <c r="A338" s="10"/>
      <c r="B338" s="10"/>
      <c r="C338" s="10"/>
      <c r="D338" s="10"/>
      <c r="E338" s="10"/>
      <c r="F338" s="10"/>
      <c r="G338" s="10"/>
      <c r="H338" s="10"/>
    </row>
    <row r="339" spans="1:8" ht="14.25" customHeight="1" x14ac:dyDescent="0.35">
      <c r="A339" s="10"/>
      <c r="B339" s="10"/>
      <c r="C339" s="10"/>
      <c r="D339" s="10"/>
      <c r="E339" s="10"/>
      <c r="F339" s="10"/>
      <c r="G339" s="10"/>
      <c r="H339" s="10"/>
    </row>
    <row r="340" spans="1:8" ht="14.25" customHeight="1" x14ac:dyDescent="0.35">
      <c r="A340" s="10"/>
      <c r="B340" s="10"/>
      <c r="C340" s="10"/>
      <c r="D340" s="10"/>
      <c r="E340" s="10"/>
      <c r="F340" s="10"/>
      <c r="G340" s="10"/>
      <c r="H340" s="10"/>
    </row>
    <row r="341" spans="1:8" ht="14.25" customHeight="1" x14ac:dyDescent="0.35">
      <c r="A341" s="10"/>
      <c r="B341" s="10"/>
      <c r="C341" s="10"/>
      <c r="D341" s="10"/>
      <c r="E341" s="10"/>
      <c r="F341" s="10"/>
      <c r="G341" s="10"/>
      <c r="H341" s="10"/>
    </row>
    <row r="342" spans="1:8" ht="14.25" customHeight="1" x14ac:dyDescent="0.35">
      <c r="A342" s="10"/>
      <c r="B342" s="10"/>
      <c r="C342" s="10"/>
      <c r="D342" s="10"/>
      <c r="E342" s="10"/>
      <c r="F342" s="10"/>
      <c r="G342" s="10"/>
      <c r="H342" s="10"/>
    </row>
    <row r="343" spans="1:8" ht="14.25" customHeight="1" x14ac:dyDescent="0.35">
      <c r="A343" s="10"/>
      <c r="B343" s="10"/>
      <c r="C343" s="10"/>
      <c r="D343" s="10"/>
      <c r="E343" s="10"/>
      <c r="F343" s="10"/>
      <c r="G343" s="10"/>
      <c r="H343" s="10"/>
    </row>
    <row r="344" spans="1:8" ht="14.25" customHeight="1" x14ac:dyDescent="0.35">
      <c r="A344" s="10"/>
      <c r="B344" s="10"/>
      <c r="C344" s="10"/>
      <c r="D344" s="10"/>
      <c r="E344" s="10"/>
      <c r="F344" s="10"/>
      <c r="G344" s="10"/>
      <c r="H344" s="10"/>
    </row>
    <row r="345" spans="1:8" ht="14.25" customHeight="1" x14ac:dyDescent="0.35">
      <c r="A345" s="10"/>
      <c r="B345" s="10"/>
      <c r="C345" s="10"/>
      <c r="D345" s="10"/>
      <c r="E345" s="10"/>
      <c r="F345" s="10"/>
      <c r="G345" s="10"/>
      <c r="H345" s="10"/>
    </row>
    <row r="346" spans="1:8" ht="14.25" customHeight="1" x14ac:dyDescent="0.35">
      <c r="A346" s="10"/>
      <c r="B346" s="10"/>
      <c r="C346" s="10"/>
      <c r="D346" s="10"/>
      <c r="E346" s="10"/>
      <c r="F346" s="10"/>
      <c r="G346" s="10"/>
      <c r="H346" s="10"/>
    </row>
    <row r="347" spans="1:8" ht="14.25" customHeight="1" x14ac:dyDescent="0.35">
      <c r="A347" s="10"/>
      <c r="B347" s="10"/>
      <c r="C347" s="10"/>
      <c r="D347" s="10"/>
      <c r="E347" s="10"/>
      <c r="F347" s="10"/>
      <c r="G347" s="10"/>
      <c r="H347" s="10"/>
    </row>
    <row r="348" spans="1:8" ht="14.25" customHeight="1" x14ac:dyDescent="0.35">
      <c r="A348" s="10"/>
      <c r="B348" s="10"/>
      <c r="C348" s="10"/>
      <c r="D348" s="10"/>
      <c r="E348" s="10"/>
      <c r="F348" s="10"/>
      <c r="G348" s="10"/>
      <c r="H348" s="10"/>
    </row>
    <row r="349" spans="1:8" ht="14.25" customHeight="1" x14ac:dyDescent="0.35">
      <c r="A349" s="10"/>
      <c r="B349" s="10"/>
      <c r="C349" s="10"/>
      <c r="D349" s="10"/>
      <c r="E349" s="10"/>
      <c r="F349" s="10"/>
      <c r="G349" s="10"/>
      <c r="H349" s="10"/>
    </row>
    <row r="350" spans="1:8" ht="14.25" customHeight="1" x14ac:dyDescent="0.35">
      <c r="A350" s="10"/>
      <c r="B350" s="10"/>
      <c r="C350" s="10"/>
      <c r="D350" s="10"/>
      <c r="E350" s="10"/>
      <c r="F350" s="10"/>
      <c r="G350" s="10"/>
      <c r="H350" s="10"/>
    </row>
    <row r="351" spans="1:8" ht="14.25" customHeight="1" x14ac:dyDescent="0.35">
      <c r="A351" s="10"/>
      <c r="B351" s="10"/>
      <c r="C351" s="10"/>
      <c r="D351" s="10"/>
      <c r="E351" s="10"/>
      <c r="F351" s="10"/>
      <c r="G351" s="10"/>
      <c r="H351" s="10"/>
    </row>
    <row r="352" spans="1:8" ht="14.25" customHeight="1" x14ac:dyDescent="0.35">
      <c r="A352" s="10"/>
      <c r="B352" s="10"/>
      <c r="C352" s="10"/>
      <c r="D352" s="10"/>
      <c r="E352" s="10"/>
      <c r="F352" s="10"/>
      <c r="G352" s="10"/>
      <c r="H352" s="10"/>
    </row>
    <row r="353" spans="1:8" ht="14.25" customHeight="1" x14ac:dyDescent="0.35">
      <c r="A353" s="10"/>
      <c r="B353" s="10"/>
      <c r="C353" s="10"/>
      <c r="D353" s="10"/>
      <c r="E353" s="10"/>
      <c r="F353" s="10"/>
      <c r="G353" s="10"/>
      <c r="H353" s="10"/>
    </row>
    <row r="354" spans="1:8" ht="14.25" customHeight="1" x14ac:dyDescent="0.35">
      <c r="A354" s="10"/>
      <c r="B354" s="10"/>
      <c r="C354" s="10"/>
      <c r="D354" s="10"/>
      <c r="E354" s="10"/>
      <c r="F354" s="10"/>
      <c r="G354" s="10"/>
      <c r="H354" s="10"/>
    </row>
    <row r="355" spans="1:8" ht="14.25" customHeight="1" x14ac:dyDescent="0.35">
      <c r="A355" s="10"/>
      <c r="B355" s="10"/>
      <c r="C355" s="10"/>
      <c r="D355" s="10"/>
      <c r="E355" s="10"/>
      <c r="F355" s="10"/>
      <c r="G355" s="10"/>
      <c r="H355" s="10"/>
    </row>
    <row r="356" spans="1:8" ht="14.25" customHeight="1" x14ac:dyDescent="0.35">
      <c r="A356" s="10"/>
      <c r="B356" s="10"/>
      <c r="C356" s="10"/>
      <c r="D356" s="10"/>
      <c r="E356" s="10"/>
      <c r="F356" s="10"/>
      <c r="G356" s="10"/>
      <c r="H356" s="10"/>
    </row>
    <row r="357" spans="1:8" ht="14.25" customHeight="1" x14ac:dyDescent="0.35">
      <c r="A357" s="10"/>
      <c r="B357" s="10"/>
      <c r="C357" s="10"/>
      <c r="D357" s="10"/>
      <c r="E357" s="10"/>
      <c r="F357" s="10"/>
      <c r="G357" s="10"/>
      <c r="H357" s="10"/>
    </row>
    <row r="358" spans="1:8" ht="14.25" customHeight="1" x14ac:dyDescent="0.35">
      <c r="A358" s="10"/>
      <c r="B358" s="10"/>
      <c r="C358" s="10"/>
      <c r="D358" s="10"/>
      <c r="E358" s="10"/>
      <c r="F358" s="10"/>
      <c r="G358" s="10"/>
      <c r="H358" s="10"/>
    </row>
    <row r="359" spans="1:8" ht="14.25" customHeight="1" x14ac:dyDescent="0.35">
      <c r="A359" s="10"/>
      <c r="B359" s="10"/>
      <c r="C359" s="10"/>
      <c r="D359" s="10"/>
      <c r="E359" s="10"/>
      <c r="F359" s="10"/>
      <c r="G359" s="10"/>
      <c r="H359" s="10"/>
    </row>
    <row r="360" spans="1:8" ht="14.25" customHeight="1" x14ac:dyDescent="0.35">
      <c r="A360" s="10"/>
      <c r="B360" s="10"/>
      <c r="C360" s="10"/>
      <c r="D360" s="10"/>
      <c r="E360" s="10"/>
      <c r="F360" s="10"/>
      <c r="G360" s="10"/>
      <c r="H360" s="10"/>
    </row>
    <row r="361" spans="1:8" ht="14.25" customHeight="1" x14ac:dyDescent="0.35">
      <c r="A361" s="10"/>
      <c r="B361" s="10"/>
      <c r="C361" s="10"/>
      <c r="D361" s="10"/>
      <c r="E361" s="10"/>
      <c r="F361" s="10"/>
      <c r="G361" s="10"/>
      <c r="H361" s="10"/>
    </row>
    <row r="362" spans="1:8" ht="14.25" customHeight="1" x14ac:dyDescent="0.35">
      <c r="A362" s="10"/>
      <c r="B362" s="10"/>
      <c r="C362" s="10"/>
      <c r="D362" s="10"/>
      <c r="E362" s="10"/>
      <c r="F362" s="10"/>
      <c r="G362" s="10"/>
      <c r="H362" s="10"/>
    </row>
    <row r="363" spans="1:8" ht="14.25" customHeight="1" x14ac:dyDescent="0.35">
      <c r="A363" s="10"/>
      <c r="B363" s="10"/>
      <c r="C363" s="10"/>
      <c r="D363" s="10"/>
      <c r="E363" s="10"/>
      <c r="F363" s="10"/>
      <c r="G363" s="10"/>
      <c r="H363" s="10"/>
    </row>
    <row r="364" spans="1:8" ht="14.25" customHeight="1" x14ac:dyDescent="0.35">
      <c r="A364" s="10"/>
      <c r="B364" s="10"/>
      <c r="C364" s="10"/>
      <c r="D364" s="10"/>
      <c r="E364" s="10"/>
      <c r="F364" s="10"/>
      <c r="G364" s="10"/>
      <c r="H364" s="10"/>
    </row>
    <row r="365" spans="1:8" ht="14.25" customHeight="1" x14ac:dyDescent="0.35">
      <c r="A365" s="10"/>
      <c r="B365" s="10"/>
      <c r="C365" s="10"/>
      <c r="D365" s="10"/>
      <c r="E365" s="10"/>
      <c r="F365" s="10"/>
      <c r="G365" s="10"/>
      <c r="H365" s="10"/>
    </row>
    <row r="366" spans="1:8" ht="14.25" customHeight="1" x14ac:dyDescent="0.35">
      <c r="A366" s="10"/>
      <c r="B366" s="10"/>
      <c r="C366" s="10"/>
      <c r="D366" s="10"/>
      <c r="E366" s="10"/>
      <c r="F366" s="10"/>
      <c r="G366" s="10"/>
      <c r="H366" s="10"/>
    </row>
    <row r="367" spans="1:8" ht="14.25" customHeight="1" x14ac:dyDescent="0.35">
      <c r="A367" s="10"/>
      <c r="B367" s="10"/>
      <c r="C367" s="10"/>
      <c r="D367" s="10"/>
      <c r="E367" s="10"/>
      <c r="F367" s="10"/>
      <c r="G367" s="10"/>
      <c r="H367" s="10"/>
    </row>
    <row r="368" spans="1:8" ht="14.25" customHeight="1" x14ac:dyDescent="0.35">
      <c r="A368" s="10"/>
      <c r="B368" s="10"/>
      <c r="C368" s="10"/>
      <c r="D368" s="10"/>
      <c r="E368" s="10"/>
      <c r="F368" s="10"/>
      <c r="G368" s="10"/>
      <c r="H368" s="10"/>
    </row>
    <row r="369" spans="1:8" ht="14.25" customHeight="1" x14ac:dyDescent="0.35">
      <c r="A369" s="10"/>
      <c r="B369" s="10"/>
      <c r="C369" s="10"/>
      <c r="D369" s="10"/>
      <c r="E369" s="10"/>
      <c r="F369" s="10"/>
      <c r="G369" s="10"/>
      <c r="H369" s="10"/>
    </row>
    <row r="370" spans="1:8" ht="14.25" customHeight="1" x14ac:dyDescent="0.35">
      <c r="A370" s="10"/>
      <c r="B370" s="10"/>
      <c r="C370" s="10"/>
      <c r="D370" s="10"/>
      <c r="E370" s="10"/>
      <c r="F370" s="10"/>
      <c r="G370" s="10"/>
      <c r="H370" s="10"/>
    </row>
    <row r="371" spans="1:8" ht="14.25" customHeight="1" x14ac:dyDescent="0.35">
      <c r="A371" s="10"/>
      <c r="B371" s="10"/>
      <c r="C371" s="10"/>
      <c r="D371" s="10"/>
      <c r="E371" s="10"/>
      <c r="F371" s="10"/>
      <c r="G371" s="10"/>
      <c r="H371" s="10"/>
    </row>
    <row r="372" spans="1:8" ht="14.25" customHeight="1" x14ac:dyDescent="0.35">
      <c r="A372" s="10"/>
      <c r="B372" s="10"/>
      <c r="C372" s="10"/>
      <c r="D372" s="10"/>
      <c r="E372" s="10"/>
      <c r="F372" s="10"/>
      <c r="G372" s="10"/>
      <c r="H372" s="10"/>
    </row>
    <row r="373" spans="1:8" ht="14.25" customHeight="1" x14ac:dyDescent="0.35">
      <c r="A373" s="10"/>
      <c r="B373" s="10"/>
      <c r="C373" s="10"/>
      <c r="D373" s="10"/>
      <c r="E373" s="10"/>
      <c r="F373" s="10"/>
      <c r="G373" s="10"/>
      <c r="H373" s="10"/>
    </row>
    <row r="374" spans="1:8" ht="14.25" customHeight="1" x14ac:dyDescent="0.35">
      <c r="A374" s="10"/>
      <c r="B374" s="10"/>
      <c r="C374" s="10"/>
      <c r="D374" s="10"/>
      <c r="E374" s="10"/>
      <c r="F374" s="10"/>
      <c r="G374" s="10"/>
      <c r="H374" s="10"/>
    </row>
    <row r="375" spans="1:8" ht="14.25" customHeight="1" x14ac:dyDescent="0.35">
      <c r="A375" s="10"/>
      <c r="B375" s="10"/>
      <c r="C375" s="10"/>
      <c r="D375" s="10"/>
      <c r="E375" s="10"/>
      <c r="F375" s="10"/>
      <c r="G375" s="10"/>
      <c r="H375" s="10"/>
    </row>
    <row r="376" spans="1:8" ht="14.25" customHeight="1" x14ac:dyDescent="0.35">
      <c r="A376" s="10"/>
      <c r="B376" s="10"/>
      <c r="C376" s="10"/>
      <c r="D376" s="10"/>
      <c r="E376" s="10"/>
      <c r="F376" s="10"/>
      <c r="G376" s="10"/>
      <c r="H376" s="10"/>
    </row>
    <row r="377" spans="1:8" ht="14.25" customHeight="1" x14ac:dyDescent="0.35">
      <c r="A377" s="10"/>
      <c r="B377" s="10"/>
      <c r="C377" s="10"/>
      <c r="D377" s="10"/>
      <c r="E377" s="10"/>
      <c r="F377" s="10"/>
      <c r="G377" s="10"/>
      <c r="H377" s="10"/>
    </row>
    <row r="378" spans="1:8" ht="14.25" customHeight="1" x14ac:dyDescent="0.35">
      <c r="A378" s="10"/>
      <c r="B378" s="10"/>
      <c r="C378" s="10"/>
      <c r="D378" s="10"/>
      <c r="E378" s="10"/>
      <c r="F378" s="10"/>
      <c r="G378" s="10"/>
      <c r="H378" s="10"/>
    </row>
    <row r="379" spans="1:8" ht="14.25" customHeight="1" x14ac:dyDescent="0.35">
      <c r="A379" s="10"/>
      <c r="B379" s="10"/>
      <c r="C379" s="10"/>
      <c r="D379" s="10"/>
      <c r="E379" s="10"/>
      <c r="F379" s="10"/>
      <c r="G379" s="10"/>
      <c r="H379" s="10"/>
    </row>
    <row r="380" spans="1:8" ht="14.25" customHeight="1" x14ac:dyDescent="0.35">
      <c r="A380" s="10"/>
      <c r="B380" s="10"/>
      <c r="C380" s="10"/>
      <c r="D380" s="10"/>
      <c r="E380" s="10"/>
      <c r="F380" s="10"/>
      <c r="G380" s="10"/>
      <c r="H380" s="10"/>
    </row>
    <row r="381" spans="1:8" ht="14.25" customHeight="1" x14ac:dyDescent="0.35">
      <c r="A381" s="10"/>
      <c r="B381" s="10"/>
      <c r="C381" s="10"/>
      <c r="D381" s="10"/>
      <c r="E381" s="10"/>
      <c r="F381" s="10"/>
      <c r="G381" s="10"/>
      <c r="H381" s="10"/>
    </row>
    <row r="382" spans="1:8" ht="14.25" customHeight="1" x14ac:dyDescent="0.35">
      <c r="A382" s="10"/>
      <c r="B382" s="10"/>
      <c r="C382" s="10"/>
      <c r="D382" s="10"/>
      <c r="E382" s="10"/>
      <c r="F382" s="10"/>
      <c r="G382" s="10"/>
      <c r="H382" s="10"/>
    </row>
    <row r="383" spans="1:8" ht="14.25" customHeight="1" x14ac:dyDescent="0.35">
      <c r="A383" s="10"/>
      <c r="B383" s="10"/>
      <c r="C383" s="10"/>
      <c r="D383" s="10"/>
      <c r="E383" s="10"/>
      <c r="F383" s="10"/>
      <c r="G383" s="10"/>
      <c r="H383" s="10"/>
    </row>
    <row r="384" spans="1:8" ht="14.25" customHeight="1" x14ac:dyDescent="0.35">
      <c r="A384" s="10"/>
      <c r="B384" s="10"/>
      <c r="C384" s="10"/>
      <c r="D384" s="10"/>
      <c r="E384" s="10"/>
      <c r="F384" s="10"/>
      <c r="G384" s="10"/>
      <c r="H384" s="10"/>
    </row>
    <row r="385" spans="1:8" ht="14.25" customHeight="1" x14ac:dyDescent="0.35">
      <c r="A385" s="10"/>
      <c r="B385" s="10"/>
      <c r="C385" s="10"/>
      <c r="D385" s="10"/>
      <c r="E385" s="10"/>
      <c r="F385" s="10"/>
      <c r="G385" s="10"/>
      <c r="H385" s="10"/>
    </row>
    <row r="386" spans="1:8" ht="14.25" customHeight="1" x14ac:dyDescent="0.35">
      <c r="A386" s="10"/>
      <c r="B386" s="10"/>
      <c r="C386" s="10"/>
      <c r="D386" s="10"/>
      <c r="E386" s="10"/>
      <c r="F386" s="10"/>
      <c r="G386" s="10"/>
      <c r="H386" s="10"/>
    </row>
    <row r="387" spans="1:8" ht="14.25" customHeight="1" x14ac:dyDescent="0.35">
      <c r="A387" s="10"/>
      <c r="B387" s="10"/>
      <c r="C387" s="10"/>
      <c r="D387" s="10"/>
      <c r="E387" s="10"/>
      <c r="F387" s="10"/>
      <c r="G387" s="10"/>
      <c r="H387" s="10"/>
    </row>
    <row r="388" spans="1:8" ht="14.25" customHeight="1" x14ac:dyDescent="0.35">
      <c r="A388" s="10"/>
      <c r="B388" s="10"/>
      <c r="C388" s="10"/>
      <c r="D388" s="10"/>
      <c r="E388" s="10"/>
      <c r="F388" s="10"/>
      <c r="G388" s="10"/>
      <c r="H388" s="10"/>
    </row>
    <row r="389" spans="1:8" ht="14.25" customHeight="1" x14ac:dyDescent="0.35">
      <c r="A389" s="10"/>
      <c r="B389" s="10"/>
      <c r="C389" s="10"/>
      <c r="D389" s="10"/>
      <c r="E389" s="10"/>
      <c r="F389" s="10"/>
      <c r="G389" s="10"/>
      <c r="H389" s="10"/>
    </row>
    <row r="390" spans="1:8" ht="14.25" customHeight="1" x14ac:dyDescent="0.35">
      <c r="A390" s="10"/>
      <c r="B390" s="10"/>
      <c r="C390" s="10"/>
      <c r="D390" s="10"/>
      <c r="E390" s="10"/>
      <c r="F390" s="10"/>
      <c r="G390" s="10"/>
      <c r="H390" s="10"/>
    </row>
    <row r="391" spans="1:8" ht="14.25" customHeight="1" x14ac:dyDescent="0.35">
      <c r="A391" s="10"/>
      <c r="B391" s="10"/>
      <c r="C391" s="10"/>
      <c r="D391" s="10"/>
      <c r="E391" s="10"/>
      <c r="F391" s="10"/>
      <c r="G391" s="10"/>
      <c r="H391" s="10"/>
    </row>
    <row r="392" spans="1:8" ht="14.25" customHeight="1" x14ac:dyDescent="0.35">
      <c r="A392" s="10"/>
      <c r="B392" s="10"/>
      <c r="C392" s="10"/>
      <c r="D392" s="10"/>
      <c r="E392" s="10"/>
      <c r="F392" s="10"/>
      <c r="G392" s="10"/>
      <c r="H392" s="10"/>
    </row>
    <row r="393" spans="1:8" ht="14.25" customHeight="1" x14ac:dyDescent="0.35">
      <c r="A393" s="10"/>
      <c r="B393" s="10"/>
      <c r="C393" s="10"/>
      <c r="D393" s="10"/>
      <c r="E393" s="10"/>
      <c r="F393" s="10"/>
      <c r="G393" s="10"/>
      <c r="H393" s="10"/>
    </row>
    <row r="394" spans="1:8" ht="14.25" customHeight="1" x14ac:dyDescent="0.35">
      <c r="A394" s="10"/>
      <c r="B394" s="10"/>
      <c r="C394" s="10"/>
      <c r="D394" s="10"/>
      <c r="E394" s="10"/>
      <c r="F394" s="10"/>
      <c r="G394" s="10"/>
      <c r="H394" s="10"/>
    </row>
    <row r="395" spans="1:8" ht="14.25" customHeight="1" x14ac:dyDescent="0.35">
      <c r="A395" s="10"/>
      <c r="B395" s="10"/>
      <c r="C395" s="10"/>
      <c r="D395" s="10"/>
      <c r="E395" s="10"/>
      <c r="F395" s="10"/>
      <c r="G395" s="10"/>
      <c r="H395" s="10"/>
    </row>
    <row r="396" spans="1:8" ht="14.25" customHeight="1" x14ac:dyDescent="0.35">
      <c r="A396" s="10"/>
      <c r="B396" s="10"/>
      <c r="C396" s="10"/>
      <c r="D396" s="10"/>
      <c r="E396" s="10"/>
      <c r="F396" s="10"/>
      <c r="G396" s="10"/>
      <c r="H396" s="10"/>
    </row>
    <row r="397" spans="1:8" ht="14.25" customHeight="1" x14ac:dyDescent="0.35">
      <c r="A397" s="10"/>
      <c r="B397" s="10"/>
      <c r="C397" s="10"/>
      <c r="D397" s="10"/>
      <c r="E397" s="10"/>
      <c r="F397" s="10"/>
      <c r="G397" s="10"/>
      <c r="H397" s="10"/>
    </row>
    <row r="398" spans="1:8" ht="14.25" customHeight="1" x14ac:dyDescent="0.35">
      <c r="A398" s="10"/>
      <c r="B398" s="10"/>
      <c r="C398" s="10"/>
      <c r="D398" s="10"/>
      <c r="E398" s="10"/>
      <c r="F398" s="10"/>
      <c r="G398" s="10"/>
      <c r="H398" s="10"/>
    </row>
    <row r="399" spans="1:8" ht="14.25" customHeight="1" x14ac:dyDescent="0.35">
      <c r="A399" s="10"/>
      <c r="B399" s="10"/>
      <c r="C399" s="10"/>
      <c r="D399" s="10"/>
      <c r="E399" s="10"/>
      <c r="F399" s="10"/>
      <c r="G399" s="10"/>
      <c r="H399" s="10"/>
    </row>
    <row r="400" spans="1:8" ht="14.25" customHeight="1" x14ac:dyDescent="0.35">
      <c r="A400" s="10"/>
      <c r="B400" s="10"/>
      <c r="C400" s="10"/>
      <c r="D400" s="10"/>
      <c r="E400" s="10"/>
      <c r="F400" s="10"/>
      <c r="G400" s="10"/>
      <c r="H400" s="10"/>
    </row>
    <row r="401" spans="1:8" ht="14.25" customHeight="1" x14ac:dyDescent="0.35">
      <c r="A401" s="10"/>
      <c r="B401" s="10"/>
      <c r="C401" s="10"/>
      <c r="D401" s="10"/>
      <c r="E401" s="10"/>
      <c r="F401" s="10"/>
      <c r="G401" s="10"/>
      <c r="H401" s="10"/>
    </row>
    <row r="402" spans="1:8" ht="14.25" customHeight="1" x14ac:dyDescent="0.35">
      <c r="A402" s="10"/>
      <c r="B402" s="10"/>
      <c r="C402" s="10"/>
      <c r="D402" s="10"/>
      <c r="E402" s="10"/>
      <c r="F402" s="10"/>
      <c r="G402" s="10"/>
      <c r="H402" s="10"/>
    </row>
    <row r="403" spans="1:8" ht="14.25" customHeight="1" x14ac:dyDescent="0.35">
      <c r="A403" s="10"/>
      <c r="B403" s="10"/>
      <c r="C403" s="10"/>
      <c r="D403" s="10"/>
      <c r="E403" s="10"/>
      <c r="F403" s="10"/>
      <c r="G403" s="10"/>
      <c r="H403" s="10"/>
    </row>
    <row r="404" spans="1:8" ht="14.25" customHeight="1" x14ac:dyDescent="0.35">
      <c r="A404" s="10"/>
      <c r="B404" s="10"/>
      <c r="C404" s="10"/>
      <c r="D404" s="10"/>
      <c r="E404" s="10"/>
      <c r="F404" s="10"/>
      <c r="G404" s="10"/>
      <c r="H404" s="10"/>
    </row>
    <row r="405" spans="1:8" ht="14.25" customHeight="1" x14ac:dyDescent="0.35">
      <c r="A405" s="10"/>
      <c r="B405" s="10"/>
      <c r="C405" s="10"/>
      <c r="D405" s="10"/>
      <c r="E405" s="10"/>
      <c r="F405" s="10"/>
      <c r="G405" s="10"/>
      <c r="H405" s="10"/>
    </row>
    <row r="406" spans="1:8" ht="14.25" customHeight="1" x14ac:dyDescent="0.35">
      <c r="A406" s="10"/>
      <c r="B406" s="10"/>
      <c r="C406" s="10"/>
      <c r="D406" s="10"/>
      <c r="E406" s="10"/>
      <c r="F406" s="10"/>
      <c r="G406" s="10"/>
      <c r="H406" s="10"/>
    </row>
    <row r="407" spans="1:8" ht="14.25" customHeight="1" x14ac:dyDescent="0.35">
      <c r="A407" s="10"/>
      <c r="B407" s="10"/>
      <c r="C407" s="10"/>
      <c r="D407" s="10"/>
      <c r="E407" s="10"/>
      <c r="F407" s="10"/>
      <c r="G407" s="10"/>
      <c r="H407" s="10"/>
    </row>
    <row r="408" spans="1:8" ht="14.25" customHeight="1" x14ac:dyDescent="0.35">
      <c r="A408" s="10"/>
      <c r="B408" s="10"/>
      <c r="C408" s="10"/>
      <c r="D408" s="10"/>
      <c r="E408" s="10"/>
      <c r="F408" s="10"/>
      <c r="G408" s="10"/>
      <c r="H408" s="10"/>
    </row>
    <row r="409" spans="1:8" ht="14.25" customHeight="1" x14ac:dyDescent="0.35">
      <c r="A409" s="10"/>
      <c r="B409" s="10"/>
      <c r="C409" s="10"/>
      <c r="D409" s="10"/>
      <c r="E409" s="10"/>
      <c r="F409" s="10"/>
      <c r="G409" s="10"/>
      <c r="H409" s="10"/>
    </row>
    <row r="410" spans="1:8" ht="14.25" customHeight="1" x14ac:dyDescent="0.35">
      <c r="A410" s="10"/>
      <c r="B410" s="10"/>
      <c r="C410" s="10"/>
      <c r="D410" s="10"/>
      <c r="E410" s="10"/>
      <c r="F410" s="10"/>
      <c r="G410" s="10"/>
      <c r="H410" s="10"/>
    </row>
    <row r="411" spans="1:8" ht="14.25" customHeight="1" x14ac:dyDescent="0.35">
      <c r="A411" s="10"/>
      <c r="B411" s="10"/>
      <c r="C411" s="10"/>
      <c r="D411" s="10"/>
      <c r="E411" s="10"/>
      <c r="F411" s="10"/>
      <c r="G411" s="10"/>
      <c r="H411" s="10"/>
    </row>
    <row r="412" spans="1:8" ht="14.25" customHeight="1" x14ac:dyDescent="0.35">
      <c r="A412" s="10"/>
      <c r="B412" s="10"/>
      <c r="C412" s="10"/>
      <c r="D412" s="10"/>
      <c r="E412" s="10"/>
      <c r="F412" s="10"/>
      <c r="G412" s="10"/>
      <c r="H412" s="10"/>
    </row>
    <row r="413" spans="1:8" ht="14.25" customHeight="1" x14ac:dyDescent="0.35">
      <c r="A413" s="10"/>
      <c r="B413" s="10"/>
      <c r="C413" s="10"/>
      <c r="D413" s="10"/>
      <c r="E413" s="10"/>
      <c r="F413" s="10"/>
      <c r="G413" s="10"/>
      <c r="H413" s="10"/>
    </row>
    <row r="414" spans="1:8" ht="14.25" customHeight="1" x14ac:dyDescent="0.35">
      <c r="A414" s="10"/>
      <c r="B414" s="10"/>
      <c r="C414" s="10"/>
      <c r="D414" s="10"/>
      <c r="E414" s="10"/>
      <c r="F414" s="10"/>
      <c r="G414" s="10"/>
      <c r="H414" s="10"/>
    </row>
    <row r="415" spans="1:8" ht="14.25" customHeight="1" x14ac:dyDescent="0.35">
      <c r="A415" s="10"/>
      <c r="B415" s="10"/>
      <c r="C415" s="10"/>
      <c r="D415" s="10"/>
      <c r="E415" s="10"/>
      <c r="F415" s="10"/>
      <c r="G415" s="10"/>
      <c r="H415" s="10"/>
    </row>
    <row r="416" spans="1:8" ht="14.25" customHeight="1" x14ac:dyDescent="0.35">
      <c r="A416" s="10"/>
      <c r="B416" s="10"/>
      <c r="C416" s="10"/>
      <c r="D416" s="10"/>
      <c r="E416" s="10"/>
      <c r="F416" s="10"/>
      <c r="G416" s="10"/>
      <c r="H416" s="10"/>
    </row>
    <row r="417" spans="1:8" ht="14.25" customHeight="1" x14ac:dyDescent="0.35">
      <c r="A417" s="10"/>
      <c r="B417" s="10"/>
      <c r="C417" s="10"/>
      <c r="D417" s="10"/>
      <c r="E417" s="10"/>
      <c r="F417" s="10"/>
      <c r="G417" s="10"/>
      <c r="H417" s="10"/>
    </row>
    <row r="418" spans="1:8" ht="14.25" customHeight="1" x14ac:dyDescent="0.35">
      <c r="A418" s="10"/>
      <c r="B418" s="10"/>
      <c r="C418" s="10"/>
      <c r="D418" s="10"/>
      <c r="E418" s="10"/>
      <c r="F418" s="10"/>
      <c r="G418" s="10"/>
      <c r="H418" s="10"/>
    </row>
    <row r="419" spans="1:8" ht="14.25" customHeight="1" x14ac:dyDescent="0.35">
      <c r="A419" s="10"/>
      <c r="B419" s="10"/>
      <c r="C419" s="10"/>
      <c r="D419" s="10"/>
      <c r="E419" s="10"/>
      <c r="F419" s="10"/>
      <c r="G419" s="10"/>
      <c r="H419" s="10"/>
    </row>
    <row r="420" spans="1:8" ht="14.25" customHeight="1" x14ac:dyDescent="0.35">
      <c r="A420" s="10"/>
      <c r="B420" s="10"/>
      <c r="C420" s="10"/>
      <c r="D420" s="10"/>
      <c r="E420" s="10"/>
      <c r="F420" s="10"/>
      <c r="G420" s="10"/>
      <c r="H420" s="10"/>
    </row>
    <row r="421" spans="1:8" ht="14.25" customHeight="1" x14ac:dyDescent="0.35">
      <c r="A421" s="10"/>
      <c r="B421" s="10"/>
      <c r="C421" s="10"/>
      <c r="D421" s="10"/>
      <c r="E421" s="10"/>
      <c r="F421" s="10"/>
      <c r="G421" s="10"/>
      <c r="H421" s="10"/>
    </row>
    <row r="422" spans="1:8" ht="14.25" customHeight="1" x14ac:dyDescent="0.35">
      <c r="A422" s="10"/>
      <c r="B422" s="10"/>
      <c r="C422" s="10"/>
      <c r="D422" s="10"/>
      <c r="E422" s="10"/>
      <c r="F422" s="10"/>
      <c r="G422" s="10"/>
      <c r="H422" s="10"/>
    </row>
    <row r="423" spans="1:8" ht="14.25" customHeight="1" x14ac:dyDescent="0.35">
      <c r="A423" s="10"/>
      <c r="B423" s="10"/>
      <c r="C423" s="10"/>
      <c r="D423" s="10"/>
      <c r="E423" s="10"/>
      <c r="F423" s="10"/>
      <c r="G423" s="10"/>
      <c r="H423" s="10"/>
    </row>
    <row r="424" spans="1:8" ht="14.25" customHeight="1" x14ac:dyDescent="0.35">
      <c r="A424" s="10"/>
      <c r="B424" s="10"/>
      <c r="C424" s="10"/>
      <c r="D424" s="10"/>
      <c r="E424" s="10"/>
      <c r="F424" s="10"/>
      <c r="G424" s="10"/>
      <c r="H424" s="10"/>
    </row>
    <row r="425" spans="1:8" ht="14.25" customHeight="1" x14ac:dyDescent="0.35">
      <c r="A425" s="10"/>
      <c r="B425" s="10"/>
      <c r="C425" s="10"/>
      <c r="D425" s="10"/>
      <c r="E425" s="10"/>
      <c r="F425" s="10"/>
      <c r="G425" s="10"/>
      <c r="H425" s="10"/>
    </row>
    <row r="426" spans="1:8" ht="14.25" customHeight="1" x14ac:dyDescent="0.35">
      <c r="A426" s="10"/>
      <c r="B426" s="10"/>
      <c r="C426" s="10"/>
      <c r="D426" s="10"/>
      <c r="E426" s="10"/>
      <c r="F426" s="10"/>
      <c r="G426" s="10"/>
      <c r="H426" s="10"/>
    </row>
    <row r="427" spans="1:8" ht="14.25" customHeight="1" x14ac:dyDescent="0.35">
      <c r="A427" s="10"/>
      <c r="B427" s="10"/>
      <c r="C427" s="10"/>
      <c r="D427" s="10"/>
      <c r="E427" s="10"/>
      <c r="F427" s="10"/>
      <c r="G427" s="10"/>
      <c r="H427" s="10"/>
    </row>
    <row r="428" spans="1:8" ht="14.25" customHeight="1" x14ac:dyDescent="0.35">
      <c r="A428" s="10"/>
      <c r="B428" s="10"/>
      <c r="C428" s="10"/>
      <c r="D428" s="10"/>
      <c r="E428" s="10"/>
      <c r="F428" s="10"/>
      <c r="G428" s="10"/>
      <c r="H428" s="10"/>
    </row>
    <row r="429" spans="1:8" ht="14.25" customHeight="1" x14ac:dyDescent="0.35">
      <c r="A429" s="10"/>
      <c r="B429" s="10"/>
      <c r="C429" s="10"/>
      <c r="D429" s="10"/>
      <c r="E429" s="10"/>
      <c r="F429" s="10"/>
      <c r="G429" s="10"/>
      <c r="H429" s="10"/>
    </row>
    <row r="430" spans="1:8" ht="14.25" customHeight="1" x14ac:dyDescent="0.35">
      <c r="A430" s="10"/>
      <c r="B430" s="10"/>
      <c r="C430" s="10"/>
      <c r="D430" s="10"/>
      <c r="E430" s="10"/>
      <c r="F430" s="10"/>
      <c r="G430" s="10"/>
      <c r="H430" s="10"/>
    </row>
    <row r="431" spans="1:8" ht="14.25" customHeight="1" x14ac:dyDescent="0.35">
      <c r="A431" s="10"/>
      <c r="B431" s="10"/>
      <c r="C431" s="10"/>
      <c r="D431" s="10"/>
      <c r="E431" s="10"/>
      <c r="F431" s="10"/>
      <c r="G431" s="10"/>
      <c r="H431" s="10"/>
    </row>
    <row r="432" spans="1:8" ht="14.25" customHeight="1" x14ac:dyDescent="0.35">
      <c r="A432" s="10"/>
      <c r="B432" s="10"/>
      <c r="C432" s="10"/>
      <c r="D432" s="10"/>
      <c r="E432" s="10"/>
      <c r="F432" s="10"/>
      <c r="G432" s="10"/>
      <c r="H432" s="10"/>
    </row>
    <row r="433" spans="1:8" ht="14.25" customHeight="1" x14ac:dyDescent="0.35">
      <c r="A433" s="10"/>
      <c r="B433" s="10"/>
      <c r="C433" s="10"/>
      <c r="D433" s="10"/>
      <c r="E433" s="10"/>
      <c r="F433" s="10"/>
      <c r="G433" s="10"/>
      <c r="H433" s="10"/>
    </row>
    <row r="434" spans="1:8" ht="14.25" customHeight="1" x14ac:dyDescent="0.35">
      <c r="A434" s="10"/>
      <c r="B434" s="10"/>
      <c r="C434" s="10"/>
      <c r="D434" s="10"/>
      <c r="E434" s="10"/>
      <c r="F434" s="10"/>
      <c r="G434" s="10"/>
      <c r="H434" s="10"/>
    </row>
    <row r="435" spans="1:8" ht="14.25" customHeight="1" x14ac:dyDescent="0.35">
      <c r="A435" s="10"/>
      <c r="B435" s="10"/>
      <c r="C435" s="10"/>
      <c r="D435" s="10"/>
      <c r="E435" s="10"/>
      <c r="F435" s="10"/>
      <c r="G435" s="10"/>
      <c r="H435" s="10"/>
    </row>
    <row r="436" spans="1:8" ht="14.25" customHeight="1" x14ac:dyDescent="0.35">
      <c r="A436" s="10"/>
      <c r="B436" s="10"/>
      <c r="C436" s="10"/>
      <c r="D436" s="10"/>
      <c r="E436" s="10"/>
      <c r="F436" s="10"/>
      <c r="G436" s="10"/>
      <c r="H436" s="10"/>
    </row>
    <row r="437" spans="1:8" ht="14.25" customHeight="1" x14ac:dyDescent="0.35">
      <c r="A437" s="10"/>
      <c r="B437" s="10"/>
      <c r="C437" s="10"/>
      <c r="D437" s="10"/>
      <c r="E437" s="10"/>
      <c r="F437" s="10"/>
      <c r="G437" s="10"/>
      <c r="H437" s="10"/>
    </row>
    <row r="438" spans="1:8" ht="14.25" customHeight="1" x14ac:dyDescent="0.35">
      <c r="A438" s="10"/>
      <c r="B438" s="10"/>
      <c r="C438" s="10"/>
      <c r="D438" s="10"/>
      <c r="E438" s="10"/>
      <c r="F438" s="10"/>
      <c r="G438" s="10"/>
      <c r="H438" s="10"/>
    </row>
    <row r="439" spans="1:8" ht="14.25" customHeight="1" x14ac:dyDescent="0.35">
      <c r="A439" s="10"/>
      <c r="B439" s="10"/>
      <c r="C439" s="10"/>
      <c r="D439" s="10"/>
      <c r="E439" s="10"/>
      <c r="F439" s="10"/>
      <c r="G439" s="10"/>
      <c r="H439" s="10"/>
    </row>
    <row r="440" spans="1:8" ht="14.25" customHeight="1" x14ac:dyDescent="0.35">
      <c r="A440" s="10"/>
      <c r="B440" s="10"/>
      <c r="C440" s="10"/>
      <c r="D440" s="10"/>
      <c r="E440" s="10"/>
      <c r="F440" s="10"/>
      <c r="G440" s="10"/>
      <c r="H440" s="10"/>
    </row>
    <row r="441" spans="1:8" ht="14.25" customHeight="1" x14ac:dyDescent="0.35">
      <c r="A441" s="10"/>
      <c r="B441" s="10"/>
      <c r="C441" s="10"/>
      <c r="D441" s="10"/>
      <c r="E441" s="10"/>
      <c r="F441" s="10"/>
      <c r="G441" s="10"/>
      <c r="H441" s="10"/>
    </row>
    <row r="442" spans="1:8" ht="14.25" customHeight="1" x14ac:dyDescent="0.35">
      <c r="A442" s="10"/>
      <c r="B442" s="10"/>
      <c r="C442" s="10"/>
      <c r="D442" s="10"/>
      <c r="E442" s="10"/>
      <c r="F442" s="10"/>
      <c r="G442" s="10"/>
      <c r="H442" s="10"/>
    </row>
    <row r="443" spans="1:8" ht="14.25" customHeight="1" x14ac:dyDescent="0.35">
      <c r="A443" s="10"/>
      <c r="B443" s="10"/>
      <c r="C443" s="10"/>
      <c r="D443" s="10"/>
      <c r="E443" s="10"/>
      <c r="F443" s="10"/>
      <c r="G443" s="10"/>
      <c r="H443" s="10"/>
    </row>
    <row r="444" spans="1:8" ht="14.25" customHeight="1" x14ac:dyDescent="0.35">
      <c r="A444" s="10"/>
      <c r="B444" s="10"/>
      <c r="C444" s="10"/>
      <c r="D444" s="10"/>
      <c r="E444" s="10"/>
      <c r="F444" s="10"/>
      <c r="G444" s="10"/>
      <c r="H444" s="10"/>
    </row>
    <row r="445" spans="1:8" ht="14.25" customHeight="1" x14ac:dyDescent="0.35">
      <c r="A445" s="10"/>
      <c r="B445" s="10"/>
      <c r="C445" s="10"/>
      <c r="D445" s="10"/>
      <c r="E445" s="10"/>
      <c r="F445" s="10"/>
      <c r="G445" s="10"/>
      <c r="H445" s="10"/>
    </row>
    <row r="446" spans="1:8" ht="14.25" customHeight="1" x14ac:dyDescent="0.35">
      <c r="A446" s="10"/>
      <c r="B446" s="10"/>
      <c r="C446" s="10"/>
      <c r="D446" s="10"/>
      <c r="E446" s="10"/>
      <c r="F446" s="10"/>
      <c r="G446" s="10"/>
      <c r="H446" s="10"/>
    </row>
    <row r="447" spans="1:8" ht="14.25" customHeight="1" x14ac:dyDescent="0.35">
      <c r="A447" s="10"/>
      <c r="B447" s="10"/>
      <c r="C447" s="10"/>
      <c r="D447" s="10"/>
      <c r="E447" s="10"/>
      <c r="F447" s="10"/>
      <c r="G447" s="10"/>
      <c r="H447" s="10"/>
    </row>
    <row r="448" spans="1:8" ht="14.25" customHeight="1" x14ac:dyDescent="0.35">
      <c r="A448" s="10"/>
      <c r="B448" s="10"/>
      <c r="C448" s="10"/>
      <c r="D448" s="10"/>
      <c r="E448" s="10"/>
      <c r="F448" s="10"/>
      <c r="G448" s="10"/>
      <c r="H448" s="10"/>
    </row>
    <row r="449" spans="1:8" ht="14.25" customHeight="1" x14ac:dyDescent="0.35">
      <c r="A449" s="10"/>
      <c r="B449" s="10"/>
      <c r="C449" s="10"/>
      <c r="D449" s="10"/>
      <c r="E449" s="10"/>
      <c r="F449" s="10"/>
      <c r="G449" s="10"/>
      <c r="H449" s="10"/>
    </row>
    <row r="450" spans="1:8" ht="14.25" customHeight="1" x14ac:dyDescent="0.35">
      <c r="A450" s="10"/>
      <c r="B450" s="10"/>
      <c r="C450" s="10"/>
      <c r="D450" s="10"/>
      <c r="E450" s="10"/>
      <c r="F450" s="10"/>
      <c r="G450" s="10"/>
      <c r="H450" s="10"/>
    </row>
    <row r="451" spans="1:8" ht="14.25" customHeight="1" x14ac:dyDescent="0.35">
      <c r="A451" s="10"/>
      <c r="B451" s="10"/>
      <c r="C451" s="10"/>
      <c r="D451" s="10"/>
      <c r="E451" s="10"/>
      <c r="F451" s="10"/>
      <c r="G451" s="10"/>
      <c r="H451" s="10"/>
    </row>
    <row r="452" spans="1:8" ht="14.25" customHeight="1" x14ac:dyDescent="0.35">
      <c r="A452" s="10"/>
      <c r="B452" s="10"/>
      <c r="C452" s="10"/>
      <c r="D452" s="10"/>
      <c r="E452" s="10"/>
      <c r="F452" s="10"/>
      <c r="G452" s="10"/>
      <c r="H452" s="10"/>
    </row>
    <row r="453" spans="1:8" ht="14.25" customHeight="1" x14ac:dyDescent="0.35">
      <c r="A453" s="10"/>
      <c r="B453" s="10"/>
      <c r="C453" s="10"/>
      <c r="D453" s="10"/>
      <c r="E453" s="10"/>
      <c r="F453" s="10"/>
      <c r="G453" s="10"/>
      <c r="H453" s="10"/>
    </row>
    <row r="454" spans="1:8" ht="14.25" customHeight="1" x14ac:dyDescent="0.35">
      <c r="A454" s="10"/>
      <c r="B454" s="10"/>
      <c r="C454" s="10"/>
      <c r="D454" s="10"/>
      <c r="E454" s="10"/>
      <c r="F454" s="10"/>
      <c r="G454" s="10"/>
      <c r="H454" s="10"/>
    </row>
    <row r="455" spans="1:8" ht="14.25" customHeight="1" x14ac:dyDescent="0.35">
      <c r="A455" s="10"/>
      <c r="B455" s="10"/>
      <c r="C455" s="10"/>
      <c r="D455" s="10"/>
      <c r="E455" s="10"/>
      <c r="F455" s="10"/>
      <c r="G455" s="10"/>
      <c r="H455" s="10"/>
    </row>
    <row r="456" spans="1:8" ht="14.25" customHeight="1" x14ac:dyDescent="0.35">
      <c r="A456" s="10"/>
      <c r="B456" s="10"/>
      <c r="C456" s="10"/>
      <c r="D456" s="10"/>
      <c r="E456" s="10"/>
      <c r="F456" s="10"/>
      <c r="G456" s="10"/>
      <c r="H456" s="10"/>
    </row>
    <row r="457" spans="1:8" ht="14.25" customHeight="1" x14ac:dyDescent="0.35">
      <c r="A457" s="10"/>
      <c r="B457" s="10"/>
      <c r="C457" s="10"/>
      <c r="D457" s="10"/>
      <c r="E457" s="10"/>
      <c r="F457" s="10"/>
      <c r="G457" s="10"/>
      <c r="H457" s="10"/>
    </row>
    <row r="458" spans="1:8" ht="14.25" customHeight="1" x14ac:dyDescent="0.35">
      <c r="A458" s="10"/>
      <c r="B458" s="10"/>
      <c r="C458" s="10"/>
      <c r="D458" s="10"/>
      <c r="E458" s="10"/>
      <c r="F458" s="10"/>
      <c r="G458" s="10"/>
      <c r="H458" s="10"/>
    </row>
    <row r="459" spans="1:8" ht="14.25" customHeight="1" x14ac:dyDescent="0.35">
      <c r="A459" s="10"/>
      <c r="B459" s="10"/>
      <c r="C459" s="10"/>
      <c r="D459" s="10"/>
      <c r="E459" s="10"/>
      <c r="F459" s="10"/>
      <c r="G459" s="10"/>
      <c r="H459" s="10"/>
    </row>
    <row r="460" spans="1:8" ht="14.25" customHeight="1" x14ac:dyDescent="0.35">
      <c r="A460" s="10"/>
      <c r="B460" s="10"/>
      <c r="C460" s="10"/>
      <c r="D460" s="10"/>
      <c r="E460" s="10"/>
      <c r="F460" s="10"/>
      <c r="G460" s="10"/>
      <c r="H460" s="10"/>
    </row>
    <row r="461" spans="1:8" ht="14.25" customHeight="1" x14ac:dyDescent="0.35">
      <c r="A461" s="10"/>
      <c r="B461" s="10"/>
      <c r="C461" s="10"/>
      <c r="D461" s="10"/>
      <c r="E461" s="10"/>
      <c r="F461" s="10"/>
      <c r="G461" s="10"/>
      <c r="H461" s="10"/>
    </row>
    <row r="462" spans="1:8" ht="14.25" customHeight="1" x14ac:dyDescent="0.35">
      <c r="A462" s="10"/>
      <c r="B462" s="10"/>
      <c r="C462" s="10"/>
      <c r="D462" s="10"/>
      <c r="E462" s="10"/>
      <c r="F462" s="10"/>
      <c r="G462" s="10"/>
      <c r="H462" s="10"/>
    </row>
    <row r="463" spans="1:8" ht="14.25" customHeight="1" x14ac:dyDescent="0.35">
      <c r="A463" s="10"/>
      <c r="B463" s="10"/>
      <c r="C463" s="10"/>
      <c r="D463" s="10"/>
      <c r="E463" s="10"/>
      <c r="F463" s="10"/>
      <c r="G463" s="10"/>
      <c r="H463" s="10"/>
    </row>
    <row r="464" spans="1:8" ht="14.25" customHeight="1" x14ac:dyDescent="0.35">
      <c r="A464" s="10"/>
      <c r="B464" s="10"/>
      <c r="C464" s="10"/>
      <c r="D464" s="10"/>
      <c r="E464" s="10"/>
      <c r="F464" s="10"/>
      <c r="G464" s="10"/>
      <c r="H464" s="10"/>
    </row>
    <row r="465" spans="1:8" ht="14.25" customHeight="1" x14ac:dyDescent="0.35">
      <c r="A465" s="10"/>
      <c r="B465" s="10"/>
      <c r="C465" s="10"/>
      <c r="D465" s="10"/>
      <c r="E465" s="10"/>
      <c r="F465" s="10"/>
      <c r="G465" s="10"/>
      <c r="H465" s="10"/>
    </row>
    <row r="466" spans="1:8" ht="14.25" customHeight="1" x14ac:dyDescent="0.35">
      <c r="A466" s="10"/>
      <c r="B466" s="10"/>
      <c r="C466" s="10"/>
      <c r="D466" s="10"/>
      <c r="E466" s="10"/>
      <c r="F466" s="10"/>
      <c r="G466" s="10"/>
      <c r="H466" s="10"/>
    </row>
    <row r="467" spans="1:8" ht="14.25" customHeight="1" x14ac:dyDescent="0.35">
      <c r="A467" s="10"/>
      <c r="B467" s="10"/>
      <c r="C467" s="10"/>
      <c r="D467" s="10"/>
      <c r="E467" s="10"/>
      <c r="F467" s="10"/>
      <c r="G467" s="10"/>
      <c r="H467" s="10"/>
    </row>
    <row r="468" spans="1:8" ht="14.25" customHeight="1" x14ac:dyDescent="0.35">
      <c r="A468" s="10"/>
      <c r="B468" s="10"/>
      <c r="C468" s="10"/>
      <c r="D468" s="10"/>
      <c r="E468" s="10"/>
      <c r="F468" s="10"/>
      <c r="G468" s="10"/>
      <c r="H468" s="10"/>
    </row>
    <row r="469" spans="1:8" ht="14.25" customHeight="1" x14ac:dyDescent="0.35">
      <c r="A469" s="10"/>
      <c r="B469" s="10"/>
      <c r="C469" s="10"/>
      <c r="D469" s="10"/>
      <c r="E469" s="10"/>
      <c r="F469" s="10"/>
      <c r="G469" s="10"/>
      <c r="H469" s="10"/>
    </row>
    <row r="470" spans="1:8" ht="14.25" customHeight="1" x14ac:dyDescent="0.35">
      <c r="A470" s="10"/>
      <c r="B470" s="10"/>
      <c r="C470" s="10"/>
      <c r="D470" s="10"/>
      <c r="E470" s="10"/>
      <c r="F470" s="10"/>
      <c r="G470" s="10"/>
      <c r="H470" s="10"/>
    </row>
    <row r="471" spans="1:8" ht="14.25" customHeight="1" x14ac:dyDescent="0.35">
      <c r="A471" s="10"/>
      <c r="B471" s="10"/>
      <c r="C471" s="10"/>
      <c r="D471" s="10"/>
      <c r="E471" s="10"/>
      <c r="F471" s="10"/>
      <c r="G471" s="10"/>
      <c r="H471" s="10"/>
    </row>
    <row r="472" spans="1:8" ht="14.25" customHeight="1" x14ac:dyDescent="0.35">
      <c r="A472" s="10"/>
      <c r="B472" s="10"/>
      <c r="C472" s="10"/>
      <c r="D472" s="10"/>
      <c r="E472" s="10"/>
      <c r="F472" s="10"/>
      <c r="G472" s="10"/>
      <c r="H472" s="10"/>
    </row>
    <row r="473" spans="1:8" ht="14.25" customHeight="1" x14ac:dyDescent="0.35">
      <c r="A473" s="10"/>
      <c r="B473" s="10"/>
      <c r="C473" s="10"/>
      <c r="D473" s="10"/>
      <c r="E473" s="10"/>
      <c r="F473" s="10"/>
      <c r="G473" s="10"/>
      <c r="H473" s="10"/>
    </row>
    <row r="474" spans="1:8" ht="14.25" customHeight="1" x14ac:dyDescent="0.35">
      <c r="A474" s="10"/>
      <c r="B474" s="10"/>
      <c r="C474" s="10"/>
      <c r="D474" s="10"/>
      <c r="E474" s="10"/>
      <c r="F474" s="10"/>
      <c r="G474" s="10"/>
      <c r="H474" s="10"/>
    </row>
    <row r="475" spans="1:8" ht="14.25" customHeight="1" x14ac:dyDescent="0.35">
      <c r="A475" s="10"/>
      <c r="B475" s="10"/>
      <c r="C475" s="10"/>
      <c r="D475" s="10"/>
      <c r="E475" s="10"/>
      <c r="F475" s="10"/>
      <c r="G475" s="10"/>
      <c r="H475" s="10"/>
    </row>
    <row r="476" spans="1:8" ht="14.25" customHeight="1" x14ac:dyDescent="0.35">
      <c r="A476" s="10"/>
      <c r="B476" s="10"/>
      <c r="C476" s="10"/>
      <c r="D476" s="10"/>
      <c r="E476" s="10"/>
      <c r="F476" s="10"/>
      <c r="G476" s="10"/>
      <c r="H476" s="10"/>
    </row>
    <row r="477" spans="1:8" ht="14.25" customHeight="1" x14ac:dyDescent="0.35">
      <c r="A477" s="10"/>
      <c r="B477" s="10"/>
      <c r="C477" s="10"/>
      <c r="D477" s="10"/>
      <c r="E477" s="10"/>
      <c r="F477" s="10"/>
      <c r="G477" s="10"/>
      <c r="H477" s="10"/>
    </row>
    <row r="478" spans="1:8" ht="14.25" customHeight="1" x14ac:dyDescent="0.35">
      <c r="A478" s="10"/>
      <c r="B478" s="10"/>
      <c r="C478" s="10"/>
      <c r="D478" s="10"/>
      <c r="E478" s="10"/>
      <c r="F478" s="10"/>
      <c r="G478" s="10"/>
      <c r="H478" s="10"/>
    </row>
    <row r="479" spans="1:8" ht="14.25" customHeight="1" x14ac:dyDescent="0.35">
      <c r="A479" s="10"/>
      <c r="B479" s="10"/>
      <c r="C479" s="10"/>
      <c r="D479" s="10"/>
      <c r="E479" s="10"/>
      <c r="F479" s="10"/>
      <c r="G479" s="10"/>
      <c r="H479" s="10"/>
    </row>
    <row r="480" spans="1:8" ht="14.25" customHeight="1" x14ac:dyDescent="0.35">
      <c r="A480" s="10"/>
      <c r="B480" s="10"/>
      <c r="C480" s="10"/>
      <c r="D480" s="10"/>
      <c r="E480" s="10"/>
      <c r="F480" s="10"/>
      <c r="G480" s="10"/>
      <c r="H480" s="10"/>
    </row>
    <row r="481" spans="1:8" ht="14.25" customHeight="1" x14ac:dyDescent="0.35">
      <c r="A481" s="10"/>
      <c r="B481" s="10"/>
      <c r="C481" s="10"/>
      <c r="D481" s="10"/>
      <c r="E481" s="10"/>
      <c r="F481" s="10"/>
      <c r="G481" s="10"/>
      <c r="H481" s="10"/>
    </row>
    <row r="482" spans="1:8" ht="14.25" customHeight="1" x14ac:dyDescent="0.35">
      <c r="A482" s="10"/>
      <c r="B482" s="10"/>
      <c r="C482" s="10"/>
      <c r="D482" s="10"/>
      <c r="E482" s="10"/>
      <c r="F482" s="10"/>
      <c r="G482" s="10"/>
      <c r="H482" s="10"/>
    </row>
    <row r="483" spans="1:8" ht="14.25" customHeight="1" x14ac:dyDescent="0.35">
      <c r="A483" s="10"/>
      <c r="B483" s="10"/>
      <c r="C483" s="10"/>
      <c r="D483" s="10"/>
      <c r="E483" s="10"/>
      <c r="F483" s="10"/>
      <c r="G483" s="10"/>
      <c r="H483" s="10"/>
    </row>
    <row r="484" spans="1:8" ht="14.25" customHeight="1" x14ac:dyDescent="0.35">
      <c r="A484" s="10"/>
      <c r="B484" s="10"/>
      <c r="C484" s="10"/>
      <c r="D484" s="10"/>
      <c r="E484" s="10"/>
      <c r="F484" s="10"/>
      <c r="G484" s="10"/>
      <c r="H484" s="10"/>
    </row>
    <row r="485" spans="1:8" ht="14.25" customHeight="1" x14ac:dyDescent="0.35">
      <c r="A485" s="10"/>
      <c r="B485" s="10"/>
      <c r="C485" s="10"/>
      <c r="D485" s="10"/>
      <c r="E485" s="10"/>
      <c r="F485" s="10"/>
      <c r="G485" s="10"/>
      <c r="H485" s="10"/>
    </row>
    <row r="486" spans="1:8" ht="14.25" customHeight="1" x14ac:dyDescent="0.35">
      <c r="A486" s="10"/>
      <c r="B486" s="10"/>
      <c r="C486" s="10"/>
      <c r="D486" s="10"/>
      <c r="E486" s="10"/>
      <c r="F486" s="10"/>
      <c r="G486" s="10"/>
      <c r="H486" s="10"/>
    </row>
    <row r="487" spans="1:8" ht="14.25" customHeight="1" x14ac:dyDescent="0.35">
      <c r="A487" s="10"/>
      <c r="B487" s="10"/>
      <c r="C487" s="10"/>
      <c r="D487" s="10"/>
      <c r="E487" s="10"/>
      <c r="F487" s="10"/>
      <c r="G487" s="10"/>
      <c r="H487" s="10"/>
    </row>
    <row r="488" spans="1:8" ht="14.25" customHeight="1" x14ac:dyDescent="0.35">
      <c r="A488" s="10"/>
      <c r="B488" s="10"/>
      <c r="C488" s="10"/>
      <c r="D488" s="10"/>
      <c r="E488" s="10"/>
      <c r="F488" s="10"/>
      <c r="G488" s="10"/>
      <c r="H488" s="10"/>
    </row>
    <row r="489" spans="1:8" ht="14.25" customHeight="1" x14ac:dyDescent="0.35">
      <c r="A489" s="10"/>
      <c r="B489" s="10"/>
      <c r="C489" s="10"/>
      <c r="D489" s="10"/>
      <c r="E489" s="10"/>
      <c r="F489" s="10"/>
      <c r="G489" s="10"/>
      <c r="H489" s="10"/>
    </row>
    <row r="490" spans="1:8" ht="14.25" customHeight="1" x14ac:dyDescent="0.35">
      <c r="A490" s="10"/>
      <c r="B490" s="10"/>
      <c r="C490" s="10"/>
      <c r="D490" s="10"/>
      <c r="E490" s="10"/>
      <c r="F490" s="10"/>
      <c r="G490" s="10"/>
      <c r="H490" s="10"/>
    </row>
    <row r="491" spans="1:8" ht="14.25" customHeight="1" x14ac:dyDescent="0.35">
      <c r="A491" s="10"/>
      <c r="B491" s="10"/>
      <c r="C491" s="10"/>
      <c r="D491" s="10"/>
      <c r="E491" s="10"/>
      <c r="F491" s="10"/>
      <c r="G491" s="10"/>
      <c r="H491" s="10"/>
    </row>
    <row r="492" spans="1:8" ht="14.25" customHeight="1" x14ac:dyDescent="0.35">
      <c r="A492" s="10"/>
      <c r="B492" s="10"/>
      <c r="C492" s="10"/>
      <c r="D492" s="10"/>
      <c r="E492" s="10"/>
      <c r="F492" s="10"/>
      <c r="G492" s="10"/>
      <c r="H492" s="10"/>
    </row>
    <row r="493" spans="1:8" ht="14.25" customHeight="1" x14ac:dyDescent="0.35">
      <c r="A493" s="10"/>
      <c r="B493" s="10"/>
      <c r="C493" s="10"/>
      <c r="D493" s="10"/>
      <c r="E493" s="10"/>
      <c r="F493" s="10"/>
      <c r="G493" s="10"/>
      <c r="H493" s="10"/>
    </row>
    <row r="494" spans="1:8" ht="14.25" customHeight="1" x14ac:dyDescent="0.35">
      <c r="A494" s="10"/>
      <c r="B494" s="10"/>
      <c r="C494" s="10"/>
      <c r="D494" s="10"/>
      <c r="E494" s="10"/>
      <c r="F494" s="10"/>
      <c r="G494" s="10"/>
      <c r="H494" s="10"/>
    </row>
    <row r="495" spans="1:8" ht="14.25" customHeight="1" x14ac:dyDescent="0.35">
      <c r="A495" s="10"/>
      <c r="B495" s="10"/>
      <c r="C495" s="10"/>
      <c r="D495" s="10"/>
      <c r="E495" s="10"/>
      <c r="F495" s="10"/>
      <c r="G495" s="10"/>
      <c r="H495" s="10"/>
    </row>
    <row r="496" spans="1:8" ht="14.25" customHeight="1" x14ac:dyDescent="0.35">
      <c r="A496" s="10"/>
      <c r="B496" s="10"/>
      <c r="C496" s="10"/>
      <c r="D496" s="10"/>
      <c r="E496" s="10"/>
      <c r="F496" s="10"/>
      <c r="G496" s="10"/>
      <c r="H496" s="10"/>
    </row>
    <row r="497" spans="1:8" ht="14.25" customHeight="1" x14ac:dyDescent="0.35">
      <c r="A497" s="10"/>
      <c r="B497" s="10"/>
      <c r="C497" s="10"/>
      <c r="D497" s="10"/>
      <c r="E497" s="10"/>
      <c r="F497" s="10"/>
      <c r="G497" s="10"/>
      <c r="H497" s="10"/>
    </row>
    <row r="498" spans="1:8" ht="14.25" customHeight="1" x14ac:dyDescent="0.35">
      <c r="A498" s="10"/>
      <c r="B498" s="10"/>
      <c r="C498" s="10"/>
      <c r="D498" s="10"/>
      <c r="E498" s="10"/>
      <c r="F498" s="10"/>
      <c r="G498" s="10"/>
      <c r="H498" s="10"/>
    </row>
    <row r="499" spans="1:8" ht="14.25" customHeight="1" x14ac:dyDescent="0.35">
      <c r="A499" s="10"/>
      <c r="B499" s="10"/>
      <c r="C499" s="10"/>
      <c r="D499" s="10"/>
      <c r="E499" s="10"/>
      <c r="F499" s="10"/>
      <c r="G499" s="10"/>
      <c r="H499" s="10"/>
    </row>
    <row r="500" spans="1:8" ht="14.25" customHeight="1" x14ac:dyDescent="0.35">
      <c r="A500" s="10"/>
      <c r="B500" s="10"/>
      <c r="C500" s="10"/>
      <c r="D500" s="10"/>
      <c r="E500" s="10"/>
      <c r="F500" s="10"/>
      <c r="G500" s="10"/>
      <c r="H500" s="10"/>
    </row>
    <row r="501" spans="1:8" ht="14.25" customHeight="1" x14ac:dyDescent="0.35">
      <c r="A501" s="10"/>
      <c r="B501" s="10"/>
      <c r="C501" s="10"/>
      <c r="D501" s="10"/>
      <c r="E501" s="10"/>
      <c r="F501" s="10"/>
      <c r="G501" s="10"/>
      <c r="H501" s="10"/>
    </row>
    <row r="502" spans="1:8" ht="14.25" customHeight="1" x14ac:dyDescent="0.35">
      <c r="A502" s="10"/>
      <c r="B502" s="10"/>
      <c r="C502" s="10"/>
      <c r="D502" s="10"/>
      <c r="E502" s="10"/>
      <c r="F502" s="10"/>
      <c r="G502" s="10"/>
      <c r="H502" s="10"/>
    </row>
    <row r="503" spans="1:8" ht="14.25" customHeight="1" x14ac:dyDescent="0.35">
      <c r="A503" s="10"/>
      <c r="B503" s="10"/>
      <c r="C503" s="10"/>
      <c r="D503" s="10"/>
      <c r="E503" s="10"/>
      <c r="F503" s="10"/>
      <c r="G503" s="10"/>
      <c r="H503" s="10"/>
    </row>
    <row r="504" spans="1:8" ht="14.25" customHeight="1" x14ac:dyDescent="0.35">
      <c r="A504" s="10"/>
      <c r="B504" s="10"/>
      <c r="C504" s="10"/>
      <c r="D504" s="10"/>
      <c r="E504" s="10"/>
      <c r="F504" s="10"/>
      <c r="G504" s="10"/>
      <c r="H504" s="10"/>
    </row>
    <row r="505" spans="1:8" ht="14.25" customHeight="1" x14ac:dyDescent="0.35">
      <c r="A505" s="10"/>
      <c r="B505" s="10"/>
      <c r="C505" s="10"/>
      <c r="D505" s="10"/>
      <c r="E505" s="10"/>
      <c r="F505" s="10"/>
      <c r="G505" s="10"/>
      <c r="H505" s="10"/>
    </row>
    <row r="506" spans="1:8" ht="14.25" customHeight="1" x14ac:dyDescent="0.35">
      <c r="A506" s="10"/>
      <c r="B506" s="10"/>
      <c r="C506" s="10"/>
      <c r="D506" s="10"/>
      <c r="E506" s="10"/>
      <c r="F506" s="10"/>
      <c r="G506" s="10"/>
      <c r="H506" s="10"/>
    </row>
    <row r="507" spans="1:8" ht="14.25" customHeight="1" x14ac:dyDescent="0.35">
      <c r="A507" s="10"/>
      <c r="B507" s="10"/>
      <c r="C507" s="10"/>
      <c r="D507" s="10"/>
      <c r="E507" s="10"/>
      <c r="F507" s="10"/>
      <c r="G507" s="10"/>
      <c r="H507" s="10"/>
    </row>
    <row r="508" spans="1:8" ht="14.25" customHeight="1" x14ac:dyDescent="0.35">
      <c r="A508" s="10"/>
      <c r="B508" s="10"/>
      <c r="C508" s="10"/>
      <c r="D508" s="10"/>
      <c r="E508" s="10"/>
      <c r="F508" s="10"/>
      <c r="G508" s="10"/>
      <c r="H508" s="10"/>
    </row>
    <row r="509" spans="1:8" ht="14.25" customHeight="1" x14ac:dyDescent="0.35">
      <c r="A509" s="10"/>
      <c r="B509" s="10"/>
      <c r="C509" s="10"/>
      <c r="D509" s="10"/>
      <c r="E509" s="10"/>
      <c r="F509" s="10"/>
      <c r="G509" s="10"/>
      <c r="H509" s="10"/>
    </row>
    <row r="510" spans="1:8" ht="14.25" customHeight="1" x14ac:dyDescent="0.35">
      <c r="A510" s="10"/>
      <c r="B510" s="10"/>
      <c r="C510" s="10"/>
      <c r="D510" s="10"/>
      <c r="E510" s="10"/>
      <c r="F510" s="10"/>
      <c r="G510" s="10"/>
      <c r="H510" s="10"/>
    </row>
    <row r="511" spans="1:8" ht="14.25" customHeight="1" x14ac:dyDescent="0.35">
      <c r="A511" s="10"/>
      <c r="B511" s="10"/>
      <c r="C511" s="10"/>
      <c r="D511" s="10"/>
      <c r="E511" s="10"/>
      <c r="F511" s="10"/>
      <c r="G511" s="10"/>
      <c r="H511" s="10"/>
    </row>
    <row r="512" spans="1:8" ht="14.25" customHeight="1" x14ac:dyDescent="0.35">
      <c r="A512" s="10"/>
      <c r="B512" s="10"/>
      <c r="C512" s="10"/>
      <c r="D512" s="10"/>
      <c r="E512" s="10"/>
      <c r="F512" s="10"/>
      <c r="G512" s="10"/>
      <c r="H512" s="10"/>
    </row>
    <row r="513" spans="1:8" ht="14.25" customHeight="1" x14ac:dyDescent="0.35">
      <c r="A513" s="10"/>
      <c r="B513" s="10"/>
      <c r="C513" s="10"/>
      <c r="D513" s="10"/>
      <c r="E513" s="10"/>
      <c r="F513" s="10"/>
      <c r="G513" s="10"/>
      <c r="H513" s="10"/>
    </row>
    <row r="514" spans="1:8" ht="14.25" customHeight="1" x14ac:dyDescent="0.35">
      <c r="A514" s="10"/>
      <c r="B514" s="10"/>
      <c r="C514" s="10"/>
      <c r="D514" s="10"/>
      <c r="E514" s="10"/>
      <c r="F514" s="10"/>
      <c r="G514" s="10"/>
      <c r="H514" s="10"/>
    </row>
    <row r="515" spans="1:8" ht="14.25" customHeight="1" x14ac:dyDescent="0.35">
      <c r="A515" s="10"/>
      <c r="B515" s="10"/>
      <c r="C515" s="10"/>
      <c r="D515" s="10"/>
      <c r="E515" s="10"/>
      <c r="F515" s="10"/>
      <c r="G515" s="10"/>
      <c r="H515" s="10"/>
    </row>
    <row r="516" spans="1:8" ht="14.25" customHeight="1" x14ac:dyDescent="0.35">
      <c r="A516" s="10"/>
      <c r="B516" s="10"/>
      <c r="C516" s="10"/>
      <c r="D516" s="10"/>
      <c r="E516" s="10"/>
      <c r="F516" s="10"/>
      <c r="G516" s="10"/>
      <c r="H516" s="10"/>
    </row>
    <row r="517" spans="1:8" ht="14.25" customHeight="1" x14ac:dyDescent="0.35">
      <c r="A517" s="10"/>
      <c r="B517" s="10"/>
      <c r="C517" s="10"/>
      <c r="D517" s="10"/>
      <c r="E517" s="10"/>
      <c r="F517" s="10"/>
      <c r="G517" s="10"/>
      <c r="H517" s="10"/>
    </row>
    <row r="518" spans="1:8" ht="14.25" customHeight="1" x14ac:dyDescent="0.35">
      <c r="A518" s="10"/>
      <c r="B518" s="10"/>
      <c r="C518" s="10"/>
      <c r="D518" s="10"/>
      <c r="E518" s="10"/>
      <c r="F518" s="10"/>
      <c r="G518" s="10"/>
      <c r="H518" s="10"/>
    </row>
    <row r="519" spans="1:8" ht="14.25" customHeight="1" x14ac:dyDescent="0.35">
      <c r="A519" s="10"/>
      <c r="B519" s="10"/>
      <c r="C519" s="10"/>
      <c r="D519" s="10"/>
      <c r="E519" s="10"/>
      <c r="F519" s="10"/>
      <c r="G519" s="10"/>
      <c r="H519" s="10"/>
    </row>
    <row r="520" spans="1:8" ht="14.25" customHeight="1" x14ac:dyDescent="0.35">
      <c r="A520" s="10"/>
      <c r="B520" s="10"/>
      <c r="C520" s="10"/>
      <c r="D520" s="10"/>
      <c r="E520" s="10"/>
      <c r="F520" s="10"/>
      <c r="G520" s="10"/>
      <c r="H520" s="10"/>
    </row>
    <row r="521" spans="1:8" ht="14.25" customHeight="1" x14ac:dyDescent="0.35">
      <c r="A521" s="10"/>
      <c r="B521" s="10"/>
      <c r="C521" s="10"/>
      <c r="D521" s="10"/>
      <c r="E521" s="10"/>
      <c r="F521" s="10"/>
      <c r="G521" s="10"/>
      <c r="H521" s="10"/>
    </row>
    <row r="522" spans="1:8" ht="14.25" customHeight="1" x14ac:dyDescent="0.35">
      <c r="A522" s="10"/>
      <c r="B522" s="10"/>
      <c r="C522" s="10"/>
      <c r="D522" s="10"/>
      <c r="E522" s="10"/>
      <c r="F522" s="10"/>
      <c r="G522" s="10"/>
      <c r="H522" s="10"/>
    </row>
    <row r="523" spans="1:8" ht="14.25" customHeight="1" x14ac:dyDescent="0.35">
      <c r="A523" s="10"/>
      <c r="B523" s="10"/>
      <c r="C523" s="10"/>
      <c r="D523" s="10"/>
      <c r="E523" s="10"/>
      <c r="F523" s="10"/>
      <c r="G523" s="10"/>
      <c r="H523" s="10"/>
    </row>
    <row r="524" spans="1:8" ht="14.25" customHeight="1" x14ac:dyDescent="0.35">
      <c r="A524" s="10"/>
      <c r="B524" s="10"/>
      <c r="C524" s="10"/>
      <c r="D524" s="10"/>
      <c r="E524" s="10"/>
      <c r="F524" s="10"/>
      <c r="G524" s="10"/>
      <c r="H524" s="10"/>
    </row>
    <row r="525" spans="1:8" ht="14.25" customHeight="1" x14ac:dyDescent="0.35">
      <c r="A525" s="10"/>
      <c r="B525" s="10"/>
      <c r="C525" s="10"/>
      <c r="D525" s="10"/>
      <c r="E525" s="10"/>
      <c r="F525" s="10"/>
      <c r="G525" s="10"/>
      <c r="H525" s="10"/>
    </row>
    <row r="526" spans="1:8" ht="14.25" customHeight="1" x14ac:dyDescent="0.35">
      <c r="A526" s="10"/>
      <c r="B526" s="10"/>
      <c r="C526" s="10"/>
      <c r="D526" s="10"/>
      <c r="E526" s="10"/>
      <c r="F526" s="10"/>
      <c r="G526" s="10"/>
      <c r="H526" s="10"/>
    </row>
    <row r="527" spans="1:8" ht="14.25" customHeight="1" x14ac:dyDescent="0.35">
      <c r="A527" s="10"/>
      <c r="B527" s="10"/>
      <c r="C527" s="10"/>
      <c r="D527" s="10"/>
      <c r="E527" s="10"/>
      <c r="F527" s="10"/>
      <c r="G527" s="10"/>
      <c r="H527" s="10"/>
    </row>
    <row r="528" spans="1:8" ht="14.25" customHeight="1" x14ac:dyDescent="0.35">
      <c r="A528" s="10"/>
      <c r="B528" s="10"/>
      <c r="C528" s="10"/>
      <c r="D528" s="10"/>
      <c r="E528" s="10"/>
      <c r="F528" s="10"/>
      <c r="G528" s="10"/>
      <c r="H528" s="10"/>
    </row>
    <row r="529" spans="1:8" ht="14.25" customHeight="1" x14ac:dyDescent="0.35">
      <c r="A529" s="10"/>
      <c r="B529" s="10"/>
      <c r="C529" s="10"/>
      <c r="D529" s="10"/>
      <c r="E529" s="10"/>
      <c r="F529" s="10"/>
      <c r="G529" s="10"/>
      <c r="H529" s="10"/>
    </row>
    <row r="530" spans="1:8" ht="14.25" customHeight="1" x14ac:dyDescent="0.35">
      <c r="A530" s="10"/>
      <c r="B530" s="10"/>
      <c r="C530" s="10"/>
      <c r="D530" s="10"/>
      <c r="E530" s="10"/>
      <c r="F530" s="10"/>
      <c r="G530" s="10"/>
      <c r="H530" s="10"/>
    </row>
    <row r="531" spans="1:8" ht="14.25" customHeight="1" x14ac:dyDescent="0.35">
      <c r="A531" s="10"/>
      <c r="B531" s="10"/>
      <c r="C531" s="10"/>
      <c r="D531" s="10"/>
      <c r="E531" s="10"/>
      <c r="F531" s="10"/>
      <c r="G531" s="10"/>
      <c r="H531" s="10"/>
    </row>
    <row r="532" spans="1:8" ht="14.25" customHeight="1" x14ac:dyDescent="0.35">
      <c r="A532" s="10"/>
      <c r="B532" s="10"/>
      <c r="C532" s="10"/>
      <c r="D532" s="10"/>
      <c r="E532" s="10"/>
      <c r="F532" s="10"/>
      <c r="G532" s="10"/>
      <c r="H532" s="10"/>
    </row>
    <row r="533" spans="1:8" ht="14.25" customHeight="1" x14ac:dyDescent="0.35">
      <c r="A533" s="10"/>
      <c r="B533" s="10"/>
      <c r="C533" s="10"/>
      <c r="D533" s="10"/>
      <c r="E533" s="10"/>
      <c r="F533" s="10"/>
      <c r="G533" s="10"/>
      <c r="H533" s="10"/>
    </row>
    <row r="534" spans="1:8" ht="14.25" customHeight="1" x14ac:dyDescent="0.35">
      <c r="A534" s="10"/>
      <c r="B534" s="10"/>
      <c r="C534" s="10"/>
      <c r="D534" s="10"/>
      <c r="E534" s="10"/>
      <c r="F534" s="10"/>
      <c r="G534" s="10"/>
      <c r="H534" s="10"/>
    </row>
    <row r="535" spans="1:8" ht="14.25" customHeight="1" x14ac:dyDescent="0.35">
      <c r="A535" s="10"/>
      <c r="B535" s="10"/>
      <c r="C535" s="10"/>
      <c r="D535" s="10"/>
      <c r="E535" s="10"/>
      <c r="F535" s="10"/>
      <c r="G535" s="10"/>
      <c r="H535" s="10"/>
    </row>
    <row r="536" spans="1:8" ht="14.25" customHeight="1" x14ac:dyDescent="0.35">
      <c r="A536" s="10"/>
      <c r="B536" s="10"/>
      <c r="C536" s="10"/>
      <c r="D536" s="10"/>
      <c r="E536" s="10"/>
      <c r="F536" s="10"/>
      <c r="G536" s="10"/>
      <c r="H536" s="10"/>
    </row>
    <row r="537" spans="1:8" ht="14.25" customHeight="1" x14ac:dyDescent="0.35">
      <c r="A537" s="10"/>
      <c r="B537" s="10"/>
      <c r="C537" s="10"/>
      <c r="D537" s="10"/>
      <c r="E537" s="10"/>
      <c r="F537" s="10"/>
      <c r="G537" s="10"/>
      <c r="H537" s="10"/>
    </row>
    <row r="538" spans="1:8" ht="14.25" customHeight="1" x14ac:dyDescent="0.35">
      <c r="A538" s="10"/>
      <c r="B538" s="10"/>
      <c r="C538" s="10"/>
      <c r="D538" s="10"/>
      <c r="E538" s="10"/>
      <c r="F538" s="10"/>
      <c r="G538" s="10"/>
      <c r="H538" s="10"/>
    </row>
    <row r="539" spans="1:8" ht="14.25" customHeight="1" x14ac:dyDescent="0.35">
      <c r="A539" s="10"/>
      <c r="B539" s="10"/>
      <c r="C539" s="10"/>
      <c r="D539" s="10"/>
      <c r="E539" s="10"/>
      <c r="F539" s="10"/>
      <c r="G539" s="10"/>
      <c r="H539" s="10"/>
    </row>
    <row r="540" spans="1:8" ht="14.25" customHeight="1" x14ac:dyDescent="0.35">
      <c r="A540" s="10"/>
      <c r="B540" s="10"/>
      <c r="C540" s="10"/>
      <c r="D540" s="10"/>
      <c r="E540" s="10"/>
      <c r="F540" s="10"/>
      <c r="G540" s="10"/>
      <c r="H540" s="10"/>
    </row>
    <row r="541" spans="1:8" ht="14.25" customHeight="1" x14ac:dyDescent="0.35">
      <c r="A541" s="10"/>
      <c r="B541" s="10"/>
      <c r="C541" s="10"/>
      <c r="D541" s="10"/>
      <c r="E541" s="10"/>
      <c r="F541" s="10"/>
      <c r="G541" s="10"/>
      <c r="H541" s="10"/>
    </row>
    <row r="542" spans="1:8" ht="14.25" customHeight="1" x14ac:dyDescent="0.35">
      <c r="A542" s="10"/>
      <c r="B542" s="10"/>
      <c r="C542" s="10"/>
      <c r="D542" s="10"/>
      <c r="E542" s="10"/>
      <c r="F542" s="10"/>
      <c r="G542" s="10"/>
      <c r="H542" s="10"/>
    </row>
    <row r="543" spans="1:8" ht="14.25" customHeight="1" x14ac:dyDescent="0.35">
      <c r="A543" s="10"/>
      <c r="B543" s="10"/>
      <c r="C543" s="10"/>
      <c r="D543" s="10"/>
      <c r="E543" s="10"/>
      <c r="F543" s="10"/>
      <c r="G543" s="10"/>
      <c r="H543" s="10"/>
    </row>
    <row r="544" spans="1:8" ht="14.25" customHeight="1" x14ac:dyDescent="0.35">
      <c r="A544" s="10"/>
      <c r="B544" s="10"/>
      <c r="C544" s="10"/>
      <c r="D544" s="10"/>
      <c r="E544" s="10"/>
      <c r="F544" s="10"/>
      <c r="G544" s="10"/>
      <c r="H544" s="10"/>
    </row>
    <row r="545" spans="1:8" ht="14.25" customHeight="1" x14ac:dyDescent="0.35">
      <c r="A545" s="10"/>
      <c r="B545" s="10"/>
      <c r="C545" s="10"/>
      <c r="D545" s="10"/>
      <c r="E545" s="10"/>
      <c r="F545" s="10"/>
      <c r="G545" s="10"/>
      <c r="H545" s="10"/>
    </row>
    <row r="546" spans="1:8" ht="14.25" customHeight="1" x14ac:dyDescent="0.35">
      <c r="A546" s="10"/>
      <c r="B546" s="10"/>
      <c r="C546" s="10"/>
      <c r="D546" s="10"/>
      <c r="E546" s="10"/>
      <c r="F546" s="10"/>
      <c r="G546" s="10"/>
      <c r="H546" s="10"/>
    </row>
    <row r="547" spans="1:8" ht="14.25" customHeight="1" x14ac:dyDescent="0.35">
      <c r="A547" s="10"/>
      <c r="B547" s="10"/>
      <c r="C547" s="10"/>
      <c r="D547" s="10"/>
      <c r="E547" s="10"/>
      <c r="F547" s="10"/>
      <c r="G547" s="10"/>
      <c r="H547" s="10"/>
    </row>
    <row r="548" spans="1:8" ht="14.25" customHeight="1" x14ac:dyDescent="0.35">
      <c r="A548" s="10"/>
      <c r="B548" s="10"/>
      <c r="C548" s="10"/>
      <c r="D548" s="10"/>
      <c r="E548" s="10"/>
      <c r="F548" s="10"/>
      <c r="G548" s="10"/>
      <c r="H548" s="10"/>
    </row>
    <row r="549" spans="1:8" ht="14.25" customHeight="1" x14ac:dyDescent="0.35">
      <c r="A549" s="10"/>
      <c r="B549" s="10"/>
      <c r="C549" s="10"/>
      <c r="D549" s="10"/>
      <c r="E549" s="10"/>
      <c r="F549" s="10"/>
      <c r="G549" s="10"/>
      <c r="H549" s="10"/>
    </row>
    <row r="550" spans="1:8" ht="14.25" customHeight="1" x14ac:dyDescent="0.35">
      <c r="A550" s="10"/>
      <c r="B550" s="10"/>
      <c r="C550" s="10"/>
      <c r="D550" s="10"/>
      <c r="E550" s="10"/>
      <c r="F550" s="10"/>
      <c r="G550" s="10"/>
      <c r="H550" s="10"/>
    </row>
    <row r="551" spans="1:8" ht="14.25" customHeight="1" x14ac:dyDescent="0.35">
      <c r="A551" s="10"/>
      <c r="B551" s="10"/>
      <c r="C551" s="10"/>
      <c r="D551" s="10"/>
      <c r="E551" s="10"/>
      <c r="F551" s="10"/>
      <c r="G551" s="10"/>
      <c r="H551" s="10"/>
    </row>
    <row r="552" spans="1:8" ht="14.25" customHeight="1" x14ac:dyDescent="0.35">
      <c r="A552" s="10"/>
      <c r="B552" s="10"/>
      <c r="C552" s="10"/>
      <c r="D552" s="10"/>
      <c r="E552" s="10"/>
      <c r="F552" s="10"/>
      <c r="G552" s="10"/>
      <c r="H552" s="10"/>
    </row>
    <row r="553" spans="1:8" ht="14.25" customHeight="1" x14ac:dyDescent="0.35">
      <c r="A553" s="10"/>
      <c r="B553" s="10"/>
      <c r="C553" s="10"/>
      <c r="D553" s="10"/>
      <c r="E553" s="10"/>
      <c r="F553" s="10"/>
      <c r="G553" s="10"/>
      <c r="H553" s="10"/>
    </row>
    <row r="554" spans="1:8" ht="14.25" customHeight="1" x14ac:dyDescent="0.35">
      <c r="A554" s="10"/>
      <c r="B554" s="10"/>
      <c r="C554" s="10"/>
      <c r="D554" s="10"/>
      <c r="E554" s="10"/>
      <c r="F554" s="10"/>
      <c r="G554" s="10"/>
      <c r="H554" s="10"/>
    </row>
    <row r="555" spans="1:8" ht="14.25" customHeight="1" x14ac:dyDescent="0.35">
      <c r="A555" s="10"/>
      <c r="B555" s="10"/>
      <c r="C555" s="10"/>
      <c r="D555" s="10"/>
      <c r="E555" s="10"/>
      <c r="F555" s="10"/>
      <c r="G555" s="10"/>
      <c r="H555" s="10"/>
    </row>
    <row r="556" spans="1:8" ht="14.25" customHeight="1" x14ac:dyDescent="0.35">
      <c r="A556" s="10"/>
      <c r="B556" s="10"/>
      <c r="C556" s="10"/>
      <c r="D556" s="10"/>
      <c r="E556" s="10"/>
      <c r="F556" s="10"/>
      <c r="G556" s="10"/>
      <c r="H556" s="10"/>
    </row>
    <row r="557" spans="1:8" ht="14.25" customHeight="1" x14ac:dyDescent="0.35">
      <c r="A557" s="10"/>
      <c r="B557" s="10"/>
      <c r="C557" s="10"/>
      <c r="D557" s="10"/>
      <c r="E557" s="10"/>
      <c r="F557" s="10"/>
      <c r="G557" s="10"/>
      <c r="H557" s="10"/>
    </row>
    <row r="558" spans="1:8" ht="14.25" customHeight="1" x14ac:dyDescent="0.35">
      <c r="A558" s="10"/>
      <c r="B558" s="10"/>
      <c r="C558" s="10"/>
      <c r="D558" s="10"/>
      <c r="E558" s="10"/>
      <c r="F558" s="10"/>
      <c r="G558" s="10"/>
      <c r="H558" s="10"/>
    </row>
    <row r="559" spans="1:8" ht="14.25" customHeight="1" x14ac:dyDescent="0.35">
      <c r="A559" s="10"/>
      <c r="B559" s="10"/>
      <c r="C559" s="10"/>
      <c r="D559" s="10"/>
      <c r="E559" s="10"/>
      <c r="F559" s="10"/>
      <c r="G559" s="10"/>
      <c r="H559" s="10"/>
    </row>
    <row r="560" spans="1:8" ht="14.25" customHeight="1" x14ac:dyDescent="0.35">
      <c r="A560" s="10"/>
      <c r="B560" s="10"/>
      <c r="C560" s="10"/>
      <c r="D560" s="10"/>
      <c r="E560" s="10"/>
      <c r="F560" s="10"/>
      <c r="G560" s="10"/>
      <c r="H560" s="10"/>
    </row>
    <row r="561" spans="1:8" ht="14.25" customHeight="1" x14ac:dyDescent="0.35">
      <c r="A561" s="10"/>
      <c r="B561" s="10"/>
      <c r="C561" s="10"/>
      <c r="D561" s="10"/>
      <c r="E561" s="10"/>
      <c r="F561" s="10"/>
      <c r="G561" s="10"/>
      <c r="H561" s="10"/>
    </row>
    <row r="562" spans="1:8" ht="14.25" customHeight="1" x14ac:dyDescent="0.35">
      <c r="A562" s="10"/>
      <c r="B562" s="10"/>
      <c r="C562" s="10"/>
      <c r="D562" s="10"/>
      <c r="E562" s="10"/>
      <c r="F562" s="10"/>
      <c r="G562" s="10"/>
      <c r="H562" s="10"/>
    </row>
    <row r="563" spans="1:8" ht="14.25" customHeight="1" x14ac:dyDescent="0.35">
      <c r="A563" s="10"/>
      <c r="B563" s="10"/>
      <c r="C563" s="10"/>
      <c r="D563" s="10"/>
      <c r="E563" s="10"/>
      <c r="F563" s="10"/>
      <c r="G563" s="10"/>
      <c r="H563" s="10"/>
    </row>
    <row r="564" spans="1:8" ht="14.25" customHeight="1" x14ac:dyDescent="0.35">
      <c r="A564" s="10"/>
      <c r="B564" s="10"/>
      <c r="C564" s="10"/>
      <c r="D564" s="10"/>
      <c r="E564" s="10"/>
      <c r="F564" s="10"/>
      <c r="G564" s="10"/>
      <c r="H564" s="10"/>
    </row>
    <row r="565" spans="1:8" ht="14.25" customHeight="1" x14ac:dyDescent="0.35">
      <c r="A565" s="10"/>
      <c r="B565" s="10"/>
      <c r="C565" s="10"/>
      <c r="D565" s="10"/>
      <c r="E565" s="10"/>
      <c r="F565" s="10"/>
      <c r="G565" s="10"/>
      <c r="H565" s="10"/>
    </row>
    <row r="566" spans="1:8" ht="14.25" customHeight="1" x14ac:dyDescent="0.35">
      <c r="A566" s="10"/>
      <c r="B566" s="10"/>
      <c r="C566" s="10"/>
      <c r="D566" s="10"/>
      <c r="E566" s="10"/>
      <c r="F566" s="10"/>
      <c r="G566" s="10"/>
      <c r="H566" s="10"/>
    </row>
    <row r="567" spans="1:8" ht="14.25" customHeight="1" x14ac:dyDescent="0.35">
      <c r="A567" s="10"/>
      <c r="B567" s="10"/>
      <c r="C567" s="10"/>
      <c r="D567" s="10"/>
      <c r="E567" s="10"/>
      <c r="F567" s="10"/>
      <c r="G567" s="10"/>
      <c r="H567" s="10"/>
    </row>
    <row r="568" spans="1:8" ht="14.25" customHeight="1" x14ac:dyDescent="0.35">
      <c r="A568" s="10"/>
      <c r="B568" s="10"/>
      <c r="C568" s="10"/>
      <c r="D568" s="10"/>
      <c r="E568" s="10"/>
      <c r="F568" s="10"/>
      <c r="G568" s="10"/>
      <c r="H568" s="10"/>
    </row>
    <row r="569" spans="1:8" ht="14.25" customHeight="1" x14ac:dyDescent="0.35">
      <c r="A569" s="10"/>
      <c r="B569" s="10"/>
      <c r="C569" s="10"/>
      <c r="D569" s="10"/>
      <c r="E569" s="10"/>
      <c r="F569" s="10"/>
      <c r="G569" s="10"/>
      <c r="H569" s="10"/>
    </row>
    <row r="570" spans="1:8" ht="14.25" customHeight="1" x14ac:dyDescent="0.35">
      <c r="A570" s="10"/>
      <c r="B570" s="10"/>
      <c r="C570" s="10"/>
      <c r="D570" s="10"/>
      <c r="E570" s="10"/>
      <c r="F570" s="10"/>
      <c r="G570" s="10"/>
      <c r="H570" s="10"/>
    </row>
    <row r="571" spans="1:8" ht="14.25" customHeight="1" x14ac:dyDescent="0.35">
      <c r="A571" s="10"/>
      <c r="B571" s="10"/>
      <c r="C571" s="10"/>
      <c r="D571" s="10"/>
      <c r="E571" s="10"/>
      <c r="F571" s="10"/>
      <c r="G571" s="10"/>
      <c r="H571" s="10"/>
    </row>
    <row r="572" spans="1:8" ht="14.25" customHeight="1" x14ac:dyDescent="0.35">
      <c r="A572" s="10"/>
      <c r="B572" s="10"/>
      <c r="C572" s="10"/>
      <c r="D572" s="10"/>
      <c r="E572" s="10"/>
      <c r="F572" s="10"/>
      <c r="G572" s="10"/>
      <c r="H572" s="10"/>
    </row>
    <row r="573" spans="1:8" ht="14.25" customHeight="1" x14ac:dyDescent="0.35">
      <c r="A573" s="10"/>
      <c r="B573" s="10"/>
      <c r="C573" s="10"/>
      <c r="D573" s="10"/>
      <c r="E573" s="10"/>
      <c r="F573" s="10"/>
      <c r="G573" s="10"/>
      <c r="H573" s="10"/>
    </row>
    <row r="574" spans="1:8" ht="14.25" customHeight="1" x14ac:dyDescent="0.35">
      <c r="A574" s="10"/>
      <c r="B574" s="10"/>
      <c r="C574" s="10"/>
      <c r="D574" s="10"/>
      <c r="E574" s="10"/>
      <c r="F574" s="10"/>
      <c r="G574" s="10"/>
      <c r="H574" s="10"/>
    </row>
    <row r="575" spans="1:8" ht="14.25" customHeight="1" x14ac:dyDescent="0.35">
      <c r="A575" s="10"/>
      <c r="B575" s="10"/>
      <c r="C575" s="10"/>
      <c r="D575" s="10"/>
      <c r="E575" s="10"/>
      <c r="F575" s="10"/>
      <c r="G575" s="10"/>
      <c r="H575" s="10"/>
    </row>
    <row r="576" spans="1:8" ht="14.25" customHeight="1" x14ac:dyDescent="0.35">
      <c r="A576" s="10"/>
      <c r="B576" s="10"/>
      <c r="C576" s="10"/>
      <c r="D576" s="10"/>
      <c r="E576" s="10"/>
      <c r="F576" s="10"/>
      <c r="G576" s="10"/>
      <c r="H576" s="10"/>
    </row>
    <row r="577" spans="1:8" ht="14.25" customHeight="1" x14ac:dyDescent="0.35">
      <c r="A577" s="10"/>
      <c r="B577" s="10"/>
      <c r="C577" s="10"/>
      <c r="D577" s="10"/>
      <c r="E577" s="10"/>
      <c r="F577" s="10"/>
      <c r="G577" s="10"/>
      <c r="H577" s="10"/>
    </row>
    <row r="578" spans="1:8" ht="14.25" customHeight="1" x14ac:dyDescent="0.35">
      <c r="A578" s="10"/>
      <c r="B578" s="10"/>
      <c r="C578" s="10"/>
      <c r="D578" s="10"/>
      <c r="E578" s="10"/>
      <c r="F578" s="10"/>
      <c r="G578" s="10"/>
      <c r="H578" s="10"/>
    </row>
    <row r="579" spans="1:8" ht="14.25" customHeight="1" x14ac:dyDescent="0.35">
      <c r="A579" s="10"/>
      <c r="B579" s="10"/>
      <c r="C579" s="10"/>
      <c r="D579" s="10"/>
      <c r="E579" s="10"/>
      <c r="F579" s="10"/>
      <c r="G579" s="10"/>
      <c r="H579" s="10"/>
    </row>
    <row r="580" spans="1:8" ht="14.25" customHeight="1" x14ac:dyDescent="0.35">
      <c r="A580" s="10"/>
      <c r="B580" s="10"/>
      <c r="C580" s="10"/>
      <c r="D580" s="10"/>
      <c r="E580" s="10"/>
      <c r="F580" s="10"/>
      <c r="G580" s="10"/>
      <c r="H580" s="10"/>
    </row>
    <row r="581" spans="1:8" ht="14.25" customHeight="1" x14ac:dyDescent="0.35">
      <c r="A581" s="10"/>
      <c r="B581" s="10"/>
      <c r="C581" s="10"/>
      <c r="D581" s="10"/>
      <c r="E581" s="10"/>
      <c r="F581" s="10"/>
      <c r="G581" s="10"/>
      <c r="H581" s="10"/>
    </row>
    <row r="582" spans="1:8" ht="14.25" customHeight="1" x14ac:dyDescent="0.35">
      <c r="A582" s="10"/>
      <c r="B582" s="10"/>
      <c r="C582" s="10"/>
      <c r="D582" s="10"/>
      <c r="E582" s="10"/>
      <c r="F582" s="10"/>
      <c r="G582" s="10"/>
      <c r="H582" s="10"/>
    </row>
    <row r="583" spans="1:8" ht="14.25" customHeight="1" x14ac:dyDescent="0.35">
      <c r="A583" s="10"/>
      <c r="B583" s="10"/>
      <c r="C583" s="10"/>
      <c r="D583" s="10"/>
      <c r="E583" s="10"/>
      <c r="F583" s="10"/>
      <c r="G583" s="10"/>
      <c r="H583" s="10"/>
    </row>
    <row r="584" spans="1:8" ht="14.25" customHeight="1" x14ac:dyDescent="0.35">
      <c r="A584" s="10"/>
      <c r="B584" s="10"/>
      <c r="C584" s="10"/>
      <c r="D584" s="10"/>
      <c r="E584" s="10"/>
      <c r="F584" s="10"/>
      <c r="G584" s="10"/>
      <c r="H584" s="10"/>
    </row>
    <row r="585" spans="1:8" ht="14.25" customHeight="1" x14ac:dyDescent="0.35">
      <c r="A585" s="10"/>
      <c r="B585" s="10"/>
      <c r="C585" s="10"/>
      <c r="D585" s="10"/>
      <c r="E585" s="10"/>
      <c r="F585" s="10"/>
      <c r="G585" s="10"/>
      <c r="H585" s="10"/>
    </row>
    <row r="586" spans="1:8" ht="14.25" customHeight="1" x14ac:dyDescent="0.35">
      <c r="A586" s="10"/>
      <c r="B586" s="10"/>
      <c r="C586" s="10"/>
      <c r="D586" s="10"/>
      <c r="E586" s="10"/>
      <c r="F586" s="10"/>
      <c r="G586" s="10"/>
      <c r="H586" s="10"/>
    </row>
    <row r="587" spans="1:8" ht="14.25" customHeight="1" x14ac:dyDescent="0.35">
      <c r="A587" s="10"/>
      <c r="B587" s="10"/>
      <c r="C587" s="10"/>
      <c r="D587" s="10"/>
      <c r="E587" s="10"/>
      <c r="F587" s="10"/>
      <c r="G587" s="10"/>
      <c r="H587" s="10"/>
    </row>
    <row r="588" spans="1:8" ht="14.25" customHeight="1" x14ac:dyDescent="0.35">
      <c r="A588" s="10"/>
      <c r="B588" s="10"/>
      <c r="C588" s="10"/>
      <c r="D588" s="10"/>
      <c r="E588" s="10"/>
      <c r="F588" s="10"/>
      <c r="G588" s="10"/>
      <c r="H588" s="10"/>
    </row>
    <row r="589" spans="1:8" ht="14.25" customHeight="1" x14ac:dyDescent="0.35">
      <c r="A589" s="10"/>
      <c r="B589" s="10"/>
      <c r="C589" s="10"/>
      <c r="D589" s="10"/>
      <c r="E589" s="10"/>
      <c r="F589" s="10"/>
      <c r="G589" s="10"/>
      <c r="H589" s="10"/>
    </row>
    <row r="590" spans="1:8" ht="14.25" customHeight="1" x14ac:dyDescent="0.35">
      <c r="A590" s="10"/>
      <c r="B590" s="10"/>
      <c r="C590" s="10"/>
      <c r="D590" s="10"/>
      <c r="E590" s="10"/>
      <c r="F590" s="10"/>
      <c r="G590" s="10"/>
      <c r="H590" s="10"/>
    </row>
    <row r="591" spans="1:8" ht="14.25" customHeight="1" x14ac:dyDescent="0.35">
      <c r="A591" s="10"/>
      <c r="B591" s="10"/>
      <c r="C591" s="10"/>
      <c r="D591" s="10"/>
      <c r="E591" s="10"/>
      <c r="F591" s="10"/>
      <c r="G591" s="10"/>
      <c r="H591" s="10"/>
    </row>
    <row r="592" spans="1:8" ht="14.25" customHeight="1" x14ac:dyDescent="0.35">
      <c r="A592" s="10"/>
      <c r="B592" s="10"/>
      <c r="C592" s="10"/>
      <c r="D592" s="10"/>
      <c r="E592" s="10"/>
      <c r="F592" s="10"/>
      <c r="G592" s="10"/>
      <c r="H592" s="10"/>
    </row>
    <row r="593" spans="1:8" ht="14.25" customHeight="1" x14ac:dyDescent="0.35">
      <c r="A593" s="10"/>
      <c r="B593" s="10"/>
      <c r="C593" s="10"/>
      <c r="D593" s="10"/>
      <c r="E593" s="10"/>
      <c r="F593" s="10"/>
      <c r="G593" s="10"/>
      <c r="H593" s="10"/>
    </row>
    <row r="594" spans="1:8" ht="14.25" customHeight="1" x14ac:dyDescent="0.35">
      <c r="A594" s="10"/>
      <c r="B594" s="10"/>
      <c r="C594" s="10"/>
      <c r="D594" s="10"/>
      <c r="E594" s="10"/>
      <c r="F594" s="10"/>
      <c r="G594" s="10"/>
      <c r="H594" s="10"/>
    </row>
    <row r="595" spans="1:8" ht="14.25" customHeight="1" x14ac:dyDescent="0.35">
      <c r="A595" s="10"/>
      <c r="B595" s="10"/>
      <c r="C595" s="10"/>
      <c r="D595" s="10"/>
      <c r="E595" s="10"/>
      <c r="F595" s="10"/>
      <c r="G595" s="10"/>
      <c r="H595" s="10"/>
    </row>
    <row r="596" spans="1:8" ht="14.25" customHeight="1" x14ac:dyDescent="0.35">
      <c r="A596" s="10"/>
      <c r="B596" s="10"/>
      <c r="C596" s="10"/>
      <c r="D596" s="10"/>
      <c r="E596" s="10"/>
      <c r="F596" s="10"/>
      <c r="G596" s="10"/>
      <c r="H596" s="10"/>
    </row>
    <row r="597" spans="1:8" ht="14.25" customHeight="1" x14ac:dyDescent="0.35">
      <c r="A597" s="10"/>
      <c r="B597" s="10"/>
      <c r="C597" s="10"/>
      <c r="D597" s="10"/>
      <c r="E597" s="10"/>
      <c r="F597" s="10"/>
      <c r="G597" s="10"/>
      <c r="H597" s="10"/>
    </row>
    <row r="598" spans="1:8" ht="14.25" customHeight="1" x14ac:dyDescent="0.35">
      <c r="A598" s="10"/>
      <c r="B598" s="10"/>
      <c r="C598" s="10"/>
      <c r="D598" s="10"/>
      <c r="E598" s="10"/>
      <c r="F598" s="10"/>
      <c r="G598" s="10"/>
      <c r="H598" s="10"/>
    </row>
    <row r="599" spans="1:8" ht="14.25" customHeight="1" x14ac:dyDescent="0.35">
      <c r="A599" s="10"/>
      <c r="B599" s="10"/>
      <c r="C599" s="10"/>
      <c r="D599" s="10"/>
      <c r="E599" s="10"/>
      <c r="F599" s="10"/>
      <c r="G599" s="10"/>
      <c r="H599" s="10"/>
    </row>
    <row r="600" spans="1:8" ht="14.25" customHeight="1" x14ac:dyDescent="0.35">
      <c r="A600" s="10"/>
      <c r="B600" s="10"/>
      <c r="C600" s="10"/>
      <c r="D600" s="10"/>
      <c r="E600" s="10"/>
      <c r="F600" s="10"/>
      <c r="G600" s="10"/>
      <c r="H600" s="10"/>
    </row>
    <row r="601" spans="1:8" ht="14.25" customHeight="1" x14ac:dyDescent="0.35">
      <c r="A601" s="10"/>
      <c r="B601" s="10"/>
      <c r="C601" s="10"/>
      <c r="D601" s="10"/>
      <c r="E601" s="10"/>
      <c r="F601" s="10"/>
      <c r="G601" s="10"/>
      <c r="H601" s="10"/>
    </row>
    <row r="602" spans="1:8" ht="14.25" customHeight="1" x14ac:dyDescent="0.35">
      <c r="A602" s="10"/>
      <c r="B602" s="10"/>
      <c r="C602" s="10"/>
      <c r="D602" s="10"/>
      <c r="E602" s="10"/>
      <c r="F602" s="10"/>
      <c r="G602" s="10"/>
      <c r="H602" s="10"/>
    </row>
    <row r="603" spans="1:8" ht="14.25" customHeight="1" x14ac:dyDescent="0.35">
      <c r="A603" s="10"/>
      <c r="B603" s="10"/>
      <c r="C603" s="10"/>
      <c r="D603" s="10"/>
      <c r="E603" s="10"/>
      <c r="F603" s="10"/>
      <c r="G603" s="10"/>
      <c r="H603" s="10"/>
    </row>
    <row r="604" spans="1:8" ht="14.25" customHeight="1" x14ac:dyDescent="0.35">
      <c r="A604" s="10"/>
      <c r="B604" s="10"/>
      <c r="C604" s="10"/>
      <c r="D604" s="10"/>
      <c r="E604" s="10"/>
      <c r="F604" s="10"/>
      <c r="G604" s="10"/>
      <c r="H604" s="10"/>
    </row>
    <row r="605" spans="1:8" ht="14.25" customHeight="1" x14ac:dyDescent="0.35">
      <c r="A605" s="10"/>
      <c r="B605" s="10"/>
      <c r="C605" s="10"/>
      <c r="D605" s="10"/>
      <c r="E605" s="10"/>
      <c r="F605" s="10"/>
      <c r="G605" s="10"/>
      <c r="H605" s="10"/>
    </row>
    <row r="606" spans="1:8" ht="14.25" customHeight="1" x14ac:dyDescent="0.35">
      <c r="A606" s="10"/>
      <c r="B606" s="10"/>
      <c r="C606" s="10"/>
      <c r="D606" s="10"/>
      <c r="E606" s="10"/>
      <c r="F606" s="10"/>
      <c r="G606" s="10"/>
      <c r="H606" s="10"/>
    </row>
    <row r="607" spans="1:8" ht="14.25" customHeight="1" x14ac:dyDescent="0.35">
      <c r="A607" s="10"/>
      <c r="B607" s="10"/>
      <c r="C607" s="10"/>
      <c r="D607" s="10"/>
      <c r="E607" s="10"/>
      <c r="F607" s="10"/>
      <c r="G607" s="10"/>
      <c r="H607" s="10"/>
    </row>
    <row r="608" spans="1:8" ht="14.25" customHeight="1" x14ac:dyDescent="0.35">
      <c r="A608" s="10"/>
      <c r="B608" s="10"/>
      <c r="C608" s="10"/>
      <c r="D608" s="10"/>
      <c r="E608" s="10"/>
      <c r="F608" s="10"/>
      <c r="G608" s="10"/>
      <c r="H608" s="10"/>
    </row>
    <row r="609" spans="1:8" ht="14.25" customHeight="1" x14ac:dyDescent="0.35">
      <c r="A609" s="10"/>
      <c r="B609" s="10"/>
      <c r="C609" s="10"/>
      <c r="D609" s="10"/>
      <c r="E609" s="10"/>
      <c r="F609" s="10"/>
      <c r="G609" s="10"/>
      <c r="H609" s="10"/>
    </row>
    <row r="610" spans="1:8" ht="14.25" customHeight="1" x14ac:dyDescent="0.35">
      <c r="A610" s="10"/>
      <c r="B610" s="10"/>
      <c r="C610" s="10"/>
      <c r="D610" s="10"/>
      <c r="E610" s="10"/>
      <c r="F610" s="10"/>
      <c r="G610" s="10"/>
      <c r="H610" s="10"/>
    </row>
    <row r="611" spans="1:8" ht="14.25" customHeight="1" x14ac:dyDescent="0.35">
      <c r="A611" s="10"/>
      <c r="B611" s="10"/>
      <c r="C611" s="10"/>
      <c r="D611" s="10"/>
      <c r="E611" s="10"/>
      <c r="F611" s="10"/>
      <c r="G611" s="10"/>
      <c r="H611" s="10"/>
    </row>
    <row r="612" spans="1:8" ht="14.25" customHeight="1" x14ac:dyDescent="0.35">
      <c r="A612" s="10"/>
      <c r="B612" s="10"/>
      <c r="C612" s="10"/>
      <c r="D612" s="10"/>
      <c r="E612" s="10"/>
      <c r="F612" s="10"/>
      <c r="G612" s="10"/>
      <c r="H612" s="10"/>
    </row>
    <row r="613" spans="1:8" ht="14.25" customHeight="1" x14ac:dyDescent="0.35">
      <c r="A613" s="10"/>
      <c r="B613" s="10"/>
      <c r="C613" s="10"/>
      <c r="D613" s="10"/>
      <c r="E613" s="10"/>
      <c r="F613" s="10"/>
      <c r="G613" s="10"/>
      <c r="H613" s="10"/>
    </row>
    <row r="614" spans="1:8" ht="14.25" customHeight="1" x14ac:dyDescent="0.35">
      <c r="A614" s="10"/>
      <c r="B614" s="10"/>
      <c r="C614" s="10"/>
      <c r="D614" s="10"/>
      <c r="E614" s="10"/>
      <c r="F614" s="10"/>
      <c r="G614" s="10"/>
      <c r="H614" s="10"/>
    </row>
    <row r="615" spans="1:8" ht="14.25" customHeight="1" x14ac:dyDescent="0.35">
      <c r="A615" s="10"/>
      <c r="B615" s="10"/>
      <c r="C615" s="10"/>
      <c r="D615" s="10"/>
      <c r="E615" s="10"/>
      <c r="F615" s="10"/>
      <c r="G615" s="10"/>
      <c r="H615" s="10"/>
    </row>
    <row r="616" spans="1:8" ht="14.25" customHeight="1" x14ac:dyDescent="0.35">
      <c r="A616" s="10"/>
      <c r="B616" s="10"/>
      <c r="C616" s="10"/>
      <c r="D616" s="10"/>
      <c r="E616" s="10"/>
      <c r="F616" s="10"/>
      <c r="G616" s="10"/>
      <c r="H616" s="10"/>
    </row>
    <row r="617" spans="1:8" ht="14.25" customHeight="1" x14ac:dyDescent="0.35">
      <c r="A617" s="10"/>
      <c r="B617" s="10"/>
      <c r="C617" s="10"/>
      <c r="D617" s="10"/>
      <c r="E617" s="10"/>
      <c r="F617" s="10"/>
      <c r="G617" s="10"/>
      <c r="H617" s="10"/>
    </row>
    <row r="618" spans="1:8" ht="14.25" customHeight="1" x14ac:dyDescent="0.35">
      <c r="A618" s="10"/>
      <c r="B618" s="10"/>
      <c r="C618" s="10"/>
      <c r="D618" s="10"/>
      <c r="E618" s="10"/>
      <c r="F618" s="10"/>
      <c r="G618" s="10"/>
      <c r="H618" s="10"/>
    </row>
    <row r="619" spans="1:8" ht="14.25" customHeight="1" x14ac:dyDescent="0.35">
      <c r="A619" s="10"/>
      <c r="B619" s="10"/>
      <c r="C619" s="10"/>
      <c r="D619" s="10"/>
      <c r="E619" s="10"/>
      <c r="F619" s="10"/>
      <c r="G619" s="10"/>
      <c r="H619" s="10"/>
    </row>
    <row r="620" spans="1:8" ht="14.25" customHeight="1" x14ac:dyDescent="0.35">
      <c r="A620" s="10"/>
      <c r="B620" s="10"/>
      <c r="C620" s="10"/>
      <c r="D620" s="10"/>
      <c r="E620" s="10"/>
      <c r="F620" s="10"/>
      <c r="G620" s="10"/>
      <c r="H620" s="10"/>
    </row>
    <row r="621" spans="1:8" ht="14.25" customHeight="1" x14ac:dyDescent="0.35">
      <c r="A621" s="10"/>
      <c r="B621" s="10"/>
      <c r="C621" s="10"/>
      <c r="D621" s="10"/>
      <c r="E621" s="10"/>
      <c r="F621" s="10"/>
      <c r="G621" s="10"/>
      <c r="H621" s="10"/>
    </row>
    <row r="622" spans="1:8" ht="14.25" customHeight="1" x14ac:dyDescent="0.35">
      <c r="A622" s="10"/>
      <c r="B622" s="10"/>
      <c r="C622" s="10"/>
      <c r="D622" s="10"/>
      <c r="E622" s="10"/>
      <c r="F622" s="10"/>
      <c r="G622" s="10"/>
      <c r="H622" s="10"/>
    </row>
    <row r="623" spans="1:8" ht="14.25" customHeight="1" x14ac:dyDescent="0.35">
      <c r="A623" s="10"/>
      <c r="B623" s="10"/>
      <c r="C623" s="10"/>
      <c r="D623" s="10"/>
      <c r="E623" s="10"/>
      <c r="F623" s="10"/>
      <c r="G623" s="10"/>
      <c r="H623" s="10"/>
    </row>
    <row r="624" spans="1:8" ht="14.25" customHeight="1" x14ac:dyDescent="0.35">
      <c r="A624" s="10"/>
      <c r="B624" s="10"/>
      <c r="C624" s="10"/>
      <c r="D624" s="10"/>
      <c r="E624" s="10"/>
      <c r="F624" s="10"/>
      <c r="G624" s="10"/>
      <c r="H624" s="10"/>
    </row>
    <row r="625" spans="1:8" ht="14.25" customHeight="1" x14ac:dyDescent="0.35">
      <c r="A625" s="10"/>
      <c r="B625" s="10"/>
      <c r="C625" s="10"/>
      <c r="D625" s="10"/>
      <c r="E625" s="10"/>
      <c r="F625" s="10"/>
      <c r="G625" s="10"/>
      <c r="H625" s="10"/>
    </row>
    <row r="626" spans="1:8" ht="14.25" customHeight="1" x14ac:dyDescent="0.35">
      <c r="A626" s="10"/>
      <c r="B626" s="10"/>
      <c r="C626" s="10"/>
      <c r="D626" s="10"/>
      <c r="E626" s="10"/>
      <c r="F626" s="10"/>
      <c r="G626" s="10"/>
      <c r="H626" s="10"/>
    </row>
    <row r="627" spans="1:8" ht="14.25" customHeight="1" x14ac:dyDescent="0.35">
      <c r="A627" s="10"/>
      <c r="B627" s="10"/>
      <c r="C627" s="10"/>
      <c r="D627" s="10"/>
      <c r="E627" s="10"/>
      <c r="F627" s="10"/>
      <c r="G627" s="10"/>
      <c r="H627" s="10"/>
    </row>
    <row r="628" spans="1:8" ht="14.25" customHeight="1" x14ac:dyDescent="0.35">
      <c r="A628" s="10"/>
      <c r="B628" s="10"/>
      <c r="C628" s="10"/>
      <c r="D628" s="10"/>
      <c r="E628" s="10"/>
      <c r="F628" s="10"/>
      <c r="G628" s="10"/>
      <c r="H628" s="10"/>
    </row>
    <row r="629" spans="1:8" ht="14.25" customHeight="1" x14ac:dyDescent="0.35">
      <c r="A629" s="10"/>
      <c r="B629" s="10"/>
      <c r="C629" s="10"/>
      <c r="D629" s="10"/>
      <c r="E629" s="10"/>
      <c r="F629" s="10"/>
      <c r="G629" s="10"/>
      <c r="H629" s="10"/>
    </row>
    <row r="630" spans="1:8" ht="14.25" customHeight="1" x14ac:dyDescent="0.35">
      <c r="A630" s="10"/>
      <c r="B630" s="10"/>
      <c r="C630" s="10"/>
      <c r="D630" s="10"/>
      <c r="E630" s="10"/>
      <c r="F630" s="10"/>
      <c r="G630" s="10"/>
      <c r="H630" s="10"/>
    </row>
    <row r="631" spans="1:8" ht="14.25" customHeight="1" x14ac:dyDescent="0.35">
      <c r="A631" s="10"/>
      <c r="B631" s="10"/>
      <c r="C631" s="10"/>
      <c r="D631" s="10"/>
      <c r="E631" s="10"/>
      <c r="F631" s="10"/>
      <c r="G631" s="10"/>
      <c r="H631" s="10"/>
    </row>
    <row r="632" spans="1:8" ht="14.25" customHeight="1" x14ac:dyDescent="0.35">
      <c r="A632" s="10"/>
      <c r="B632" s="10"/>
      <c r="C632" s="10"/>
      <c r="D632" s="10"/>
      <c r="E632" s="10"/>
      <c r="F632" s="10"/>
      <c r="G632" s="10"/>
      <c r="H632" s="10"/>
    </row>
    <row r="633" spans="1:8" ht="14.25" customHeight="1" x14ac:dyDescent="0.35">
      <c r="A633" s="10"/>
      <c r="B633" s="10"/>
      <c r="C633" s="10"/>
      <c r="D633" s="10"/>
      <c r="E633" s="10"/>
      <c r="F633" s="10"/>
      <c r="G633" s="10"/>
      <c r="H633" s="10"/>
    </row>
    <row r="634" spans="1:8" ht="14.25" customHeight="1" x14ac:dyDescent="0.35">
      <c r="A634" s="10"/>
      <c r="B634" s="10"/>
      <c r="C634" s="10"/>
      <c r="D634" s="10"/>
      <c r="E634" s="10"/>
      <c r="F634" s="10"/>
      <c r="G634" s="10"/>
      <c r="H634" s="10"/>
    </row>
    <row r="635" spans="1:8" ht="14.25" customHeight="1" x14ac:dyDescent="0.35">
      <c r="A635" s="10"/>
      <c r="B635" s="10"/>
      <c r="C635" s="10"/>
      <c r="D635" s="10"/>
      <c r="E635" s="10"/>
      <c r="F635" s="10"/>
      <c r="G635" s="10"/>
      <c r="H635" s="10"/>
    </row>
    <row r="636" spans="1:8" ht="14.25" customHeight="1" x14ac:dyDescent="0.35">
      <c r="A636" s="10"/>
      <c r="B636" s="10"/>
      <c r="C636" s="10"/>
      <c r="D636" s="10"/>
      <c r="E636" s="10"/>
      <c r="F636" s="10"/>
      <c r="G636" s="10"/>
      <c r="H636" s="10"/>
    </row>
    <row r="637" spans="1:8" ht="14.25" customHeight="1" x14ac:dyDescent="0.35">
      <c r="A637" s="10"/>
      <c r="B637" s="10"/>
      <c r="C637" s="10"/>
      <c r="D637" s="10"/>
      <c r="E637" s="10"/>
      <c r="F637" s="10"/>
      <c r="G637" s="10"/>
      <c r="H637" s="10"/>
    </row>
    <row r="638" spans="1:8" ht="14.25" customHeight="1" x14ac:dyDescent="0.35">
      <c r="A638" s="10"/>
      <c r="B638" s="10"/>
      <c r="C638" s="10"/>
      <c r="D638" s="10"/>
      <c r="E638" s="10"/>
      <c r="F638" s="10"/>
      <c r="G638" s="10"/>
      <c r="H638" s="10"/>
    </row>
    <row r="639" spans="1:8" ht="14.25" customHeight="1" x14ac:dyDescent="0.35">
      <c r="A639" s="10"/>
      <c r="B639" s="10"/>
      <c r="C639" s="10"/>
      <c r="D639" s="10"/>
      <c r="E639" s="10"/>
      <c r="F639" s="10"/>
      <c r="G639" s="10"/>
      <c r="H639" s="10"/>
    </row>
    <row r="640" spans="1:8" ht="14.25" customHeight="1" x14ac:dyDescent="0.35">
      <c r="A640" s="10"/>
      <c r="B640" s="10"/>
      <c r="C640" s="10"/>
      <c r="D640" s="10"/>
      <c r="E640" s="10"/>
      <c r="F640" s="10"/>
      <c r="G640" s="10"/>
      <c r="H640" s="10"/>
    </row>
    <row r="641" spans="1:8" ht="14.25" customHeight="1" x14ac:dyDescent="0.35">
      <c r="A641" s="10"/>
      <c r="B641" s="10"/>
      <c r="C641" s="10"/>
      <c r="D641" s="10"/>
      <c r="E641" s="10"/>
      <c r="F641" s="10"/>
      <c r="G641" s="10"/>
      <c r="H641" s="10"/>
    </row>
    <row r="642" spans="1:8" ht="14.25" customHeight="1" x14ac:dyDescent="0.35">
      <c r="A642" s="10"/>
      <c r="B642" s="10"/>
      <c r="C642" s="10"/>
      <c r="D642" s="10"/>
      <c r="E642" s="10"/>
      <c r="F642" s="10"/>
      <c r="G642" s="10"/>
      <c r="H642" s="10"/>
    </row>
    <row r="643" spans="1:8" ht="14.25" customHeight="1" x14ac:dyDescent="0.35">
      <c r="A643" s="10"/>
      <c r="B643" s="10"/>
      <c r="C643" s="10"/>
      <c r="D643" s="10"/>
      <c r="E643" s="10"/>
      <c r="F643" s="10"/>
      <c r="G643" s="10"/>
      <c r="H643" s="10"/>
    </row>
    <row r="644" spans="1:8" ht="14.25" customHeight="1" x14ac:dyDescent="0.35">
      <c r="A644" s="10"/>
      <c r="B644" s="10"/>
      <c r="C644" s="10"/>
      <c r="D644" s="10"/>
      <c r="E644" s="10"/>
      <c r="F644" s="10"/>
      <c r="G644" s="10"/>
      <c r="H644" s="10"/>
    </row>
    <row r="645" spans="1:8" ht="14.25" customHeight="1" x14ac:dyDescent="0.35">
      <c r="A645" s="10"/>
      <c r="B645" s="10"/>
      <c r="C645" s="10"/>
      <c r="D645" s="10"/>
      <c r="E645" s="10"/>
      <c r="F645" s="10"/>
      <c r="G645" s="10"/>
      <c r="H645" s="10"/>
    </row>
    <row r="646" spans="1:8" ht="14.25" customHeight="1" x14ac:dyDescent="0.35">
      <c r="A646" s="10"/>
      <c r="B646" s="10"/>
      <c r="C646" s="10"/>
      <c r="D646" s="10"/>
      <c r="E646" s="10"/>
      <c r="F646" s="10"/>
      <c r="G646" s="10"/>
      <c r="H646" s="10"/>
    </row>
    <row r="647" spans="1:8" ht="14.25" customHeight="1" x14ac:dyDescent="0.35">
      <c r="A647" s="10"/>
      <c r="B647" s="10"/>
      <c r="C647" s="10"/>
      <c r="D647" s="10"/>
      <c r="E647" s="10"/>
      <c r="F647" s="10"/>
      <c r="G647" s="10"/>
      <c r="H647" s="10"/>
    </row>
    <row r="648" spans="1:8" ht="14.25" customHeight="1" x14ac:dyDescent="0.35">
      <c r="A648" s="10"/>
      <c r="B648" s="10"/>
      <c r="C648" s="10"/>
      <c r="D648" s="10"/>
      <c r="E648" s="10"/>
      <c r="F648" s="10"/>
      <c r="G648" s="10"/>
      <c r="H648" s="10"/>
    </row>
    <row r="649" spans="1:8" ht="14.25" customHeight="1" x14ac:dyDescent="0.35">
      <c r="A649" s="10"/>
      <c r="B649" s="10"/>
      <c r="C649" s="10"/>
      <c r="D649" s="10"/>
      <c r="E649" s="10"/>
      <c r="F649" s="10"/>
      <c r="G649" s="10"/>
      <c r="H649" s="10"/>
    </row>
    <row r="650" spans="1:8" ht="14.25" customHeight="1" x14ac:dyDescent="0.35">
      <c r="A650" s="10"/>
      <c r="B650" s="10"/>
      <c r="C650" s="10"/>
      <c r="D650" s="10"/>
      <c r="E650" s="10"/>
      <c r="F650" s="10"/>
      <c r="G650" s="10"/>
      <c r="H650" s="10"/>
    </row>
    <row r="651" spans="1:8" ht="14.25" customHeight="1" x14ac:dyDescent="0.35">
      <c r="A651" s="10"/>
      <c r="B651" s="10"/>
      <c r="C651" s="10"/>
      <c r="D651" s="10"/>
      <c r="E651" s="10"/>
      <c r="F651" s="10"/>
      <c r="G651" s="10"/>
      <c r="H651" s="10"/>
    </row>
    <row r="652" spans="1:8" ht="14.25" customHeight="1" x14ac:dyDescent="0.35">
      <c r="A652" s="10"/>
      <c r="B652" s="10"/>
      <c r="C652" s="10"/>
      <c r="D652" s="10"/>
      <c r="E652" s="10"/>
      <c r="F652" s="10"/>
      <c r="G652" s="10"/>
      <c r="H652" s="10"/>
    </row>
    <row r="653" spans="1:8" ht="14.25" customHeight="1" x14ac:dyDescent="0.35">
      <c r="A653" s="10"/>
      <c r="B653" s="10"/>
      <c r="C653" s="10"/>
      <c r="D653" s="10"/>
      <c r="E653" s="10"/>
      <c r="F653" s="10"/>
      <c r="G653" s="10"/>
      <c r="H653" s="10"/>
    </row>
    <row r="654" spans="1:8" ht="14.25" customHeight="1" x14ac:dyDescent="0.35">
      <c r="A654" s="10"/>
      <c r="B654" s="10"/>
      <c r="C654" s="10"/>
      <c r="D654" s="10"/>
      <c r="E654" s="10"/>
      <c r="F654" s="10"/>
      <c r="G654" s="10"/>
      <c r="H654" s="10"/>
    </row>
    <row r="655" spans="1:8" ht="14.25" customHeight="1" x14ac:dyDescent="0.35">
      <c r="A655" s="10"/>
      <c r="B655" s="10"/>
      <c r="C655" s="10"/>
      <c r="D655" s="10"/>
      <c r="E655" s="10"/>
      <c r="F655" s="10"/>
      <c r="G655" s="10"/>
      <c r="H655" s="10"/>
    </row>
    <row r="656" spans="1:8" ht="14.25" customHeight="1" x14ac:dyDescent="0.35">
      <c r="A656" s="10"/>
      <c r="B656" s="10"/>
      <c r="C656" s="10"/>
      <c r="D656" s="10"/>
      <c r="E656" s="10"/>
      <c r="F656" s="10"/>
      <c r="G656" s="10"/>
      <c r="H656" s="10"/>
    </row>
    <row r="657" spans="1:8" ht="14.25" customHeight="1" x14ac:dyDescent="0.35">
      <c r="A657" s="10"/>
      <c r="B657" s="10"/>
      <c r="C657" s="10"/>
      <c r="D657" s="10"/>
      <c r="E657" s="10"/>
      <c r="F657" s="10"/>
      <c r="G657" s="10"/>
      <c r="H657" s="10"/>
    </row>
    <row r="658" spans="1:8" ht="14.25" customHeight="1" x14ac:dyDescent="0.35">
      <c r="A658" s="10"/>
      <c r="B658" s="10"/>
      <c r="C658" s="10"/>
      <c r="D658" s="10"/>
      <c r="E658" s="10"/>
      <c r="F658" s="10"/>
      <c r="G658" s="10"/>
      <c r="H658" s="10"/>
    </row>
    <row r="659" spans="1:8" ht="14.25" customHeight="1" x14ac:dyDescent="0.35">
      <c r="A659" s="10"/>
      <c r="B659" s="10"/>
      <c r="C659" s="10"/>
      <c r="D659" s="10"/>
      <c r="E659" s="10"/>
      <c r="F659" s="10"/>
      <c r="G659" s="10"/>
      <c r="H659" s="10"/>
    </row>
    <row r="660" spans="1:8" ht="14.25" customHeight="1" x14ac:dyDescent="0.35">
      <c r="A660" s="10"/>
      <c r="B660" s="10"/>
      <c r="C660" s="10"/>
      <c r="D660" s="10"/>
      <c r="E660" s="10"/>
      <c r="F660" s="10"/>
      <c r="G660" s="10"/>
      <c r="H660" s="10"/>
    </row>
    <row r="661" spans="1:8" ht="14.25" customHeight="1" x14ac:dyDescent="0.35">
      <c r="A661" s="10"/>
      <c r="B661" s="10"/>
      <c r="C661" s="10"/>
      <c r="D661" s="10"/>
      <c r="E661" s="10"/>
      <c r="F661" s="10"/>
      <c r="G661" s="10"/>
      <c r="H661" s="10"/>
    </row>
    <row r="662" spans="1:8" ht="14.25" customHeight="1" x14ac:dyDescent="0.35">
      <c r="A662" s="10"/>
      <c r="B662" s="10"/>
      <c r="C662" s="10"/>
      <c r="D662" s="10"/>
      <c r="E662" s="10"/>
      <c r="F662" s="10"/>
      <c r="G662" s="10"/>
      <c r="H662" s="10"/>
    </row>
    <row r="663" spans="1:8" ht="14.25" customHeight="1" x14ac:dyDescent="0.35">
      <c r="A663" s="10"/>
      <c r="B663" s="10"/>
      <c r="C663" s="10"/>
      <c r="D663" s="10"/>
      <c r="E663" s="10"/>
      <c r="F663" s="10"/>
      <c r="G663" s="10"/>
      <c r="H663" s="10"/>
    </row>
    <row r="664" spans="1:8" ht="14.25" customHeight="1" x14ac:dyDescent="0.35">
      <c r="A664" s="10"/>
      <c r="B664" s="10"/>
      <c r="C664" s="10"/>
      <c r="D664" s="10"/>
      <c r="E664" s="10"/>
      <c r="F664" s="10"/>
      <c r="G664" s="10"/>
      <c r="H664" s="10"/>
    </row>
    <row r="665" spans="1:8" ht="14.25" customHeight="1" x14ac:dyDescent="0.35">
      <c r="A665" s="10"/>
      <c r="B665" s="10"/>
      <c r="C665" s="10"/>
      <c r="D665" s="10"/>
      <c r="E665" s="10"/>
      <c r="F665" s="10"/>
      <c r="G665" s="10"/>
      <c r="H665" s="10"/>
    </row>
    <row r="666" spans="1:8" ht="14.25" customHeight="1" x14ac:dyDescent="0.35">
      <c r="A666" s="10"/>
      <c r="B666" s="10"/>
      <c r="C666" s="10"/>
      <c r="D666" s="10"/>
      <c r="E666" s="10"/>
      <c r="F666" s="10"/>
      <c r="G666" s="10"/>
      <c r="H666" s="10"/>
    </row>
    <row r="667" spans="1:8" ht="14.25" customHeight="1" x14ac:dyDescent="0.35">
      <c r="A667" s="10"/>
      <c r="B667" s="10"/>
      <c r="C667" s="10"/>
      <c r="D667" s="10"/>
      <c r="E667" s="10"/>
      <c r="F667" s="10"/>
      <c r="G667" s="10"/>
      <c r="H667" s="10"/>
    </row>
    <row r="668" spans="1:8" ht="14.25" customHeight="1" x14ac:dyDescent="0.35">
      <c r="A668" s="10"/>
      <c r="B668" s="10"/>
      <c r="C668" s="10"/>
      <c r="D668" s="10"/>
      <c r="E668" s="10"/>
      <c r="F668" s="10"/>
      <c r="G668" s="10"/>
      <c r="H668" s="10"/>
    </row>
    <row r="669" spans="1:8" ht="14.25" customHeight="1" x14ac:dyDescent="0.35">
      <c r="A669" s="10"/>
      <c r="B669" s="10"/>
      <c r="C669" s="10"/>
      <c r="D669" s="10"/>
      <c r="E669" s="10"/>
      <c r="F669" s="10"/>
      <c r="G669" s="10"/>
      <c r="H669" s="10"/>
    </row>
    <row r="670" spans="1:8" ht="14.25" customHeight="1" x14ac:dyDescent="0.35">
      <c r="A670" s="10"/>
      <c r="B670" s="10"/>
      <c r="C670" s="10"/>
      <c r="D670" s="10"/>
      <c r="E670" s="10"/>
      <c r="F670" s="10"/>
      <c r="G670" s="10"/>
      <c r="H670" s="10"/>
    </row>
    <row r="671" spans="1:8" ht="14.25" customHeight="1" x14ac:dyDescent="0.35">
      <c r="A671" s="10"/>
      <c r="B671" s="10"/>
      <c r="C671" s="10"/>
      <c r="D671" s="10"/>
      <c r="E671" s="10"/>
      <c r="F671" s="10"/>
      <c r="G671" s="10"/>
      <c r="H671" s="10"/>
    </row>
    <row r="672" spans="1:8" ht="14.25" customHeight="1" x14ac:dyDescent="0.35">
      <c r="A672" s="10"/>
      <c r="B672" s="10"/>
      <c r="C672" s="10"/>
      <c r="D672" s="10"/>
      <c r="E672" s="10"/>
      <c r="F672" s="10"/>
      <c r="G672" s="10"/>
      <c r="H672" s="10"/>
    </row>
    <row r="673" spans="1:8" ht="14.25" customHeight="1" x14ac:dyDescent="0.35">
      <c r="A673" s="10"/>
      <c r="B673" s="10"/>
      <c r="C673" s="10"/>
      <c r="D673" s="10"/>
      <c r="E673" s="10"/>
      <c r="F673" s="10"/>
      <c r="G673" s="10"/>
      <c r="H673" s="10"/>
    </row>
    <row r="674" spans="1:8" ht="14.25" customHeight="1" x14ac:dyDescent="0.35">
      <c r="A674" s="10"/>
      <c r="B674" s="10"/>
      <c r="C674" s="10"/>
      <c r="D674" s="10"/>
      <c r="E674" s="10"/>
      <c r="F674" s="10"/>
      <c r="G674" s="10"/>
      <c r="H674" s="10"/>
    </row>
    <row r="675" spans="1:8" ht="14.25" customHeight="1" x14ac:dyDescent="0.35">
      <c r="A675" s="10"/>
      <c r="B675" s="10"/>
      <c r="C675" s="10"/>
      <c r="D675" s="10"/>
      <c r="E675" s="10"/>
      <c r="F675" s="10"/>
      <c r="G675" s="10"/>
      <c r="H675" s="10"/>
    </row>
    <row r="676" spans="1:8" ht="14.25" customHeight="1" x14ac:dyDescent="0.35">
      <c r="A676" s="10"/>
      <c r="B676" s="10"/>
      <c r="C676" s="10"/>
      <c r="D676" s="10"/>
      <c r="E676" s="10"/>
      <c r="F676" s="10"/>
      <c r="G676" s="10"/>
      <c r="H676" s="10"/>
    </row>
    <row r="677" spans="1:8" ht="14.25" customHeight="1" x14ac:dyDescent="0.35">
      <c r="A677" s="10"/>
      <c r="B677" s="10"/>
      <c r="C677" s="10"/>
      <c r="D677" s="10"/>
      <c r="E677" s="10"/>
      <c r="F677" s="10"/>
      <c r="G677" s="10"/>
      <c r="H677" s="10"/>
    </row>
    <row r="678" spans="1:8" ht="14.25" customHeight="1" x14ac:dyDescent="0.35">
      <c r="A678" s="10"/>
      <c r="B678" s="10"/>
      <c r="C678" s="10"/>
      <c r="D678" s="10"/>
      <c r="E678" s="10"/>
      <c r="F678" s="10"/>
      <c r="G678" s="10"/>
      <c r="H678" s="10"/>
    </row>
    <row r="679" spans="1:8" ht="14.25" customHeight="1" x14ac:dyDescent="0.35">
      <c r="A679" s="10"/>
      <c r="B679" s="10"/>
      <c r="C679" s="10"/>
      <c r="D679" s="10"/>
      <c r="E679" s="10"/>
      <c r="F679" s="10"/>
      <c r="G679" s="10"/>
      <c r="H679" s="10"/>
    </row>
    <row r="680" spans="1:8" ht="14.25" customHeight="1" x14ac:dyDescent="0.35">
      <c r="A680" s="10"/>
      <c r="B680" s="10"/>
      <c r="C680" s="10"/>
      <c r="D680" s="10"/>
      <c r="E680" s="10"/>
      <c r="F680" s="10"/>
      <c r="G680" s="10"/>
      <c r="H680" s="10"/>
    </row>
    <row r="681" spans="1:8" ht="14.25" customHeight="1" x14ac:dyDescent="0.35">
      <c r="A681" s="10"/>
      <c r="B681" s="10"/>
      <c r="C681" s="10"/>
      <c r="D681" s="10"/>
      <c r="E681" s="10"/>
      <c r="F681" s="10"/>
      <c r="G681" s="10"/>
      <c r="H681" s="10"/>
    </row>
    <row r="682" spans="1:8" ht="14.25" customHeight="1" x14ac:dyDescent="0.35">
      <c r="A682" s="10"/>
      <c r="B682" s="10"/>
      <c r="C682" s="10"/>
      <c r="D682" s="10"/>
      <c r="E682" s="10"/>
      <c r="F682" s="10"/>
      <c r="G682" s="10"/>
      <c r="H682" s="10"/>
    </row>
    <row r="683" spans="1:8" ht="14.25" customHeight="1" x14ac:dyDescent="0.35">
      <c r="A683" s="10"/>
      <c r="B683" s="10"/>
      <c r="C683" s="10"/>
      <c r="D683" s="10"/>
      <c r="E683" s="10"/>
      <c r="F683" s="10"/>
      <c r="G683" s="10"/>
      <c r="H683" s="10"/>
    </row>
    <row r="684" spans="1:8" ht="14.25" customHeight="1" x14ac:dyDescent="0.35">
      <c r="A684" s="10"/>
      <c r="B684" s="10"/>
      <c r="C684" s="10"/>
      <c r="D684" s="10"/>
      <c r="E684" s="10"/>
      <c r="F684" s="10"/>
      <c r="G684" s="10"/>
      <c r="H684" s="10"/>
    </row>
    <row r="685" spans="1:8" ht="14.25" customHeight="1" x14ac:dyDescent="0.35">
      <c r="A685" s="10"/>
      <c r="B685" s="10"/>
      <c r="C685" s="10"/>
      <c r="D685" s="10"/>
      <c r="E685" s="10"/>
      <c r="F685" s="10"/>
      <c r="G685" s="10"/>
      <c r="H685" s="10"/>
    </row>
    <row r="686" spans="1:8" ht="14.25" customHeight="1" x14ac:dyDescent="0.35">
      <c r="A686" s="10"/>
      <c r="B686" s="10"/>
      <c r="C686" s="10"/>
      <c r="D686" s="10"/>
      <c r="E686" s="10"/>
      <c r="F686" s="10"/>
      <c r="G686" s="10"/>
      <c r="H686" s="10"/>
    </row>
    <row r="687" spans="1:8" ht="14.25" customHeight="1" x14ac:dyDescent="0.35">
      <c r="A687" s="10"/>
      <c r="B687" s="10"/>
      <c r="C687" s="10"/>
      <c r="D687" s="10"/>
      <c r="E687" s="10"/>
      <c r="F687" s="10"/>
      <c r="G687" s="10"/>
      <c r="H687" s="10"/>
    </row>
    <row r="688" spans="1:8" ht="14.25" customHeight="1" x14ac:dyDescent="0.35">
      <c r="A688" s="10"/>
      <c r="B688" s="10"/>
      <c r="C688" s="10"/>
      <c r="D688" s="10"/>
      <c r="E688" s="10"/>
      <c r="F688" s="10"/>
      <c r="G688" s="10"/>
      <c r="H688" s="10"/>
    </row>
    <row r="689" spans="1:8" ht="14.25" customHeight="1" x14ac:dyDescent="0.35">
      <c r="A689" s="10"/>
      <c r="B689" s="10"/>
      <c r="C689" s="10"/>
      <c r="D689" s="10"/>
      <c r="E689" s="10"/>
      <c r="F689" s="10"/>
      <c r="G689" s="10"/>
      <c r="H689" s="10"/>
    </row>
    <row r="690" spans="1:8" ht="14.25" customHeight="1" x14ac:dyDescent="0.35">
      <c r="A690" s="10"/>
      <c r="B690" s="10"/>
      <c r="C690" s="10"/>
      <c r="D690" s="10"/>
      <c r="E690" s="10"/>
      <c r="F690" s="10"/>
      <c r="G690" s="10"/>
      <c r="H690" s="10"/>
    </row>
    <row r="691" spans="1:8" ht="14.25" customHeight="1" x14ac:dyDescent="0.35">
      <c r="A691" s="10"/>
      <c r="B691" s="10"/>
      <c r="C691" s="10"/>
      <c r="D691" s="10"/>
      <c r="E691" s="10"/>
      <c r="F691" s="10"/>
      <c r="G691" s="10"/>
      <c r="H691" s="10"/>
    </row>
    <row r="692" spans="1:8" ht="14.25" customHeight="1" x14ac:dyDescent="0.35">
      <c r="A692" s="10"/>
      <c r="B692" s="10"/>
      <c r="C692" s="10"/>
      <c r="D692" s="10"/>
      <c r="E692" s="10"/>
      <c r="F692" s="10"/>
      <c r="G692" s="10"/>
      <c r="H692" s="10"/>
    </row>
    <row r="693" spans="1:8" ht="14.25" customHeight="1" x14ac:dyDescent="0.35">
      <c r="A693" s="10"/>
      <c r="B693" s="10"/>
      <c r="C693" s="10"/>
      <c r="D693" s="10"/>
      <c r="E693" s="10"/>
      <c r="F693" s="10"/>
      <c r="G693" s="10"/>
      <c r="H693" s="10"/>
    </row>
    <row r="694" spans="1:8" ht="14.25" customHeight="1" x14ac:dyDescent="0.35">
      <c r="A694" s="10"/>
      <c r="B694" s="10"/>
      <c r="C694" s="10"/>
      <c r="D694" s="10"/>
      <c r="E694" s="10"/>
      <c r="F694" s="10"/>
      <c r="G694" s="10"/>
      <c r="H694" s="10"/>
    </row>
    <row r="695" spans="1:8" ht="14.25" customHeight="1" x14ac:dyDescent="0.35">
      <c r="A695" s="10"/>
      <c r="B695" s="10"/>
      <c r="C695" s="10"/>
      <c r="D695" s="10"/>
      <c r="E695" s="10"/>
      <c r="F695" s="10"/>
      <c r="G695" s="10"/>
      <c r="H695" s="10"/>
    </row>
    <row r="696" spans="1:8" ht="14.25" customHeight="1" x14ac:dyDescent="0.35">
      <c r="A696" s="10"/>
      <c r="B696" s="10"/>
      <c r="C696" s="10"/>
      <c r="D696" s="10"/>
      <c r="E696" s="10"/>
      <c r="F696" s="10"/>
      <c r="G696" s="10"/>
      <c r="H696" s="10"/>
    </row>
    <row r="697" spans="1:8" ht="14.25" customHeight="1" x14ac:dyDescent="0.35">
      <c r="A697" s="10"/>
      <c r="B697" s="10"/>
      <c r="C697" s="10"/>
      <c r="D697" s="10"/>
      <c r="E697" s="10"/>
      <c r="F697" s="10"/>
      <c r="G697" s="10"/>
      <c r="H697" s="10"/>
    </row>
    <row r="698" spans="1:8" ht="14.25" customHeight="1" x14ac:dyDescent="0.35">
      <c r="A698" s="10"/>
      <c r="B698" s="10"/>
      <c r="C698" s="10"/>
      <c r="D698" s="10"/>
      <c r="E698" s="10"/>
      <c r="F698" s="10"/>
      <c r="G698" s="10"/>
      <c r="H698" s="10"/>
    </row>
    <row r="699" spans="1:8" ht="14.25" customHeight="1" x14ac:dyDescent="0.35">
      <c r="A699" s="10"/>
      <c r="B699" s="10"/>
      <c r="C699" s="10"/>
      <c r="D699" s="10"/>
      <c r="E699" s="10"/>
      <c r="F699" s="10"/>
      <c r="G699" s="10"/>
      <c r="H699" s="10"/>
    </row>
    <row r="700" spans="1:8" ht="14.25" customHeight="1" x14ac:dyDescent="0.35">
      <c r="A700" s="10"/>
      <c r="B700" s="10"/>
      <c r="C700" s="10"/>
      <c r="D700" s="10"/>
      <c r="E700" s="10"/>
      <c r="F700" s="10"/>
      <c r="G700" s="10"/>
      <c r="H700" s="10"/>
    </row>
    <row r="701" spans="1:8" ht="14.25" customHeight="1" x14ac:dyDescent="0.35">
      <c r="A701" s="10"/>
      <c r="B701" s="10"/>
      <c r="C701" s="10"/>
      <c r="D701" s="10"/>
      <c r="E701" s="10"/>
      <c r="F701" s="10"/>
      <c r="G701" s="10"/>
      <c r="H701" s="10"/>
    </row>
    <row r="702" spans="1:8" ht="14.25" customHeight="1" x14ac:dyDescent="0.35">
      <c r="A702" s="10"/>
      <c r="B702" s="10"/>
      <c r="C702" s="10"/>
      <c r="D702" s="10"/>
      <c r="E702" s="10"/>
      <c r="F702" s="10"/>
      <c r="G702" s="10"/>
      <c r="H702" s="10"/>
    </row>
    <row r="703" spans="1:8" ht="14.25" customHeight="1" x14ac:dyDescent="0.35">
      <c r="A703" s="10"/>
      <c r="B703" s="10"/>
      <c r="C703" s="10"/>
      <c r="D703" s="10"/>
      <c r="E703" s="10"/>
      <c r="F703" s="10"/>
      <c r="G703" s="10"/>
      <c r="H703" s="10"/>
    </row>
    <row r="704" spans="1:8" ht="14.25" customHeight="1" x14ac:dyDescent="0.35">
      <c r="A704" s="10"/>
      <c r="B704" s="10"/>
      <c r="C704" s="10"/>
      <c r="D704" s="10"/>
      <c r="E704" s="10"/>
      <c r="F704" s="10"/>
      <c r="G704" s="10"/>
      <c r="H704" s="10"/>
    </row>
    <row r="705" spans="1:8" ht="14.25" customHeight="1" x14ac:dyDescent="0.35">
      <c r="A705" s="10"/>
      <c r="B705" s="10"/>
      <c r="C705" s="10"/>
      <c r="D705" s="10"/>
      <c r="E705" s="10"/>
      <c r="F705" s="10"/>
      <c r="G705" s="10"/>
      <c r="H705" s="10"/>
    </row>
    <row r="706" spans="1:8" ht="14.25" customHeight="1" x14ac:dyDescent="0.35">
      <c r="A706" s="10"/>
      <c r="B706" s="10"/>
      <c r="C706" s="10"/>
      <c r="D706" s="10"/>
      <c r="E706" s="10"/>
      <c r="F706" s="10"/>
      <c r="G706" s="10"/>
      <c r="H706" s="10"/>
    </row>
    <row r="707" spans="1:8" ht="14.25" customHeight="1" x14ac:dyDescent="0.35">
      <c r="A707" s="10"/>
      <c r="B707" s="10"/>
      <c r="C707" s="10"/>
      <c r="D707" s="10"/>
      <c r="E707" s="10"/>
      <c r="F707" s="10"/>
      <c r="G707" s="10"/>
      <c r="H707" s="10"/>
    </row>
    <row r="708" spans="1:8" ht="14.25" customHeight="1" x14ac:dyDescent="0.35">
      <c r="A708" s="10"/>
      <c r="B708" s="10"/>
      <c r="C708" s="10"/>
      <c r="D708" s="10"/>
      <c r="E708" s="10"/>
      <c r="F708" s="10"/>
      <c r="G708" s="10"/>
      <c r="H708" s="10"/>
    </row>
    <row r="709" spans="1:8" ht="14.25" customHeight="1" x14ac:dyDescent="0.35">
      <c r="A709" s="10"/>
      <c r="B709" s="10"/>
      <c r="C709" s="10"/>
      <c r="D709" s="10"/>
      <c r="E709" s="10"/>
      <c r="F709" s="10"/>
      <c r="G709" s="10"/>
      <c r="H709" s="10"/>
    </row>
    <row r="710" spans="1:8" ht="14.25" customHeight="1" x14ac:dyDescent="0.35">
      <c r="A710" s="10"/>
      <c r="B710" s="10"/>
      <c r="C710" s="10"/>
      <c r="D710" s="10"/>
      <c r="E710" s="10"/>
      <c r="F710" s="10"/>
      <c r="G710" s="10"/>
      <c r="H710" s="10"/>
    </row>
    <row r="711" spans="1:8" ht="14.25" customHeight="1" x14ac:dyDescent="0.35">
      <c r="A711" s="10"/>
      <c r="B711" s="10"/>
      <c r="C711" s="10"/>
      <c r="D711" s="10"/>
      <c r="E711" s="10"/>
      <c r="F711" s="10"/>
      <c r="G711" s="10"/>
      <c r="H711" s="10"/>
    </row>
    <row r="712" spans="1:8" ht="14.25" customHeight="1" x14ac:dyDescent="0.35">
      <c r="A712" s="10"/>
      <c r="B712" s="10"/>
      <c r="C712" s="10"/>
      <c r="D712" s="10"/>
      <c r="E712" s="10"/>
      <c r="F712" s="10"/>
      <c r="G712" s="10"/>
      <c r="H712" s="10"/>
    </row>
    <row r="713" spans="1:8" ht="14.25" customHeight="1" x14ac:dyDescent="0.35">
      <c r="A713" s="10"/>
      <c r="B713" s="10"/>
      <c r="C713" s="10"/>
      <c r="D713" s="10"/>
      <c r="E713" s="10"/>
      <c r="F713" s="10"/>
      <c r="G713" s="10"/>
      <c r="H713" s="10"/>
    </row>
    <row r="714" spans="1:8" ht="14.25" customHeight="1" x14ac:dyDescent="0.35">
      <c r="A714" s="10"/>
      <c r="B714" s="10"/>
      <c r="C714" s="10"/>
      <c r="D714" s="10"/>
      <c r="E714" s="10"/>
      <c r="F714" s="10"/>
      <c r="G714" s="10"/>
      <c r="H714" s="10"/>
    </row>
    <row r="715" spans="1:8" ht="14.25" customHeight="1" x14ac:dyDescent="0.35">
      <c r="A715" s="10"/>
      <c r="B715" s="10"/>
      <c r="C715" s="10"/>
      <c r="D715" s="10"/>
      <c r="E715" s="10"/>
      <c r="F715" s="10"/>
      <c r="G715" s="10"/>
      <c r="H715" s="10"/>
    </row>
    <row r="716" spans="1:8" ht="14.25" customHeight="1" x14ac:dyDescent="0.35">
      <c r="A716" s="10"/>
      <c r="B716" s="10"/>
      <c r="C716" s="10"/>
      <c r="D716" s="10"/>
      <c r="E716" s="10"/>
      <c r="F716" s="10"/>
      <c r="G716" s="10"/>
      <c r="H716" s="10"/>
    </row>
    <row r="717" spans="1:8" ht="14.25" customHeight="1" x14ac:dyDescent="0.35">
      <c r="A717" s="10"/>
      <c r="B717" s="10"/>
      <c r="C717" s="10"/>
      <c r="D717" s="10"/>
      <c r="E717" s="10"/>
      <c r="F717" s="10"/>
      <c r="G717" s="10"/>
      <c r="H717" s="10"/>
    </row>
    <row r="718" spans="1:8" ht="14.25" customHeight="1" x14ac:dyDescent="0.35">
      <c r="A718" s="10"/>
      <c r="B718" s="10"/>
      <c r="C718" s="10"/>
      <c r="D718" s="10"/>
      <c r="E718" s="10"/>
      <c r="F718" s="10"/>
      <c r="G718" s="10"/>
      <c r="H718" s="10"/>
    </row>
    <row r="719" spans="1:8" ht="14.25" customHeight="1" x14ac:dyDescent="0.35">
      <c r="A719" s="10"/>
      <c r="B719" s="10"/>
      <c r="C719" s="10"/>
      <c r="D719" s="10"/>
      <c r="E719" s="10"/>
      <c r="F719" s="10"/>
      <c r="G719" s="10"/>
      <c r="H719" s="10"/>
    </row>
    <row r="720" spans="1:8" ht="14.25" customHeight="1" x14ac:dyDescent="0.35">
      <c r="A720" s="10"/>
      <c r="B720" s="10"/>
      <c r="C720" s="10"/>
      <c r="D720" s="10"/>
      <c r="E720" s="10"/>
      <c r="F720" s="10"/>
      <c r="G720" s="10"/>
      <c r="H720" s="10"/>
    </row>
    <row r="721" spans="1:8" ht="14.25" customHeight="1" x14ac:dyDescent="0.35">
      <c r="A721" s="10"/>
      <c r="B721" s="10"/>
      <c r="C721" s="10"/>
      <c r="D721" s="10"/>
      <c r="E721" s="10"/>
      <c r="F721" s="10"/>
      <c r="G721" s="10"/>
      <c r="H721" s="10"/>
    </row>
    <row r="722" spans="1:8" ht="14.25" customHeight="1" x14ac:dyDescent="0.35">
      <c r="A722" s="10"/>
      <c r="B722" s="10"/>
      <c r="C722" s="10"/>
      <c r="D722" s="10"/>
      <c r="E722" s="10"/>
      <c r="F722" s="10"/>
      <c r="G722" s="10"/>
      <c r="H722" s="10"/>
    </row>
    <row r="723" spans="1:8" ht="14.25" customHeight="1" x14ac:dyDescent="0.35">
      <c r="A723" s="10"/>
      <c r="B723" s="10"/>
      <c r="C723" s="10"/>
      <c r="D723" s="10"/>
      <c r="E723" s="10"/>
      <c r="F723" s="10"/>
      <c r="G723" s="10"/>
      <c r="H723" s="10"/>
    </row>
    <row r="724" spans="1:8" ht="14.25" customHeight="1" x14ac:dyDescent="0.35">
      <c r="A724" s="10"/>
      <c r="B724" s="10"/>
      <c r="C724" s="10"/>
      <c r="D724" s="10"/>
      <c r="E724" s="10"/>
      <c r="F724" s="10"/>
      <c r="G724" s="10"/>
      <c r="H724" s="10"/>
    </row>
    <row r="725" spans="1:8" ht="14.25" customHeight="1" x14ac:dyDescent="0.35">
      <c r="A725" s="10"/>
      <c r="B725" s="10"/>
      <c r="C725" s="10"/>
      <c r="D725" s="10"/>
      <c r="E725" s="10"/>
      <c r="F725" s="10"/>
      <c r="G725" s="10"/>
      <c r="H725" s="10"/>
    </row>
    <row r="726" spans="1:8" ht="14.25" customHeight="1" x14ac:dyDescent="0.35">
      <c r="A726" s="10"/>
      <c r="B726" s="10"/>
      <c r="C726" s="10"/>
      <c r="D726" s="10"/>
      <c r="E726" s="10"/>
      <c r="F726" s="10"/>
      <c r="G726" s="10"/>
      <c r="H726" s="10"/>
    </row>
    <row r="727" spans="1:8" ht="14.25" customHeight="1" x14ac:dyDescent="0.35">
      <c r="A727" s="10"/>
      <c r="B727" s="10"/>
      <c r="C727" s="10"/>
      <c r="D727" s="10"/>
      <c r="E727" s="10"/>
      <c r="F727" s="10"/>
      <c r="G727" s="10"/>
      <c r="H727" s="10"/>
    </row>
    <row r="728" spans="1:8" ht="14.25" customHeight="1" x14ac:dyDescent="0.35">
      <c r="A728" s="10"/>
      <c r="B728" s="10"/>
      <c r="C728" s="10"/>
      <c r="D728" s="10"/>
      <c r="E728" s="10"/>
      <c r="F728" s="10"/>
      <c r="G728" s="10"/>
      <c r="H728" s="10"/>
    </row>
    <row r="729" spans="1:8" ht="14.25" customHeight="1" x14ac:dyDescent="0.35">
      <c r="A729" s="10"/>
      <c r="B729" s="10"/>
      <c r="C729" s="10"/>
      <c r="D729" s="10"/>
      <c r="E729" s="10"/>
      <c r="F729" s="10"/>
      <c r="G729" s="10"/>
      <c r="H729" s="10"/>
    </row>
    <row r="730" spans="1:8" ht="14.25" customHeight="1" x14ac:dyDescent="0.35">
      <c r="A730" s="10"/>
      <c r="B730" s="10"/>
      <c r="C730" s="10"/>
      <c r="D730" s="10"/>
      <c r="E730" s="10"/>
      <c r="F730" s="10"/>
      <c r="G730" s="10"/>
      <c r="H730" s="10"/>
    </row>
    <row r="731" spans="1:8" ht="14.25" customHeight="1" x14ac:dyDescent="0.35">
      <c r="A731" s="10"/>
      <c r="B731" s="10"/>
      <c r="C731" s="10"/>
      <c r="D731" s="10"/>
      <c r="E731" s="10"/>
      <c r="F731" s="10"/>
      <c r="G731" s="10"/>
      <c r="H731" s="10"/>
    </row>
    <row r="732" spans="1:8" ht="14.25" customHeight="1" x14ac:dyDescent="0.35">
      <c r="A732" s="10"/>
      <c r="B732" s="10"/>
      <c r="C732" s="10"/>
      <c r="D732" s="10"/>
      <c r="E732" s="10"/>
      <c r="F732" s="10"/>
      <c r="G732" s="10"/>
      <c r="H732" s="10"/>
    </row>
    <row r="733" spans="1:8" ht="14.25" customHeight="1" x14ac:dyDescent="0.35">
      <c r="A733" s="10"/>
      <c r="B733" s="10"/>
      <c r="C733" s="10"/>
      <c r="D733" s="10"/>
      <c r="E733" s="10"/>
      <c r="F733" s="10"/>
      <c r="G733" s="10"/>
      <c r="H733" s="10"/>
    </row>
    <row r="734" spans="1:8" ht="14.25" customHeight="1" x14ac:dyDescent="0.35">
      <c r="A734" s="10"/>
      <c r="B734" s="10"/>
      <c r="C734" s="10"/>
      <c r="D734" s="10"/>
      <c r="E734" s="10"/>
      <c r="F734" s="10"/>
      <c r="G734" s="10"/>
      <c r="H734" s="10"/>
    </row>
    <row r="735" spans="1:8" ht="14.25" customHeight="1" x14ac:dyDescent="0.35">
      <c r="A735" s="10"/>
      <c r="B735" s="10"/>
      <c r="C735" s="10"/>
      <c r="D735" s="10"/>
      <c r="E735" s="10"/>
      <c r="F735" s="10"/>
      <c r="G735" s="10"/>
      <c r="H735" s="10"/>
    </row>
    <row r="736" spans="1:8" ht="14.25" customHeight="1" x14ac:dyDescent="0.35">
      <c r="A736" s="10"/>
      <c r="B736" s="10"/>
      <c r="C736" s="10"/>
      <c r="D736" s="10"/>
      <c r="E736" s="10"/>
      <c r="F736" s="10"/>
      <c r="G736" s="10"/>
      <c r="H736" s="10"/>
    </row>
    <row r="737" spans="1:8" ht="14.25" customHeight="1" x14ac:dyDescent="0.35">
      <c r="A737" s="10"/>
      <c r="B737" s="10"/>
      <c r="C737" s="10"/>
      <c r="D737" s="10"/>
      <c r="E737" s="10"/>
      <c r="F737" s="10"/>
      <c r="G737" s="10"/>
      <c r="H737" s="10"/>
    </row>
    <row r="738" spans="1:8" ht="14.25" customHeight="1" x14ac:dyDescent="0.35">
      <c r="A738" s="10"/>
      <c r="B738" s="10"/>
      <c r="C738" s="10"/>
      <c r="D738" s="10"/>
      <c r="E738" s="10"/>
      <c r="F738" s="10"/>
      <c r="G738" s="10"/>
      <c r="H738" s="10"/>
    </row>
    <row r="739" spans="1:8" ht="14.25" customHeight="1" x14ac:dyDescent="0.35">
      <c r="A739" s="10"/>
      <c r="B739" s="10"/>
      <c r="C739" s="10"/>
      <c r="D739" s="10"/>
      <c r="E739" s="10"/>
      <c r="F739" s="10"/>
      <c r="G739" s="10"/>
      <c r="H739" s="10"/>
    </row>
    <row r="740" spans="1:8" ht="14.25" customHeight="1" x14ac:dyDescent="0.35">
      <c r="A740" s="10"/>
      <c r="B740" s="10"/>
      <c r="C740" s="10"/>
      <c r="D740" s="10"/>
      <c r="E740" s="10"/>
      <c r="F740" s="10"/>
      <c r="G740" s="10"/>
      <c r="H740" s="10"/>
    </row>
    <row r="741" spans="1:8" ht="14.25" customHeight="1" x14ac:dyDescent="0.35">
      <c r="A741" s="10"/>
      <c r="B741" s="10"/>
      <c r="C741" s="10"/>
      <c r="D741" s="10"/>
      <c r="E741" s="10"/>
      <c r="F741" s="10"/>
      <c r="G741" s="10"/>
      <c r="H741" s="10"/>
    </row>
    <row r="742" spans="1:8" ht="14.25" customHeight="1" x14ac:dyDescent="0.35">
      <c r="A742" s="10"/>
      <c r="B742" s="10"/>
      <c r="C742" s="10"/>
      <c r="D742" s="10"/>
      <c r="E742" s="10"/>
      <c r="F742" s="10"/>
      <c r="G742" s="10"/>
      <c r="H742" s="10"/>
    </row>
    <row r="743" spans="1:8" ht="14.25" customHeight="1" x14ac:dyDescent="0.35">
      <c r="A743" s="10"/>
      <c r="B743" s="10"/>
      <c r="C743" s="10"/>
      <c r="D743" s="10"/>
      <c r="E743" s="10"/>
      <c r="F743" s="10"/>
      <c r="G743" s="10"/>
      <c r="H743" s="10"/>
    </row>
    <row r="744" spans="1:8" ht="14.25" customHeight="1" x14ac:dyDescent="0.35">
      <c r="A744" s="10"/>
      <c r="B744" s="10"/>
      <c r="C744" s="10"/>
      <c r="D744" s="10"/>
      <c r="E744" s="10"/>
      <c r="F744" s="10"/>
      <c r="G744" s="10"/>
      <c r="H744" s="10"/>
    </row>
    <row r="745" spans="1:8" ht="14.25" customHeight="1" x14ac:dyDescent="0.35">
      <c r="A745" s="10"/>
      <c r="B745" s="10"/>
      <c r="C745" s="10"/>
      <c r="D745" s="10"/>
      <c r="E745" s="10"/>
      <c r="F745" s="10"/>
      <c r="G745" s="10"/>
      <c r="H745" s="10"/>
    </row>
    <row r="746" spans="1:8" ht="14.25" customHeight="1" x14ac:dyDescent="0.35">
      <c r="A746" s="10"/>
      <c r="B746" s="10"/>
      <c r="C746" s="10"/>
      <c r="D746" s="10"/>
      <c r="E746" s="10"/>
      <c r="F746" s="10"/>
      <c r="G746" s="10"/>
      <c r="H746" s="10"/>
    </row>
    <row r="747" spans="1:8" ht="14.25" customHeight="1" x14ac:dyDescent="0.35">
      <c r="A747" s="10"/>
      <c r="B747" s="10"/>
      <c r="C747" s="10"/>
      <c r="D747" s="10"/>
      <c r="E747" s="10"/>
      <c r="F747" s="10"/>
      <c r="G747" s="10"/>
      <c r="H747" s="10"/>
    </row>
    <row r="748" spans="1:8" ht="14.25" customHeight="1" x14ac:dyDescent="0.35">
      <c r="A748" s="10"/>
      <c r="B748" s="10"/>
      <c r="C748" s="10"/>
      <c r="D748" s="10"/>
      <c r="E748" s="10"/>
      <c r="F748" s="10"/>
      <c r="G748" s="10"/>
      <c r="H748" s="10"/>
    </row>
    <row r="749" spans="1:8" ht="14.25" customHeight="1" x14ac:dyDescent="0.35">
      <c r="A749" s="10"/>
      <c r="B749" s="10"/>
      <c r="C749" s="10"/>
      <c r="D749" s="10"/>
      <c r="E749" s="10"/>
      <c r="F749" s="10"/>
      <c r="G749" s="10"/>
      <c r="H749" s="10"/>
    </row>
    <row r="750" spans="1:8" ht="14.25" customHeight="1" x14ac:dyDescent="0.35">
      <c r="A750" s="10"/>
      <c r="B750" s="10"/>
      <c r="C750" s="10"/>
      <c r="D750" s="10"/>
      <c r="E750" s="10"/>
      <c r="F750" s="10"/>
      <c r="G750" s="10"/>
      <c r="H750" s="10"/>
    </row>
    <row r="751" spans="1:8" ht="14.25" customHeight="1" x14ac:dyDescent="0.35">
      <c r="A751" s="10"/>
      <c r="B751" s="10"/>
      <c r="C751" s="10"/>
      <c r="D751" s="10"/>
      <c r="E751" s="10"/>
      <c r="F751" s="10"/>
      <c r="G751" s="10"/>
      <c r="H751" s="10"/>
    </row>
    <row r="752" spans="1:8" ht="14.25" customHeight="1" x14ac:dyDescent="0.35">
      <c r="A752" s="10"/>
      <c r="B752" s="10"/>
      <c r="C752" s="10"/>
      <c r="D752" s="10"/>
      <c r="E752" s="10"/>
      <c r="F752" s="10"/>
      <c r="G752" s="10"/>
      <c r="H752" s="10"/>
    </row>
    <row r="753" spans="1:8" ht="14.25" customHeight="1" x14ac:dyDescent="0.35">
      <c r="A753" s="10"/>
      <c r="B753" s="10"/>
      <c r="C753" s="10"/>
      <c r="D753" s="10"/>
      <c r="E753" s="10"/>
      <c r="F753" s="10"/>
      <c r="G753" s="10"/>
      <c r="H753" s="10"/>
    </row>
    <row r="754" spans="1:8" ht="14.25" customHeight="1" x14ac:dyDescent="0.35">
      <c r="A754" s="10"/>
      <c r="B754" s="10"/>
      <c r="C754" s="10"/>
      <c r="D754" s="10"/>
      <c r="E754" s="10"/>
      <c r="F754" s="10"/>
      <c r="G754" s="10"/>
      <c r="H754" s="10"/>
    </row>
    <row r="755" spans="1:8" ht="14.25" customHeight="1" x14ac:dyDescent="0.35">
      <c r="A755" s="10"/>
      <c r="B755" s="10"/>
      <c r="C755" s="10"/>
      <c r="D755" s="10"/>
      <c r="E755" s="10"/>
      <c r="F755" s="10"/>
      <c r="G755" s="10"/>
      <c r="H755" s="10"/>
    </row>
    <row r="756" spans="1:8" ht="14.25" customHeight="1" x14ac:dyDescent="0.35">
      <c r="A756" s="10"/>
      <c r="B756" s="10"/>
      <c r="C756" s="10"/>
      <c r="D756" s="10"/>
      <c r="E756" s="10"/>
      <c r="F756" s="10"/>
      <c r="G756" s="10"/>
      <c r="H756" s="10"/>
    </row>
    <row r="757" spans="1:8" ht="14.25" customHeight="1" x14ac:dyDescent="0.35">
      <c r="A757" s="10"/>
      <c r="B757" s="10"/>
      <c r="C757" s="10"/>
      <c r="D757" s="10"/>
      <c r="E757" s="10"/>
      <c r="F757" s="10"/>
      <c r="G757" s="10"/>
      <c r="H757" s="10"/>
    </row>
    <row r="758" spans="1:8" ht="14.25" customHeight="1" x14ac:dyDescent="0.35">
      <c r="A758" s="10"/>
      <c r="B758" s="10"/>
      <c r="C758" s="10"/>
      <c r="D758" s="10"/>
      <c r="E758" s="10"/>
      <c r="F758" s="10"/>
      <c r="G758" s="10"/>
      <c r="H758" s="10"/>
    </row>
    <row r="759" spans="1:8" ht="14.25" customHeight="1" x14ac:dyDescent="0.35">
      <c r="A759" s="10"/>
      <c r="B759" s="10"/>
      <c r="C759" s="10"/>
      <c r="D759" s="10"/>
      <c r="E759" s="10"/>
      <c r="F759" s="10"/>
      <c r="G759" s="10"/>
      <c r="H759" s="10"/>
    </row>
    <row r="760" spans="1:8" ht="14.25" customHeight="1" x14ac:dyDescent="0.35">
      <c r="A760" s="10"/>
      <c r="B760" s="10"/>
      <c r="C760" s="10"/>
      <c r="D760" s="10"/>
      <c r="E760" s="10"/>
      <c r="F760" s="10"/>
      <c r="G760" s="10"/>
      <c r="H760" s="10"/>
    </row>
    <row r="761" spans="1:8" ht="14.25" customHeight="1" x14ac:dyDescent="0.35">
      <c r="A761" s="10"/>
      <c r="B761" s="10"/>
      <c r="C761" s="10"/>
      <c r="D761" s="10"/>
      <c r="E761" s="10"/>
      <c r="F761" s="10"/>
      <c r="G761" s="10"/>
      <c r="H761" s="10"/>
    </row>
    <row r="762" spans="1:8" ht="14.25" customHeight="1" x14ac:dyDescent="0.35">
      <c r="A762" s="10"/>
      <c r="B762" s="10"/>
      <c r="C762" s="10"/>
      <c r="D762" s="10"/>
      <c r="E762" s="10"/>
      <c r="F762" s="10"/>
      <c r="G762" s="10"/>
      <c r="H762" s="10"/>
    </row>
    <row r="763" spans="1:8" ht="14.25" customHeight="1" x14ac:dyDescent="0.35">
      <c r="A763" s="10"/>
      <c r="B763" s="10"/>
      <c r="C763" s="10"/>
      <c r="D763" s="10"/>
      <c r="E763" s="10"/>
      <c r="F763" s="10"/>
      <c r="G763" s="10"/>
      <c r="H763" s="10"/>
    </row>
    <row r="764" spans="1:8" ht="14.25" customHeight="1" x14ac:dyDescent="0.35">
      <c r="A764" s="10"/>
      <c r="B764" s="10"/>
      <c r="C764" s="10"/>
      <c r="D764" s="10"/>
      <c r="E764" s="10"/>
      <c r="F764" s="10"/>
      <c r="G764" s="10"/>
      <c r="H764" s="10"/>
    </row>
    <row r="765" spans="1:8" ht="14.25" customHeight="1" x14ac:dyDescent="0.35">
      <c r="A765" s="10"/>
      <c r="B765" s="10"/>
      <c r="C765" s="10"/>
      <c r="D765" s="10"/>
      <c r="E765" s="10"/>
      <c r="F765" s="10"/>
      <c r="G765" s="10"/>
      <c r="H765" s="10"/>
    </row>
    <row r="766" spans="1:8" ht="14.25" customHeight="1" x14ac:dyDescent="0.35">
      <c r="A766" s="10"/>
      <c r="B766" s="10"/>
      <c r="C766" s="10"/>
      <c r="D766" s="10"/>
      <c r="E766" s="10"/>
      <c r="F766" s="10"/>
      <c r="G766" s="10"/>
      <c r="H766" s="10"/>
    </row>
    <row r="767" spans="1:8" ht="14.25" customHeight="1" x14ac:dyDescent="0.35">
      <c r="A767" s="10"/>
      <c r="B767" s="10"/>
      <c r="C767" s="10"/>
      <c r="D767" s="10"/>
      <c r="E767" s="10"/>
      <c r="F767" s="10"/>
      <c r="G767" s="10"/>
      <c r="H767" s="10"/>
    </row>
    <row r="768" spans="1:8" ht="14.25" customHeight="1" x14ac:dyDescent="0.35">
      <c r="A768" s="10"/>
      <c r="B768" s="10"/>
      <c r="C768" s="10"/>
      <c r="D768" s="10"/>
      <c r="E768" s="10"/>
      <c r="F768" s="10"/>
      <c r="G768" s="10"/>
      <c r="H768" s="10"/>
    </row>
    <row r="769" spans="1:8" ht="14.25" customHeight="1" x14ac:dyDescent="0.35">
      <c r="A769" s="10"/>
      <c r="B769" s="10"/>
      <c r="C769" s="10"/>
      <c r="D769" s="10"/>
      <c r="E769" s="10"/>
      <c r="F769" s="10"/>
      <c r="G769" s="10"/>
      <c r="H769" s="10"/>
    </row>
    <row r="770" spans="1:8" ht="14.25" customHeight="1" x14ac:dyDescent="0.35">
      <c r="A770" s="10"/>
      <c r="B770" s="10"/>
      <c r="C770" s="10"/>
      <c r="D770" s="10"/>
      <c r="E770" s="10"/>
      <c r="F770" s="10"/>
      <c r="G770" s="10"/>
      <c r="H770" s="10"/>
    </row>
    <row r="771" spans="1:8" ht="14.25" customHeight="1" x14ac:dyDescent="0.35">
      <c r="A771" s="10"/>
      <c r="B771" s="10"/>
      <c r="C771" s="10"/>
      <c r="D771" s="10"/>
      <c r="E771" s="10"/>
      <c r="F771" s="10"/>
      <c r="G771" s="10"/>
      <c r="H771" s="10"/>
    </row>
    <row r="772" spans="1:8" ht="14.25" customHeight="1" x14ac:dyDescent="0.35">
      <c r="A772" s="10"/>
      <c r="B772" s="10"/>
      <c r="C772" s="10"/>
      <c r="D772" s="10"/>
      <c r="E772" s="10"/>
      <c r="F772" s="10"/>
      <c r="G772" s="10"/>
      <c r="H772" s="10"/>
    </row>
    <row r="773" spans="1:8" ht="14.25" customHeight="1" x14ac:dyDescent="0.35">
      <c r="A773" s="10"/>
      <c r="B773" s="10"/>
      <c r="C773" s="10"/>
      <c r="D773" s="10"/>
      <c r="E773" s="10"/>
      <c r="F773" s="10"/>
      <c r="G773" s="10"/>
      <c r="H773" s="10"/>
    </row>
    <row r="774" spans="1:8" ht="14.25" customHeight="1" x14ac:dyDescent="0.35">
      <c r="A774" s="10"/>
      <c r="B774" s="10"/>
      <c r="C774" s="10"/>
      <c r="D774" s="10"/>
      <c r="E774" s="10"/>
      <c r="F774" s="10"/>
      <c r="G774" s="10"/>
      <c r="H774" s="10"/>
    </row>
    <row r="775" spans="1:8" ht="14.25" customHeight="1" x14ac:dyDescent="0.35">
      <c r="A775" s="10"/>
      <c r="B775" s="10"/>
      <c r="C775" s="10"/>
      <c r="D775" s="10"/>
      <c r="E775" s="10"/>
      <c r="F775" s="10"/>
      <c r="G775" s="10"/>
      <c r="H775" s="10"/>
    </row>
    <row r="776" spans="1:8" ht="14.25" customHeight="1" x14ac:dyDescent="0.35">
      <c r="A776" s="10"/>
      <c r="B776" s="10"/>
      <c r="C776" s="10"/>
      <c r="D776" s="10"/>
      <c r="E776" s="10"/>
      <c r="F776" s="10"/>
      <c r="G776" s="10"/>
      <c r="H776" s="10"/>
    </row>
    <row r="777" spans="1:8" ht="14.25" customHeight="1" x14ac:dyDescent="0.35">
      <c r="A777" s="10"/>
      <c r="B777" s="10"/>
      <c r="C777" s="10"/>
      <c r="D777" s="10"/>
      <c r="E777" s="10"/>
      <c r="F777" s="10"/>
      <c r="G777" s="10"/>
      <c r="H777" s="10"/>
    </row>
    <row r="778" spans="1:8" ht="14.25" customHeight="1" x14ac:dyDescent="0.35">
      <c r="A778" s="10"/>
      <c r="B778" s="10"/>
      <c r="C778" s="10"/>
      <c r="D778" s="10"/>
      <c r="E778" s="10"/>
      <c r="F778" s="10"/>
      <c r="G778" s="10"/>
      <c r="H778" s="10"/>
    </row>
    <row r="779" spans="1:8" ht="14.25" customHeight="1" x14ac:dyDescent="0.35">
      <c r="A779" s="10"/>
      <c r="B779" s="10"/>
      <c r="C779" s="10"/>
      <c r="D779" s="10"/>
      <c r="E779" s="10"/>
      <c r="F779" s="10"/>
      <c r="G779" s="10"/>
      <c r="H779" s="10"/>
    </row>
    <row r="780" spans="1:8" ht="14.25" customHeight="1" x14ac:dyDescent="0.35">
      <c r="A780" s="10"/>
      <c r="B780" s="10"/>
      <c r="C780" s="10"/>
      <c r="D780" s="10"/>
      <c r="E780" s="10"/>
      <c r="F780" s="10"/>
      <c r="G780" s="10"/>
      <c r="H780" s="10"/>
    </row>
    <row r="781" spans="1:8" ht="14.25" customHeight="1" x14ac:dyDescent="0.35">
      <c r="A781" s="10"/>
      <c r="B781" s="10"/>
      <c r="C781" s="10"/>
      <c r="D781" s="10"/>
      <c r="E781" s="10"/>
      <c r="F781" s="10"/>
      <c r="G781" s="10"/>
      <c r="H781" s="10"/>
    </row>
    <row r="782" spans="1:8" ht="14.25" customHeight="1" x14ac:dyDescent="0.35">
      <c r="A782" s="10"/>
      <c r="B782" s="10"/>
      <c r="C782" s="10"/>
      <c r="D782" s="10"/>
      <c r="E782" s="10"/>
      <c r="F782" s="10"/>
      <c r="G782" s="10"/>
      <c r="H782" s="10"/>
    </row>
    <row r="783" spans="1:8" ht="14.25" customHeight="1" x14ac:dyDescent="0.35">
      <c r="A783" s="10"/>
      <c r="B783" s="10"/>
      <c r="C783" s="10"/>
      <c r="D783" s="10"/>
      <c r="E783" s="10"/>
      <c r="F783" s="10"/>
      <c r="G783" s="10"/>
      <c r="H783" s="10"/>
    </row>
    <row r="784" spans="1:8" ht="14.25" customHeight="1" x14ac:dyDescent="0.35">
      <c r="A784" s="10"/>
      <c r="B784" s="10"/>
      <c r="C784" s="10"/>
      <c r="D784" s="10"/>
      <c r="E784" s="10"/>
      <c r="F784" s="10"/>
      <c r="G784" s="10"/>
      <c r="H784" s="10"/>
    </row>
    <row r="785" spans="1:8" ht="14.25" customHeight="1" x14ac:dyDescent="0.35">
      <c r="A785" s="10"/>
      <c r="B785" s="10"/>
      <c r="C785" s="10"/>
      <c r="D785" s="10"/>
      <c r="E785" s="10"/>
      <c r="F785" s="10"/>
      <c r="G785" s="10"/>
      <c r="H785" s="10"/>
    </row>
    <row r="786" spans="1:8" ht="14.25" customHeight="1" x14ac:dyDescent="0.35">
      <c r="A786" s="10"/>
      <c r="B786" s="10"/>
      <c r="C786" s="10"/>
      <c r="D786" s="10"/>
      <c r="E786" s="10"/>
      <c r="F786" s="10"/>
      <c r="G786" s="10"/>
      <c r="H786" s="10"/>
    </row>
    <row r="787" spans="1:8" ht="14.25" customHeight="1" x14ac:dyDescent="0.35">
      <c r="A787" s="10"/>
      <c r="B787" s="10"/>
      <c r="C787" s="10"/>
      <c r="D787" s="10"/>
      <c r="E787" s="10"/>
      <c r="F787" s="10"/>
      <c r="G787" s="10"/>
      <c r="H787" s="10"/>
    </row>
    <row r="788" spans="1:8" ht="14.25" customHeight="1" x14ac:dyDescent="0.35">
      <c r="A788" s="10"/>
      <c r="B788" s="10"/>
      <c r="C788" s="10"/>
      <c r="D788" s="10"/>
      <c r="E788" s="10"/>
      <c r="F788" s="10"/>
      <c r="G788" s="10"/>
      <c r="H788" s="10"/>
    </row>
    <row r="789" spans="1:8" ht="14.25" customHeight="1" x14ac:dyDescent="0.35">
      <c r="A789" s="10"/>
      <c r="B789" s="10"/>
      <c r="C789" s="10"/>
      <c r="D789" s="10"/>
      <c r="E789" s="10"/>
      <c r="F789" s="10"/>
      <c r="G789" s="10"/>
      <c r="H789" s="10"/>
    </row>
    <row r="790" spans="1:8" ht="14.25" customHeight="1" x14ac:dyDescent="0.35">
      <c r="A790" s="10"/>
      <c r="B790" s="10"/>
      <c r="C790" s="10"/>
      <c r="D790" s="10"/>
      <c r="E790" s="10"/>
      <c r="F790" s="10"/>
      <c r="G790" s="10"/>
      <c r="H790" s="10"/>
    </row>
    <row r="791" spans="1:8" ht="14.25" customHeight="1" x14ac:dyDescent="0.35">
      <c r="A791" s="10"/>
      <c r="B791" s="10"/>
      <c r="C791" s="10"/>
      <c r="D791" s="10"/>
      <c r="E791" s="10"/>
      <c r="F791" s="10"/>
      <c r="G791" s="10"/>
      <c r="H791" s="10"/>
    </row>
    <row r="792" spans="1:8" ht="14.25" customHeight="1" x14ac:dyDescent="0.35">
      <c r="A792" s="10"/>
      <c r="B792" s="10"/>
      <c r="C792" s="10"/>
      <c r="D792" s="10"/>
      <c r="E792" s="10"/>
      <c r="F792" s="10"/>
      <c r="G792" s="10"/>
      <c r="H792" s="10"/>
    </row>
    <row r="793" spans="1:8" ht="14.25" customHeight="1" x14ac:dyDescent="0.35">
      <c r="A793" s="10"/>
      <c r="B793" s="10"/>
      <c r="C793" s="10"/>
      <c r="D793" s="10"/>
      <c r="E793" s="10"/>
      <c r="F793" s="10"/>
      <c r="G793" s="10"/>
      <c r="H793" s="10"/>
    </row>
    <row r="794" spans="1:8" ht="14.25" customHeight="1" x14ac:dyDescent="0.35">
      <c r="A794" s="10"/>
      <c r="B794" s="10"/>
      <c r="C794" s="10"/>
      <c r="D794" s="10"/>
      <c r="E794" s="10"/>
      <c r="F794" s="10"/>
      <c r="G794" s="10"/>
      <c r="H794" s="10"/>
    </row>
    <row r="795" spans="1:8" ht="14.25" customHeight="1" x14ac:dyDescent="0.35">
      <c r="A795" s="10"/>
      <c r="B795" s="10"/>
      <c r="C795" s="10"/>
      <c r="D795" s="10"/>
      <c r="E795" s="10"/>
      <c r="F795" s="10"/>
      <c r="G795" s="10"/>
      <c r="H795" s="10"/>
    </row>
    <row r="796" spans="1:8" ht="14.25" customHeight="1" x14ac:dyDescent="0.35">
      <c r="A796" s="10"/>
      <c r="B796" s="10"/>
      <c r="C796" s="10"/>
      <c r="D796" s="10"/>
      <c r="E796" s="10"/>
      <c r="F796" s="10"/>
      <c r="G796" s="10"/>
      <c r="H796" s="10"/>
    </row>
    <row r="797" spans="1:8" ht="14.25" customHeight="1" x14ac:dyDescent="0.35">
      <c r="A797" s="10"/>
      <c r="B797" s="10"/>
      <c r="C797" s="10"/>
      <c r="D797" s="10"/>
      <c r="E797" s="10"/>
      <c r="F797" s="10"/>
      <c r="G797" s="10"/>
      <c r="H797" s="10"/>
    </row>
    <row r="798" spans="1:8" ht="14.25" customHeight="1" x14ac:dyDescent="0.35">
      <c r="A798" s="10"/>
      <c r="B798" s="10"/>
      <c r="C798" s="10"/>
      <c r="D798" s="10"/>
      <c r="E798" s="10"/>
      <c r="F798" s="10"/>
      <c r="G798" s="10"/>
      <c r="H798" s="10"/>
    </row>
    <row r="799" spans="1:8" ht="14.25" customHeight="1" x14ac:dyDescent="0.35">
      <c r="A799" s="10"/>
      <c r="B799" s="10"/>
      <c r="C799" s="10"/>
      <c r="D799" s="10"/>
      <c r="E799" s="10"/>
      <c r="F799" s="10"/>
      <c r="G799" s="10"/>
      <c r="H799" s="10"/>
    </row>
    <row r="800" spans="1:8" ht="14.25" customHeight="1" x14ac:dyDescent="0.35">
      <c r="A800" s="10"/>
      <c r="B800" s="10"/>
      <c r="C800" s="10"/>
      <c r="D800" s="10"/>
      <c r="E800" s="10"/>
      <c r="F800" s="10"/>
      <c r="G800" s="10"/>
      <c r="H800" s="10"/>
    </row>
    <row r="801" spans="1:8" ht="14.25" customHeight="1" x14ac:dyDescent="0.35">
      <c r="A801" s="10"/>
      <c r="B801" s="10"/>
      <c r="C801" s="10"/>
      <c r="D801" s="10"/>
      <c r="E801" s="10"/>
      <c r="F801" s="10"/>
      <c r="G801" s="10"/>
      <c r="H801" s="10"/>
    </row>
    <row r="802" spans="1:8" ht="14.25" customHeight="1" x14ac:dyDescent="0.35">
      <c r="A802" s="10"/>
      <c r="B802" s="10"/>
      <c r="C802" s="10"/>
      <c r="D802" s="10"/>
      <c r="E802" s="10"/>
      <c r="F802" s="10"/>
      <c r="G802" s="10"/>
      <c r="H802" s="10"/>
    </row>
    <row r="803" spans="1:8" ht="14.25" customHeight="1" x14ac:dyDescent="0.35">
      <c r="A803" s="10"/>
      <c r="B803" s="10"/>
      <c r="C803" s="10"/>
      <c r="D803" s="10"/>
      <c r="E803" s="10"/>
      <c r="F803" s="10"/>
      <c r="G803" s="10"/>
      <c r="H803" s="10"/>
    </row>
    <row r="804" spans="1:8" ht="14.25" customHeight="1" x14ac:dyDescent="0.35">
      <c r="A804" s="10"/>
      <c r="B804" s="10"/>
      <c r="C804" s="10"/>
      <c r="D804" s="10"/>
      <c r="E804" s="10"/>
      <c r="F804" s="10"/>
      <c r="G804" s="10"/>
      <c r="H804" s="10"/>
    </row>
    <row r="805" spans="1:8" ht="14.25" customHeight="1" x14ac:dyDescent="0.35">
      <c r="A805" s="10"/>
      <c r="B805" s="10"/>
      <c r="C805" s="10"/>
      <c r="D805" s="10"/>
      <c r="E805" s="10"/>
      <c r="F805" s="10"/>
      <c r="G805" s="10"/>
      <c r="H805" s="10"/>
    </row>
    <row r="806" spans="1:8" ht="14.25" customHeight="1" x14ac:dyDescent="0.35">
      <c r="A806" s="10"/>
      <c r="B806" s="10"/>
      <c r="C806" s="10"/>
      <c r="D806" s="10"/>
      <c r="E806" s="10"/>
      <c r="F806" s="10"/>
      <c r="G806" s="10"/>
      <c r="H806" s="10"/>
    </row>
    <row r="807" spans="1:8" ht="14.25" customHeight="1" x14ac:dyDescent="0.35">
      <c r="A807" s="10"/>
      <c r="B807" s="10"/>
      <c r="C807" s="10"/>
      <c r="D807" s="10"/>
      <c r="E807" s="10"/>
      <c r="F807" s="10"/>
      <c r="G807" s="10"/>
      <c r="H807" s="10"/>
    </row>
    <row r="808" spans="1:8" ht="14.25" customHeight="1" x14ac:dyDescent="0.35">
      <c r="A808" s="10"/>
      <c r="B808" s="10"/>
      <c r="C808" s="10"/>
      <c r="D808" s="10"/>
      <c r="E808" s="10"/>
      <c r="F808" s="10"/>
      <c r="G808" s="10"/>
      <c r="H808" s="10"/>
    </row>
    <row r="809" spans="1:8" ht="14.25" customHeight="1" x14ac:dyDescent="0.35">
      <c r="A809" s="10"/>
      <c r="B809" s="10"/>
      <c r="C809" s="10"/>
      <c r="D809" s="10"/>
      <c r="E809" s="10"/>
      <c r="F809" s="10"/>
      <c r="G809" s="10"/>
      <c r="H809" s="10"/>
    </row>
    <row r="810" spans="1:8" ht="14.25" customHeight="1" x14ac:dyDescent="0.35">
      <c r="A810" s="10"/>
      <c r="B810" s="10"/>
      <c r="C810" s="10"/>
      <c r="D810" s="10"/>
      <c r="E810" s="10"/>
      <c r="F810" s="10"/>
      <c r="G810" s="10"/>
      <c r="H810" s="10"/>
    </row>
    <row r="811" spans="1:8" ht="14.25" customHeight="1" x14ac:dyDescent="0.35">
      <c r="A811" s="10"/>
      <c r="B811" s="10"/>
      <c r="C811" s="10"/>
      <c r="D811" s="10"/>
      <c r="E811" s="10"/>
      <c r="F811" s="10"/>
      <c r="G811" s="10"/>
      <c r="H811" s="10"/>
    </row>
    <row r="812" spans="1:8" ht="14.25" customHeight="1" x14ac:dyDescent="0.35">
      <c r="A812" s="10"/>
      <c r="B812" s="10"/>
      <c r="C812" s="10"/>
      <c r="D812" s="10"/>
      <c r="E812" s="10"/>
      <c r="F812" s="10"/>
      <c r="G812" s="10"/>
      <c r="H812" s="10"/>
    </row>
    <row r="813" spans="1:8" ht="14.25" customHeight="1" x14ac:dyDescent="0.35">
      <c r="A813" s="10"/>
      <c r="B813" s="10"/>
      <c r="C813" s="10"/>
      <c r="D813" s="10"/>
      <c r="E813" s="10"/>
      <c r="F813" s="10"/>
      <c r="G813" s="10"/>
      <c r="H813" s="10"/>
    </row>
    <row r="814" spans="1:8" ht="14.25" customHeight="1" x14ac:dyDescent="0.35">
      <c r="A814" s="10"/>
      <c r="B814" s="10"/>
      <c r="C814" s="10"/>
      <c r="D814" s="10"/>
      <c r="E814" s="10"/>
      <c r="F814" s="10"/>
      <c r="G814" s="10"/>
      <c r="H814" s="10"/>
    </row>
    <row r="815" spans="1:8" ht="14.25" customHeight="1" x14ac:dyDescent="0.35">
      <c r="A815" s="10"/>
      <c r="B815" s="10"/>
      <c r="C815" s="10"/>
      <c r="D815" s="10"/>
      <c r="E815" s="10"/>
      <c r="F815" s="10"/>
      <c r="G815" s="10"/>
      <c r="H815" s="10"/>
    </row>
    <row r="816" spans="1:8" ht="14.25" customHeight="1" x14ac:dyDescent="0.35">
      <c r="A816" s="10"/>
      <c r="B816" s="10"/>
      <c r="C816" s="10"/>
      <c r="D816" s="10"/>
      <c r="E816" s="10"/>
      <c r="F816" s="10"/>
      <c r="G816" s="10"/>
      <c r="H816" s="10"/>
    </row>
    <row r="817" spans="1:8" ht="14.25" customHeight="1" x14ac:dyDescent="0.35">
      <c r="A817" s="10"/>
      <c r="B817" s="10"/>
      <c r="C817" s="10"/>
      <c r="D817" s="10"/>
      <c r="E817" s="10"/>
      <c r="F817" s="10"/>
      <c r="G817" s="10"/>
      <c r="H817" s="10"/>
    </row>
    <row r="818" spans="1:8" ht="14.25" customHeight="1" x14ac:dyDescent="0.35">
      <c r="A818" s="10"/>
      <c r="B818" s="10"/>
      <c r="C818" s="10"/>
      <c r="D818" s="10"/>
      <c r="E818" s="10"/>
      <c r="F818" s="10"/>
      <c r="G818" s="10"/>
      <c r="H818" s="10"/>
    </row>
    <row r="819" spans="1:8" ht="14.25" customHeight="1" x14ac:dyDescent="0.35">
      <c r="A819" s="10"/>
      <c r="B819" s="10"/>
      <c r="C819" s="10"/>
      <c r="D819" s="10"/>
      <c r="E819" s="10"/>
      <c r="F819" s="10"/>
      <c r="G819" s="10"/>
      <c r="H819" s="10"/>
    </row>
    <row r="820" spans="1:8" ht="14.25" customHeight="1" x14ac:dyDescent="0.35">
      <c r="A820" s="10"/>
      <c r="B820" s="10"/>
      <c r="C820" s="10"/>
      <c r="D820" s="10"/>
      <c r="E820" s="10"/>
      <c r="F820" s="10"/>
      <c r="G820" s="10"/>
      <c r="H820" s="10"/>
    </row>
    <row r="821" spans="1:8" ht="14.25" customHeight="1" x14ac:dyDescent="0.35">
      <c r="A821" s="10"/>
      <c r="B821" s="10"/>
      <c r="C821" s="10"/>
      <c r="D821" s="10"/>
      <c r="E821" s="10"/>
      <c r="F821" s="10"/>
      <c r="G821" s="10"/>
      <c r="H821" s="10"/>
    </row>
    <row r="822" spans="1:8" ht="14.25" customHeight="1" x14ac:dyDescent="0.35">
      <c r="A822" s="10"/>
      <c r="B822" s="10"/>
      <c r="C822" s="10"/>
      <c r="D822" s="10"/>
      <c r="E822" s="10"/>
      <c r="F822" s="10"/>
      <c r="G822" s="10"/>
      <c r="H822" s="10"/>
    </row>
    <row r="823" spans="1:8" ht="14.25" customHeight="1" x14ac:dyDescent="0.35">
      <c r="A823" s="10"/>
      <c r="B823" s="10"/>
      <c r="C823" s="10"/>
      <c r="D823" s="10"/>
      <c r="E823" s="10"/>
      <c r="F823" s="10"/>
      <c r="G823" s="10"/>
      <c r="H823" s="10"/>
    </row>
    <row r="824" spans="1:8" ht="14.25" customHeight="1" x14ac:dyDescent="0.35">
      <c r="A824" s="10"/>
      <c r="B824" s="10"/>
      <c r="C824" s="10"/>
      <c r="D824" s="10"/>
      <c r="E824" s="10"/>
      <c r="F824" s="10"/>
      <c r="G824" s="10"/>
      <c r="H824" s="10"/>
    </row>
    <row r="825" spans="1:8" ht="14.25" customHeight="1" x14ac:dyDescent="0.35">
      <c r="A825" s="10"/>
      <c r="B825" s="10"/>
      <c r="C825" s="10"/>
      <c r="D825" s="10"/>
      <c r="E825" s="10"/>
      <c r="F825" s="10"/>
      <c r="G825" s="10"/>
      <c r="H825" s="10"/>
    </row>
    <row r="826" spans="1:8" ht="14.25" customHeight="1" x14ac:dyDescent="0.35">
      <c r="A826" s="10"/>
      <c r="B826" s="10"/>
      <c r="C826" s="10"/>
      <c r="D826" s="10"/>
      <c r="E826" s="10"/>
      <c r="F826" s="10"/>
      <c r="G826" s="10"/>
      <c r="H826" s="10"/>
    </row>
    <row r="827" spans="1:8" ht="14.25" customHeight="1" x14ac:dyDescent="0.35">
      <c r="A827" s="10"/>
      <c r="B827" s="10"/>
      <c r="C827" s="10"/>
      <c r="D827" s="10"/>
      <c r="E827" s="10"/>
      <c r="F827" s="10"/>
      <c r="G827" s="10"/>
      <c r="H827" s="10"/>
    </row>
    <row r="828" spans="1:8" ht="14.25" customHeight="1" x14ac:dyDescent="0.35">
      <c r="A828" s="10"/>
      <c r="B828" s="10"/>
      <c r="C828" s="10"/>
      <c r="D828" s="10"/>
      <c r="E828" s="10"/>
      <c r="F828" s="10"/>
      <c r="G828" s="10"/>
      <c r="H828" s="10"/>
    </row>
    <row r="829" spans="1:8" ht="14.25" customHeight="1" x14ac:dyDescent="0.35">
      <c r="A829" s="10"/>
      <c r="B829" s="10"/>
      <c r="C829" s="10"/>
      <c r="D829" s="10"/>
      <c r="E829" s="10"/>
      <c r="F829" s="10"/>
      <c r="G829" s="10"/>
      <c r="H829" s="10"/>
    </row>
    <row r="830" spans="1:8" ht="14.25" customHeight="1" x14ac:dyDescent="0.35">
      <c r="A830" s="10"/>
      <c r="B830" s="10"/>
      <c r="C830" s="10"/>
      <c r="D830" s="10"/>
      <c r="E830" s="10"/>
      <c r="F830" s="10"/>
      <c r="G830" s="10"/>
      <c r="H830" s="10"/>
    </row>
    <row r="831" spans="1:8" ht="14.25" customHeight="1" x14ac:dyDescent="0.35">
      <c r="A831" s="10"/>
      <c r="B831" s="10"/>
      <c r="C831" s="10"/>
      <c r="D831" s="10"/>
      <c r="E831" s="10"/>
      <c r="F831" s="10"/>
      <c r="G831" s="10"/>
      <c r="H831" s="10"/>
    </row>
    <row r="832" spans="1:8" ht="14.25" customHeight="1" x14ac:dyDescent="0.35">
      <c r="A832" s="10"/>
      <c r="B832" s="10"/>
      <c r="C832" s="10"/>
      <c r="D832" s="10"/>
      <c r="E832" s="10"/>
      <c r="F832" s="10"/>
      <c r="G832" s="10"/>
      <c r="H832" s="10"/>
    </row>
    <row r="833" spans="1:8" ht="14.25" customHeight="1" x14ac:dyDescent="0.35">
      <c r="A833" s="10"/>
      <c r="B833" s="10"/>
      <c r="C833" s="10"/>
      <c r="D833" s="10"/>
      <c r="E833" s="10"/>
      <c r="F833" s="10"/>
      <c r="G833" s="10"/>
      <c r="H833" s="10"/>
    </row>
    <row r="834" spans="1:8" ht="14.25" customHeight="1" x14ac:dyDescent="0.35">
      <c r="A834" s="10"/>
      <c r="B834" s="10"/>
      <c r="C834" s="10"/>
      <c r="D834" s="10"/>
      <c r="E834" s="10"/>
      <c r="F834" s="10"/>
      <c r="G834" s="10"/>
      <c r="H834" s="10"/>
    </row>
    <row r="835" spans="1:8" ht="14.25" customHeight="1" x14ac:dyDescent="0.35">
      <c r="A835" s="10"/>
      <c r="B835" s="10"/>
      <c r="C835" s="10"/>
      <c r="D835" s="10"/>
      <c r="E835" s="10"/>
      <c r="F835" s="10"/>
      <c r="G835" s="10"/>
      <c r="H835" s="10"/>
    </row>
    <row r="836" spans="1:8" ht="14.25" customHeight="1" x14ac:dyDescent="0.35">
      <c r="A836" s="10"/>
      <c r="B836" s="10"/>
      <c r="C836" s="10"/>
      <c r="D836" s="10"/>
      <c r="E836" s="10"/>
      <c r="F836" s="10"/>
      <c r="G836" s="10"/>
      <c r="H836" s="10"/>
    </row>
    <row r="837" spans="1:8" ht="14.25" customHeight="1" x14ac:dyDescent="0.35">
      <c r="A837" s="10"/>
      <c r="B837" s="10"/>
      <c r="C837" s="10"/>
      <c r="D837" s="10"/>
      <c r="E837" s="10"/>
      <c r="F837" s="10"/>
      <c r="G837" s="10"/>
      <c r="H837" s="10"/>
    </row>
    <row r="838" spans="1:8" ht="14.25" customHeight="1" x14ac:dyDescent="0.35">
      <c r="A838" s="10"/>
      <c r="B838" s="10"/>
      <c r="C838" s="10"/>
      <c r="D838" s="10"/>
      <c r="E838" s="10"/>
      <c r="F838" s="10"/>
      <c r="G838" s="10"/>
      <c r="H838" s="10"/>
    </row>
    <row r="839" spans="1:8" ht="14.25" customHeight="1" x14ac:dyDescent="0.35">
      <c r="A839" s="10"/>
      <c r="B839" s="10"/>
      <c r="C839" s="10"/>
      <c r="D839" s="10"/>
      <c r="E839" s="10"/>
      <c r="F839" s="10"/>
      <c r="G839" s="10"/>
      <c r="H839" s="10"/>
    </row>
    <row r="840" spans="1:8" ht="14.25" customHeight="1" x14ac:dyDescent="0.35">
      <c r="A840" s="10"/>
      <c r="B840" s="10"/>
      <c r="C840" s="10"/>
      <c r="D840" s="10"/>
      <c r="E840" s="10"/>
      <c r="F840" s="10"/>
      <c r="G840" s="10"/>
      <c r="H840" s="10"/>
    </row>
    <row r="841" spans="1:8" ht="14.25" customHeight="1" x14ac:dyDescent="0.35">
      <c r="A841" s="10"/>
      <c r="B841" s="10"/>
      <c r="C841" s="10"/>
      <c r="D841" s="10"/>
      <c r="E841" s="10"/>
      <c r="F841" s="10"/>
      <c r="G841" s="10"/>
      <c r="H841" s="10"/>
    </row>
    <row r="842" spans="1:8" ht="14.25" customHeight="1" x14ac:dyDescent="0.35">
      <c r="A842" s="10"/>
      <c r="B842" s="10"/>
      <c r="C842" s="10"/>
      <c r="D842" s="10"/>
      <c r="E842" s="10"/>
      <c r="F842" s="10"/>
      <c r="G842" s="10"/>
      <c r="H842" s="10"/>
    </row>
    <row r="843" spans="1:8" ht="14.25" customHeight="1" x14ac:dyDescent="0.35">
      <c r="A843" s="10"/>
      <c r="B843" s="10"/>
      <c r="C843" s="10"/>
      <c r="D843" s="10"/>
      <c r="E843" s="10"/>
      <c r="F843" s="10"/>
      <c r="G843" s="10"/>
      <c r="H843" s="10"/>
    </row>
    <row r="844" spans="1:8" ht="14.25" customHeight="1" x14ac:dyDescent="0.35">
      <c r="A844" s="10"/>
      <c r="B844" s="10"/>
      <c r="C844" s="10"/>
      <c r="D844" s="10"/>
      <c r="E844" s="10"/>
      <c r="F844" s="10"/>
      <c r="G844" s="10"/>
      <c r="H844" s="10"/>
    </row>
    <row r="845" spans="1:8" ht="14.25" customHeight="1" x14ac:dyDescent="0.35">
      <c r="A845" s="10"/>
      <c r="B845" s="10"/>
      <c r="C845" s="10"/>
      <c r="D845" s="10"/>
      <c r="E845" s="10"/>
      <c r="F845" s="10"/>
      <c r="G845" s="10"/>
      <c r="H845" s="10"/>
    </row>
    <row r="846" spans="1:8" ht="14.25" customHeight="1" x14ac:dyDescent="0.35">
      <c r="A846" s="10"/>
      <c r="B846" s="10"/>
      <c r="C846" s="10"/>
      <c r="D846" s="10"/>
      <c r="E846" s="10"/>
      <c r="F846" s="10"/>
      <c r="G846" s="10"/>
      <c r="H846" s="10"/>
    </row>
    <row r="847" spans="1:8" ht="14.25" customHeight="1" x14ac:dyDescent="0.35">
      <c r="A847" s="10"/>
      <c r="B847" s="10"/>
      <c r="C847" s="10"/>
      <c r="D847" s="10"/>
      <c r="E847" s="10"/>
      <c r="F847" s="10"/>
      <c r="G847" s="10"/>
      <c r="H847" s="10"/>
    </row>
    <row r="848" spans="1:8" ht="14.25" customHeight="1" x14ac:dyDescent="0.35">
      <c r="A848" s="10"/>
      <c r="B848" s="10"/>
      <c r="C848" s="10"/>
      <c r="D848" s="10"/>
      <c r="E848" s="10"/>
      <c r="F848" s="10"/>
      <c r="G848" s="10"/>
      <c r="H848" s="10"/>
    </row>
    <row r="849" spans="1:8" ht="14.25" customHeight="1" x14ac:dyDescent="0.35">
      <c r="A849" s="10"/>
      <c r="B849" s="10"/>
      <c r="C849" s="10"/>
      <c r="D849" s="10"/>
      <c r="E849" s="10"/>
      <c r="F849" s="10"/>
      <c r="G849" s="10"/>
      <c r="H849" s="10"/>
    </row>
    <row r="850" spans="1:8" ht="14.25" customHeight="1" x14ac:dyDescent="0.35">
      <c r="A850" s="10"/>
      <c r="B850" s="10"/>
      <c r="C850" s="10"/>
      <c r="D850" s="10"/>
      <c r="E850" s="10"/>
      <c r="F850" s="10"/>
      <c r="G850" s="10"/>
      <c r="H850" s="10"/>
    </row>
    <row r="851" spans="1:8" ht="14.25" customHeight="1" x14ac:dyDescent="0.35">
      <c r="A851" s="10"/>
      <c r="B851" s="10"/>
      <c r="C851" s="10"/>
      <c r="D851" s="10"/>
      <c r="E851" s="10"/>
      <c r="F851" s="10"/>
      <c r="G851" s="10"/>
      <c r="H851" s="10"/>
    </row>
    <row r="852" spans="1:8" ht="14.25" customHeight="1" x14ac:dyDescent="0.35">
      <c r="A852" s="10"/>
      <c r="B852" s="10"/>
      <c r="C852" s="10"/>
      <c r="D852" s="10"/>
      <c r="E852" s="10"/>
      <c r="F852" s="10"/>
      <c r="G852" s="10"/>
      <c r="H852" s="10"/>
    </row>
    <row r="853" spans="1:8" ht="14.25" customHeight="1" x14ac:dyDescent="0.35">
      <c r="A853" s="10"/>
      <c r="B853" s="10"/>
      <c r="C853" s="10"/>
      <c r="D853" s="10"/>
      <c r="E853" s="10"/>
      <c r="F853" s="10"/>
      <c r="G853" s="10"/>
      <c r="H853" s="10"/>
    </row>
    <row r="854" spans="1:8" ht="14.25" customHeight="1" x14ac:dyDescent="0.35">
      <c r="A854" s="10"/>
      <c r="B854" s="10"/>
      <c r="C854" s="10"/>
      <c r="D854" s="10"/>
      <c r="E854" s="10"/>
      <c r="F854" s="10"/>
      <c r="G854" s="10"/>
      <c r="H854" s="10"/>
    </row>
    <row r="855" spans="1:8" ht="14.25" customHeight="1" x14ac:dyDescent="0.35">
      <c r="A855" s="10"/>
      <c r="B855" s="10"/>
      <c r="C855" s="10"/>
      <c r="D855" s="10"/>
      <c r="E855" s="10"/>
      <c r="F855" s="10"/>
      <c r="G855" s="10"/>
      <c r="H855" s="10"/>
    </row>
    <row r="856" spans="1:8" ht="14.25" customHeight="1" x14ac:dyDescent="0.35">
      <c r="A856" s="10"/>
      <c r="B856" s="10"/>
      <c r="C856" s="10"/>
      <c r="D856" s="10"/>
      <c r="E856" s="10"/>
      <c r="F856" s="10"/>
      <c r="G856" s="10"/>
      <c r="H856" s="10"/>
    </row>
    <row r="857" spans="1:8" ht="14.25" customHeight="1" x14ac:dyDescent="0.35">
      <c r="A857" s="10"/>
      <c r="B857" s="10"/>
      <c r="C857" s="10"/>
      <c r="D857" s="10"/>
      <c r="E857" s="10"/>
      <c r="F857" s="10"/>
      <c r="G857" s="10"/>
      <c r="H857" s="10"/>
    </row>
    <row r="858" spans="1:8" ht="14.25" customHeight="1" x14ac:dyDescent="0.35">
      <c r="A858" s="10"/>
      <c r="B858" s="10"/>
      <c r="C858" s="10"/>
      <c r="D858" s="10"/>
      <c r="E858" s="10"/>
      <c r="F858" s="10"/>
      <c r="G858" s="10"/>
      <c r="H858" s="10"/>
    </row>
    <row r="859" spans="1:8" ht="14.25" customHeight="1" x14ac:dyDescent="0.35">
      <c r="A859" s="10"/>
      <c r="B859" s="10"/>
      <c r="C859" s="10"/>
      <c r="D859" s="10"/>
      <c r="E859" s="10"/>
      <c r="F859" s="10"/>
      <c r="G859" s="10"/>
      <c r="H859" s="10"/>
    </row>
    <row r="860" spans="1:8" ht="14.25" customHeight="1" x14ac:dyDescent="0.35">
      <c r="A860" s="10"/>
      <c r="B860" s="10"/>
      <c r="C860" s="10"/>
      <c r="D860" s="10"/>
      <c r="E860" s="10"/>
      <c r="F860" s="10"/>
      <c r="G860" s="10"/>
      <c r="H860" s="10"/>
    </row>
    <row r="861" spans="1:8" ht="14.25" customHeight="1" x14ac:dyDescent="0.35">
      <c r="A861" s="10"/>
      <c r="B861" s="10"/>
      <c r="C861" s="10"/>
      <c r="D861" s="10"/>
      <c r="E861" s="10"/>
      <c r="F861" s="10"/>
      <c r="G861" s="10"/>
      <c r="H861" s="10"/>
    </row>
    <row r="862" spans="1:8" ht="14.25" customHeight="1" x14ac:dyDescent="0.35">
      <c r="A862" s="10"/>
      <c r="B862" s="10"/>
      <c r="C862" s="10"/>
      <c r="D862" s="10"/>
      <c r="E862" s="10"/>
      <c r="F862" s="10"/>
      <c r="G862" s="10"/>
      <c r="H862" s="10"/>
    </row>
    <row r="863" spans="1:8" ht="14.25" customHeight="1" x14ac:dyDescent="0.35">
      <c r="A863" s="10"/>
      <c r="B863" s="10"/>
      <c r="C863" s="10"/>
      <c r="D863" s="10"/>
      <c r="E863" s="10"/>
      <c r="F863" s="10"/>
      <c r="G863" s="10"/>
      <c r="H863" s="10"/>
    </row>
    <row r="864" spans="1:8" ht="14.25" customHeight="1" x14ac:dyDescent="0.35">
      <c r="A864" s="10"/>
      <c r="B864" s="10"/>
      <c r="C864" s="10"/>
      <c r="D864" s="10"/>
      <c r="E864" s="10"/>
      <c r="F864" s="10"/>
      <c r="G864" s="10"/>
      <c r="H864" s="10"/>
    </row>
    <row r="865" spans="1:8" ht="14.25" customHeight="1" x14ac:dyDescent="0.35">
      <c r="A865" s="10"/>
      <c r="B865" s="10"/>
      <c r="C865" s="10"/>
      <c r="D865" s="10"/>
      <c r="E865" s="10"/>
      <c r="F865" s="10"/>
      <c r="G865" s="10"/>
      <c r="H865" s="10"/>
    </row>
    <row r="866" spans="1:8" ht="14.25" customHeight="1" x14ac:dyDescent="0.35">
      <c r="A866" s="10"/>
      <c r="B866" s="10"/>
      <c r="C866" s="10"/>
      <c r="D866" s="10"/>
      <c r="E866" s="10"/>
      <c r="F866" s="10"/>
      <c r="G866" s="10"/>
      <c r="H866" s="10"/>
    </row>
    <row r="867" spans="1:8" ht="14.25" customHeight="1" x14ac:dyDescent="0.35">
      <c r="A867" s="10"/>
      <c r="B867" s="10"/>
      <c r="C867" s="10"/>
      <c r="D867" s="10"/>
      <c r="E867" s="10"/>
      <c r="F867" s="10"/>
      <c r="G867" s="10"/>
      <c r="H867" s="10"/>
    </row>
    <row r="868" spans="1:8" ht="14.25" customHeight="1" x14ac:dyDescent="0.35">
      <c r="A868" s="10"/>
      <c r="B868" s="10"/>
      <c r="C868" s="10"/>
      <c r="D868" s="10"/>
      <c r="E868" s="10"/>
      <c r="F868" s="10"/>
      <c r="G868" s="10"/>
      <c r="H868" s="10"/>
    </row>
    <row r="869" spans="1:8" ht="14.25" customHeight="1" x14ac:dyDescent="0.35">
      <c r="A869" s="10"/>
      <c r="B869" s="10"/>
      <c r="C869" s="10"/>
      <c r="D869" s="10"/>
      <c r="E869" s="10"/>
      <c r="F869" s="10"/>
      <c r="G869" s="10"/>
      <c r="H869" s="10"/>
    </row>
    <row r="870" spans="1:8" ht="14.25" customHeight="1" x14ac:dyDescent="0.35">
      <c r="A870" s="10"/>
      <c r="B870" s="10"/>
      <c r="C870" s="10"/>
      <c r="D870" s="10"/>
      <c r="E870" s="10"/>
      <c r="F870" s="10"/>
      <c r="G870" s="10"/>
      <c r="H870" s="10"/>
    </row>
    <row r="871" spans="1:8" ht="14.25" customHeight="1" x14ac:dyDescent="0.35">
      <c r="A871" s="10"/>
      <c r="B871" s="10"/>
      <c r="C871" s="10"/>
      <c r="D871" s="10"/>
      <c r="E871" s="10"/>
      <c r="F871" s="10"/>
      <c r="G871" s="10"/>
      <c r="H871" s="10"/>
    </row>
    <row r="872" spans="1:8" ht="14.25" customHeight="1" x14ac:dyDescent="0.35">
      <c r="A872" s="10"/>
      <c r="B872" s="10"/>
      <c r="C872" s="10"/>
      <c r="D872" s="10"/>
      <c r="E872" s="10"/>
      <c r="F872" s="10"/>
      <c r="G872" s="10"/>
      <c r="H872" s="10"/>
    </row>
    <row r="873" spans="1:8" ht="14.25" customHeight="1" x14ac:dyDescent="0.35">
      <c r="A873" s="10"/>
      <c r="B873" s="10"/>
      <c r="C873" s="10"/>
      <c r="D873" s="10"/>
      <c r="E873" s="10"/>
      <c r="F873" s="10"/>
      <c r="G873" s="10"/>
      <c r="H873" s="10"/>
    </row>
    <row r="874" spans="1:8" ht="14.25" customHeight="1" x14ac:dyDescent="0.35">
      <c r="A874" s="10"/>
      <c r="B874" s="10"/>
      <c r="C874" s="10"/>
      <c r="D874" s="10"/>
      <c r="E874" s="10"/>
      <c r="F874" s="10"/>
      <c r="G874" s="10"/>
      <c r="H874" s="10"/>
    </row>
    <row r="875" spans="1:8" ht="14.25" customHeight="1" x14ac:dyDescent="0.35">
      <c r="A875" s="10"/>
      <c r="B875" s="10"/>
      <c r="C875" s="10"/>
      <c r="D875" s="10"/>
      <c r="E875" s="10"/>
      <c r="F875" s="10"/>
      <c r="G875" s="10"/>
      <c r="H875" s="10"/>
    </row>
    <row r="876" spans="1:8" ht="14.25" customHeight="1" x14ac:dyDescent="0.35">
      <c r="A876" s="10"/>
      <c r="B876" s="10"/>
      <c r="C876" s="10"/>
      <c r="D876" s="10"/>
      <c r="E876" s="10"/>
      <c r="F876" s="10"/>
      <c r="G876" s="10"/>
      <c r="H876" s="10"/>
    </row>
    <row r="877" spans="1:8" ht="14.25" customHeight="1" x14ac:dyDescent="0.35">
      <c r="A877" s="10"/>
      <c r="B877" s="10"/>
      <c r="C877" s="10"/>
      <c r="D877" s="10"/>
      <c r="E877" s="10"/>
      <c r="F877" s="10"/>
      <c r="G877" s="10"/>
      <c r="H877" s="10"/>
    </row>
    <row r="878" spans="1:8" ht="14.25" customHeight="1" x14ac:dyDescent="0.35">
      <c r="A878" s="10"/>
      <c r="B878" s="10"/>
      <c r="C878" s="10"/>
      <c r="D878" s="10"/>
      <c r="E878" s="10"/>
      <c r="F878" s="10"/>
      <c r="G878" s="10"/>
      <c r="H878" s="10"/>
    </row>
    <row r="879" spans="1:8" ht="14.25" customHeight="1" x14ac:dyDescent="0.35">
      <c r="A879" s="10"/>
      <c r="B879" s="10"/>
      <c r="C879" s="10"/>
      <c r="D879" s="10"/>
      <c r="E879" s="10"/>
      <c r="F879" s="10"/>
      <c r="G879" s="10"/>
      <c r="H879" s="10"/>
    </row>
    <row r="880" spans="1:8" ht="14.25" customHeight="1" x14ac:dyDescent="0.35">
      <c r="A880" s="10"/>
      <c r="B880" s="10"/>
      <c r="C880" s="10"/>
      <c r="D880" s="10"/>
      <c r="E880" s="10"/>
      <c r="F880" s="10"/>
      <c r="G880" s="10"/>
      <c r="H880" s="10"/>
    </row>
    <row r="881" spans="1:8" ht="14.25" customHeight="1" x14ac:dyDescent="0.35">
      <c r="A881" s="10"/>
      <c r="B881" s="10"/>
      <c r="C881" s="10"/>
      <c r="D881" s="10"/>
      <c r="E881" s="10"/>
      <c r="F881" s="10"/>
      <c r="G881" s="10"/>
      <c r="H881" s="10"/>
    </row>
    <row r="882" spans="1:8" ht="14.25" customHeight="1" x14ac:dyDescent="0.35">
      <c r="A882" s="10"/>
      <c r="B882" s="10"/>
      <c r="C882" s="10"/>
      <c r="D882" s="10"/>
      <c r="E882" s="10"/>
      <c r="F882" s="10"/>
      <c r="G882" s="10"/>
      <c r="H882" s="10"/>
    </row>
    <row r="883" spans="1:8" ht="14.25" customHeight="1" x14ac:dyDescent="0.35">
      <c r="A883" s="10"/>
      <c r="B883" s="10"/>
      <c r="C883" s="10"/>
      <c r="D883" s="10"/>
      <c r="E883" s="10"/>
      <c r="F883" s="10"/>
      <c r="G883" s="10"/>
      <c r="H883" s="10"/>
    </row>
    <row r="884" spans="1:8" ht="14.25" customHeight="1" x14ac:dyDescent="0.35">
      <c r="A884" s="10"/>
      <c r="B884" s="10"/>
      <c r="C884" s="10"/>
      <c r="D884" s="10"/>
      <c r="E884" s="10"/>
      <c r="F884" s="10"/>
      <c r="G884" s="10"/>
      <c r="H884" s="10"/>
    </row>
    <row r="885" spans="1:8" ht="14.25" customHeight="1" x14ac:dyDescent="0.35">
      <c r="A885" s="10"/>
      <c r="B885" s="10"/>
      <c r="C885" s="10"/>
      <c r="D885" s="10"/>
      <c r="E885" s="10"/>
      <c r="F885" s="10"/>
      <c r="G885" s="10"/>
      <c r="H885" s="10"/>
    </row>
    <row r="886" spans="1:8" ht="14.25" customHeight="1" x14ac:dyDescent="0.35">
      <c r="A886" s="10"/>
      <c r="B886" s="10"/>
      <c r="C886" s="10"/>
      <c r="D886" s="10"/>
      <c r="E886" s="10"/>
      <c r="F886" s="10"/>
      <c r="G886" s="10"/>
      <c r="H886" s="10"/>
    </row>
    <row r="887" spans="1:8" ht="14.25" customHeight="1" x14ac:dyDescent="0.35">
      <c r="A887" s="10"/>
      <c r="B887" s="10"/>
      <c r="C887" s="10"/>
      <c r="D887" s="10"/>
      <c r="E887" s="10"/>
      <c r="F887" s="10"/>
      <c r="G887" s="10"/>
      <c r="H887" s="10"/>
    </row>
    <row r="888" spans="1:8" ht="14.25" customHeight="1" x14ac:dyDescent="0.35">
      <c r="A888" s="10"/>
      <c r="B888" s="10"/>
      <c r="C888" s="10"/>
      <c r="D888" s="10"/>
      <c r="E888" s="10"/>
      <c r="F888" s="10"/>
      <c r="G888" s="10"/>
      <c r="H888" s="10"/>
    </row>
    <row r="889" spans="1:8" ht="14.25" customHeight="1" x14ac:dyDescent="0.35">
      <c r="A889" s="10"/>
      <c r="B889" s="10"/>
      <c r="C889" s="10"/>
      <c r="D889" s="10"/>
      <c r="E889" s="10"/>
      <c r="F889" s="10"/>
      <c r="G889" s="10"/>
      <c r="H889" s="10"/>
    </row>
    <row r="890" spans="1:8" ht="14.25" customHeight="1" x14ac:dyDescent="0.35">
      <c r="A890" s="10"/>
      <c r="B890" s="10"/>
      <c r="C890" s="10"/>
      <c r="D890" s="10"/>
      <c r="E890" s="10"/>
      <c r="F890" s="10"/>
      <c r="G890" s="10"/>
      <c r="H890" s="10"/>
    </row>
    <row r="891" spans="1:8" ht="14.25" customHeight="1" x14ac:dyDescent="0.35">
      <c r="A891" s="10"/>
      <c r="B891" s="10"/>
      <c r="C891" s="10"/>
      <c r="D891" s="10"/>
      <c r="E891" s="10"/>
      <c r="F891" s="10"/>
      <c r="G891" s="10"/>
      <c r="H891" s="10"/>
    </row>
    <row r="892" spans="1:8" ht="14.25" customHeight="1" x14ac:dyDescent="0.35">
      <c r="A892" s="10"/>
      <c r="B892" s="10"/>
      <c r="C892" s="10"/>
      <c r="D892" s="10"/>
      <c r="E892" s="10"/>
      <c r="F892" s="10"/>
      <c r="G892" s="10"/>
      <c r="H892" s="10"/>
    </row>
    <row r="893" spans="1:8" ht="14.25" customHeight="1" x14ac:dyDescent="0.35">
      <c r="A893" s="10"/>
      <c r="B893" s="10"/>
      <c r="C893" s="10"/>
      <c r="D893" s="10"/>
      <c r="E893" s="10"/>
      <c r="F893" s="10"/>
      <c r="G893" s="10"/>
      <c r="H893" s="10"/>
    </row>
    <row r="894" spans="1:8" ht="14.25" customHeight="1" x14ac:dyDescent="0.35">
      <c r="A894" s="10"/>
      <c r="B894" s="10"/>
      <c r="C894" s="10"/>
      <c r="D894" s="10"/>
      <c r="E894" s="10"/>
      <c r="F894" s="10"/>
      <c r="G894" s="10"/>
      <c r="H894" s="10"/>
    </row>
    <row r="895" spans="1:8" ht="14.25" customHeight="1" x14ac:dyDescent="0.35">
      <c r="A895" s="10"/>
      <c r="B895" s="10"/>
      <c r="C895" s="10"/>
      <c r="D895" s="10"/>
      <c r="E895" s="10"/>
      <c r="F895" s="10"/>
      <c r="G895" s="10"/>
      <c r="H895" s="10"/>
    </row>
    <row r="896" spans="1:8" ht="14.25" customHeight="1" x14ac:dyDescent="0.35">
      <c r="A896" s="10"/>
      <c r="B896" s="10"/>
      <c r="C896" s="10"/>
      <c r="D896" s="10"/>
      <c r="E896" s="10"/>
      <c r="F896" s="10"/>
      <c r="G896" s="10"/>
      <c r="H896" s="10"/>
    </row>
    <row r="897" spans="1:8" ht="14.25" customHeight="1" x14ac:dyDescent="0.35">
      <c r="A897" s="10"/>
      <c r="B897" s="10"/>
      <c r="C897" s="10"/>
      <c r="D897" s="10"/>
      <c r="E897" s="10"/>
      <c r="F897" s="10"/>
      <c r="G897" s="10"/>
      <c r="H897" s="10"/>
    </row>
    <row r="898" spans="1:8" ht="14.25" customHeight="1" x14ac:dyDescent="0.35">
      <c r="A898" s="10"/>
      <c r="B898" s="10"/>
      <c r="C898" s="10"/>
      <c r="D898" s="10"/>
      <c r="E898" s="10"/>
      <c r="F898" s="10"/>
      <c r="G898" s="10"/>
      <c r="H898" s="10"/>
    </row>
    <row r="899" spans="1:8" ht="14.25" customHeight="1" x14ac:dyDescent="0.35">
      <c r="A899" s="10"/>
      <c r="B899" s="10"/>
      <c r="C899" s="10"/>
      <c r="D899" s="10"/>
      <c r="E899" s="10"/>
      <c r="F899" s="10"/>
      <c r="G899" s="10"/>
      <c r="H899" s="10"/>
    </row>
    <row r="900" spans="1:8" ht="14.25" customHeight="1" x14ac:dyDescent="0.35">
      <c r="A900" s="10"/>
      <c r="B900" s="10"/>
      <c r="C900" s="10"/>
      <c r="D900" s="10"/>
      <c r="E900" s="10"/>
      <c r="F900" s="10"/>
      <c r="G900" s="10"/>
      <c r="H900" s="10"/>
    </row>
    <row r="901" spans="1:8" ht="14.25" customHeight="1" x14ac:dyDescent="0.35">
      <c r="A901" s="10"/>
      <c r="B901" s="10"/>
      <c r="C901" s="10"/>
      <c r="D901" s="10"/>
      <c r="E901" s="10"/>
      <c r="F901" s="10"/>
      <c r="G901" s="10"/>
      <c r="H901" s="10"/>
    </row>
    <row r="902" spans="1:8" ht="14.25" customHeight="1" x14ac:dyDescent="0.35">
      <c r="A902" s="10"/>
      <c r="B902" s="10"/>
      <c r="C902" s="10"/>
      <c r="D902" s="10"/>
      <c r="E902" s="10"/>
      <c r="F902" s="10"/>
      <c r="G902" s="10"/>
      <c r="H902" s="10"/>
    </row>
    <row r="903" spans="1:8" ht="14.25" customHeight="1" x14ac:dyDescent="0.35">
      <c r="A903" s="10"/>
      <c r="B903" s="10"/>
      <c r="C903" s="10"/>
      <c r="D903" s="10"/>
      <c r="E903" s="10"/>
      <c r="F903" s="10"/>
      <c r="G903" s="10"/>
      <c r="H903" s="10"/>
    </row>
    <row r="904" spans="1:8" ht="14.25" customHeight="1" x14ac:dyDescent="0.35">
      <c r="A904" s="10"/>
      <c r="B904" s="10"/>
      <c r="C904" s="10"/>
      <c r="D904" s="10"/>
      <c r="E904" s="10"/>
      <c r="F904" s="10"/>
      <c r="G904" s="10"/>
      <c r="H904" s="10"/>
    </row>
    <row r="905" spans="1:8" ht="14.25" customHeight="1" x14ac:dyDescent="0.35">
      <c r="A905" s="10"/>
      <c r="B905" s="10"/>
      <c r="C905" s="10"/>
      <c r="D905" s="10"/>
      <c r="E905" s="10"/>
      <c r="F905" s="10"/>
      <c r="G905" s="10"/>
      <c r="H905" s="10"/>
    </row>
    <row r="906" spans="1:8" ht="14.25" customHeight="1" x14ac:dyDescent="0.35">
      <c r="A906" s="10"/>
      <c r="B906" s="10"/>
      <c r="C906" s="10"/>
      <c r="D906" s="10"/>
      <c r="E906" s="10"/>
      <c r="F906" s="10"/>
      <c r="G906" s="10"/>
      <c r="H906" s="10"/>
    </row>
    <row r="907" spans="1:8" ht="14.25" customHeight="1" x14ac:dyDescent="0.35">
      <c r="A907" s="10"/>
      <c r="B907" s="10"/>
      <c r="C907" s="10"/>
      <c r="D907" s="10"/>
      <c r="E907" s="10"/>
      <c r="F907" s="10"/>
      <c r="G907" s="10"/>
      <c r="H907" s="10"/>
    </row>
    <row r="908" spans="1:8" ht="14.25" customHeight="1" x14ac:dyDescent="0.35">
      <c r="A908" s="10"/>
      <c r="B908" s="10"/>
      <c r="C908" s="10"/>
      <c r="D908" s="10"/>
      <c r="E908" s="10"/>
      <c r="F908" s="10"/>
      <c r="G908" s="10"/>
      <c r="H908" s="10"/>
    </row>
    <row r="909" spans="1:8" ht="14.25" customHeight="1" x14ac:dyDescent="0.35">
      <c r="A909" s="10"/>
      <c r="B909" s="10"/>
      <c r="C909" s="10"/>
      <c r="D909" s="10"/>
      <c r="E909" s="10"/>
      <c r="F909" s="10"/>
      <c r="G909" s="10"/>
      <c r="H909" s="10"/>
    </row>
    <row r="910" spans="1:8" ht="14.25" customHeight="1" x14ac:dyDescent="0.35">
      <c r="A910" s="10"/>
      <c r="B910" s="10"/>
      <c r="C910" s="10"/>
      <c r="D910" s="10"/>
      <c r="E910" s="10"/>
      <c r="F910" s="10"/>
      <c r="G910" s="10"/>
      <c r="H910" s="10"/>
    </row>
    <row r="911" spans="1:8" ht="14.25" customHeight="1" x14ac:dyDescent="0.35">
      <c r="A911" s="10"/>
      <c r="B911" s="10"/>
      <c r="C911" s="10"/>
      <c r="D911" s="10"/>
      <c r="E911" s="10"/>
      <c r="F911" s="10"/>
      <c r="G911" s="10"/>
      <c r="H911" s="10"/>
    </row>
    <row r="912" spans="1:8" ht="14.25" customHeight="1" x14ac:dyDescent="0.35">
      <c r="A912" s="10"/>
      <c r="B912" s="10"/>
      <c r="C912" s="10"/>
      <c r="D912" s="10"/>
      <c r="E912" s="10"/>
      <c r="F912" s="10"/>
      <c r="G912" s="10"/>
      <c r="H912" s="10"/>
    </row>
    <row r="913" spans="1:8" ht="14.25" customHeight="1" x14ac:dyDescent="0.35">
      <c r="A913" s="10"/>
      <c r="B913" s="10"/>
      <c r="C913" s="10"/>
      <c r="D913" s="10"/>
      <c r="E913" s="10"/>
      <c r="F913" s="10"/>
      <c r="G913" s="10"/>
      <c r="H913" s="10"/>
    </row>
    <row r="914" spans="1:8" ht="14.25" customHeight="1" x14ac:dyDescent="0.35">
      <c r="A914" s="10"/>
      <c r="B914" s="10"/>
      <c r="C914" s="10"/>
      <c r="D914" s="10"/>
      <c r="E914" s="10"/>
      <c r="F914" s="10"/>
      <c r="G914" s="10"/>
      <c r="H914" s="10"/>
    </row>
    <row r="915" spans="1:8" ht="14.25" customHeight="1" x14ac:dyDescent="0.35">
      <c r="A915" s="10"/>
      <c r="B915" s="10"/>
      <c r="C915" s="10"/>
      <c r="D915" s="10"/>
      <c r="E915" s="10"/>
      <c r="F915" s="10"/>
      <c r="G915" s="10"/>
      <c r="H915" s="10"/>
    </row>
    <row r="916" spans="1:8" ht="14.25" customHeight="1" x14ac:dyDescent="0.35">
      <c r="A916" s="10"/>
      <c r="B916" s="10"/>
      <c r="C916" s="10"/>
      <c r="D916" s="10"/>
      <c r="E916" s="10"/>
      <c r="F916" s="10"/>
      <c r="G916" s="10"/>
      <c r="H916" s="10"/>
    </row>
    <row r="917" spans="1:8" ht="14.25" customHeight="1" x14ac:dyDescent="0.35">
      <c r="A917" s="10"/>
      <c r="B917" s="10"/>
      <c r="C917" s="10"/>
      <c r="D917" s="10"/>
      <c r="E917" s="10"/>
      <c r="F917" s="10"/>
      <c r="G917" s="10"/>
      <c r="H917" s="10"/>
    </row>
    <row r="918" spans="1:8" ht="14.25" customHeight="1" x14ac:dyDescent="0.35">
      <c r="A918" s="10"/>
      <c r="B918" s="10"/>
      <c r="C918" s="10"/>
      <c r="D918" s="10"/>
      <c r="E918" s="10"/>
      <c r="F918" s="10"/>
      <c r="G918" s="10"/>
      <c r="H918" s="10"/>
    </row>
    <row r="919" spans="1:8" ht="14.25" customHeight="1" x14ac:dyDescent="0.35">
      <c r="A919" s="10"/>
      <c r="B919" s="10"/>
      <c r="C919" s="10"/>
      <c r="D919" s="10"/>
      <c r="E919" s="10"/>
      <c r="F919" s="10"/>
      <c r="G919" s="10"/>
      <c r="H919" s="10"/>
    </row>
    <row r="920" spans="1:8" ht="14.25" customHeight="1" x14ac:dyDescent="0.35">
      <c r="A920" s="10"/>
      <c r="B920" s="10"/>
      <c r="C920" s="10"/>
      <c r="D920" s="10"/>
      <c r="E920" s="10"/>
      <c r="F920" s="10"/>
      <c r="G920" s="10"/>
      <c r="H920" s="10"/>
    </row>
    <row r="921" spans="1:8" ht="14.25" customHeight="1" x14ac:dyDescent="0.35">
      <c r="A921" s="10"/>
      <c r="B921" s="10"/>
      <c r="C921" s="10"/>
      <c r="D921" s="10"/>
      <c r="E921" s="10"/>
      <c r="F921" s="10"/>
      <c r="G921" s="10"/>
      <c r="H921" s="10"/>
    </row>
    <row r="922" spans="1:8" ht="14.25" customHeight="1" x14ac:dyDescent="0.35">
      <c r="A922" s="10"/>
      <c r="B922" s="10"/>
      <c r="C922" s="10"/>
      <c r="D922" s="10"/>
      <c r="E922" s="10"/>
      <c r="F922" s="10"/>
      <c r="G922" s="10"/>
      <c r="H922" s="10"/>
    </row>
    <row r="923" spans="1:8" ht="14.25" customHeight="1" x14ac:dyDescent="0.35">
      <c r="A923" s="10"/>
      <c r="B923" s="10"/>
      <c r="C923" s="10"/>
      <c r="D923" s="10"/>
      <c r="E923" s="10"/>
      <c r="F923" s="10"/>
      <c r="G923" s="10"/>
      <c r="H923" s="10"/>
    </row>
    <row r="924" spans="1:8" ht="14.25" customHeight="1" x14ac:dyDescent="0.35">
      <c r="A924" s="10"/>
      <c r="B924" s="10"/>
      <c r="C924" s="10"/>
      <c r="D924" s="10"/>
      <c r="E924" s="10"/>
      <c r="F924" s="10"/>
      <c r="G924" s="10"/>
      <c r="H924" s="10"/>
    </row>
    <row r="925" spans="1:8" ht="14.25" customHeight="1" x14ac:dyDescent="0.35">
      <c r="A925" s="10"/>
      <c r="B925" s="10"/>
      <c r="C925" s="10"/>
      <c r="D925" s="10"/>
      <c r="E925" s="10"/>
      <c r="F925" s="10"/>
      <c r="G925" s="10"/>
      <c r="H925" s="10"/>
    </row>
    <row r="926" spans="1:8" ht="14.25" customHeight="1" x14ac:dyDescent="0.35">
      <c r="A926" s="10"/>
      <c r="B926" s="10"/>
      <c r="C926" s="10"/>
      <c r="D926" s="10"/>
      <c r="E926" s="10"/>
      <c r="F926" s="10"/>
      <c r="G926" s="10"/>
      <c r="H926" s="10"/>
    </row>
    <row r="927" spans="1:8" ht="14.25" customHeight="1" x14ac:dyDescent="0.35">
      <c r="A927" s="10"/>
      <c r="B927" s="10"/>
      <c r="C927" s="10"/>
      <c r="D927" s="10"/>
      <c r="E927" s="10"/>
      <c r="F927" s="10"/>
      <c r="G927" s="10"/>
      <c r="H927" s="10"/>
    </row>
    <row r="928" spans="1:8" ht="14.25" customHeight="1" x14ac:dyDescent="0.35">
      <c r="A928" s="10"/>
      <c r="B928" s="10"/>
      <c r="C928" s="10"/>
      <c r="D928" s="10"/>
      <c r="E928" s="10"/>
      <c r="F928" s="10"/>
      <c r="G928" s="10"/>
      <c r="H928" s="10"/>
    </row>
    <row r="929" spans="1:8" ht="14.25" customHeight="1" x14ac:dyDescent="0.35">
      <c r="A929" s="10"/>
      <c r="B929" s="10"/>
      <c r="C929" s="10"/>
      <c r="D929" s="10"/>
      <c r="E929" s="10"/>
      <c r="F929" s="10"/>
      <c r="G929" s="10"/>
      <c r="H929" s="10"/>
    </row>
    <row r="930" spans="1:8" ht="14.25" customHeight="1" x14ac:dyDescent="0.35">
      <c r="A930" s="10"/>
      <c r="B930" s="10"/>
      <c r="C930" s="10"/>
      <c r="D930" s="10"/>
      <c r="E930" s="10"/>
      <c r="F930" s="10"/>
      <c r="G930" s="10"/>
      <c r="H930" s="10"/>
    </row>
    <row r="931" spans="1:8" ht="14.25" customHeight="1" x14ac:dyDescent="0.35">
      <c r="A931" s="10"/>
      <c r="B931" s="10"/>
      <c r="C931" s="10"/>
      <c r="D931" s="10"/>
      <c r="E931" s="10"/>
      <c r="F931" s="10"/>
      <c r="G931" s="10"/>
      <c r="H931" s="10"/>
    </row>
    <row r="932" spans="1:8" ht="14.25" customHeight="1" x14ac:dyDescent="0.35">
      <c r="A932" s="10"/>
      <c r="B932" s="10"/>
      <c r="C932" s="10"/>
      <c r="D932" s="10"/>
      <c r="E932" s="10"/>
      <c r="F932" s="10"/>
      <c r="G932" s="10"/>
      <c r="H932" s="10"/>
    </row>
    <row r="933" spans="1:8" ht="14.25" customHeight="1" x14ac:dyDescent="0.35">
      <c r="A933" s="10"/>
      <c r="B933" s="10"/>
      <c r="C933" s="10"/>
      <c r="D933" s="10"/>
      <c r="E933" s="10"/>
      <c r="F933" s="10"/>
      <c r="G933" s="10"/>
      <c r="H933" s="10"/>
    </row>
    <row r="934" spans="1:8" ht="14.25" customHeight="1" x14ac:dyDescent="0.35">
      <c r="A934" s="10"/>
      <c r="B934" s="10"/>
      <c r="C934" s="10"/>
      <c r="D934" s="10"/>
      <c r="E934" s="10"/>
      <c r="F934" s="10"/>
      <c r="G934" s="10"/>
      <c r="H934" s="10"/>
    </row>
    <row r="935" spans="1:8" ht="14.25" customHeight="1" x14ac:dyDescent="0.35">
      <c r="A935" s="10"/>
      <c r="B935" s="10"/>
      <c r="C935" s="10"/>
      <c r="D935" s="10"/>
      <c r="E935" s="10"/>
      <c r="F935" s="10"/>
      <c r="G935" s="10"/>
      <c r="H935" s="10"/>
    </row>
    <row r="936" spans="1:8" ht="14.25" customHeight="1" x14ac:dyDescent="0.35">
      <c r="A936" s="10"/>
      <c r="B936" s="10"/>
      <c r="C936" s="10"/>
      <c r="D936" s="10"/>
      <c r="E936" s="10"/>
      <c r="F936" s="10"/>
      <c r="G936" s="10"/>
      <c r="H936" s="10"/>
    </row>
    <row r="937" spans="1:8" ht="14.25" customHeight="1" x14ac:dyDescent="0.35">
      <c r="A937" s="10"/>
      <c r="B937" s="10"/>
      <c r="C937" s="10"/>
      <c r="D937" s="10"/>
      <c r="E937" s="10"/>
      <c r="F937" s="10"/>
      <c r="G937" s="10"/>
      <c r="H937" s="10"/>
    </row>
    <row r="938" spans="1:8" ht="14.25" customHeight="1" x14ac:dyDescent="0.35">
      <c r="A938" s="10"/>
      <c r="B938" s="10"/>
      <c r="C938" s="10"/>
      <c r="D938" s="10"/>
      <c r="E938" s="10"/>
      <c r="F938" s="10"/>
      <c r="G938" s="10"/>
      <c r="H938" s="10"/>
    </row>
    <row r="939" spans="1:8" ht="14.25" customHeight="1" x14ac:dyDescent="0.35">
      <c r="A939" s="10"/>
      <c r="B939" s="10"/>
      <c r="C939" s="10"/>
      <c r="D939" s="10"/>
      <c r="E939" s="10"/>
      <c r="F939" s="10"/>
      <c r="G939" s="10"/>
      <c r="H939" s="10"/>
    </row>
    <row r="940" spans="1:8" ht="14.25" customHeight="1" x14ac:dyDescent="0.35">
      <c r="A940" s="10"/>
      <c r="B940" s="10"/>
      <c r="C940" s="10"/>
      <c r="D940" s="10"/>
      <c r="E940" s="10"/>
      <c r="F940" s="10"/>
      <c r="G940" s="10"/>
      <c r="H940" s="10"/>
    </row>
    <row r="941" spans="1:8" ht="14.25" customHeight="1" x14ac:dyDescent="0.35">
      <c r="A941" s="10"/>
      <c r="B941" s="10"/>
      <c r="C941" s="10"/>
      <c r="D941" s="10"/>
      <c r="E941" s="10"/>
      <c r="F941" s="10"/>
      <c r="G941" s="10"/>
      <c r="H941" s="10"/>
    </row>
    <row r="942" spans="1:8" ht="14.25" customHeight="1" x14ac:dyDescent="0.35">
      <c r="A942" s="10"/>
      <c r="B942" s="10"/>
      <c r="C942" s="10"/>
      <c r="D942" s="10"/>
      <c r="E942" s="10"/>
      <c r="F942" s="10"/>
      <c r="G942" s="10"/>
      <c r="H942" s="10"/>
    </row>
    <row r="943" spans="1:8" ht="14.25" customHeight="1" x14ac:dyDescent="0.35">
      <c r="A943" s="10"/>
      <c r="B943" s="10"/>
      <c r="C943" s="10"/>
      <c r="D943" s="10"/>
      <c r="E943" s="10"/>
      <c r="F943" s="10"/>
      <c r="G943" s="10"/>
      <c r="H943" s="10"/>
    </row>
    <row r="944" spans="1:8" ht="14.25" customHeight="1" x14ac:dyDescent="0.35">
      <c r="A944" s="10"/>
      <c r="B944" s="10"/>
      <c r="C944" s="10"/>
      <c r="D944" s="10"/>
      <c r="E944" s="10"/>
      <c r="F944" s="10"/>
      <c r="G944" s="10"/>
      <c r="H944" s="10"/>
    </row>
    <row r="945" spans="1:8" ht="14.25" customHeight="1" x14ac:dyDescent="0.35">
      <c r="A945" s="10"/>
      <c r="B945" s="10"/>
      <c r="C945" s="10"/>
      <c r="D945" s="10"/>
      <c r="E945" s="10"/>
      <c r="F945" s="10"/>
      <c r="G945" s="10"/>
      <c r="H945" s="10"/>
    </row>
    <row r="946" spans="1:8" ht="14.25" customHeight="1" x14ac:dyDescent="0.35">
      <c r="A946" s="10"/>
      <c r="B946" s="10"/>
      <c r="C946" s="10"/>
      <c r="D946" s="10"/>
      <c r="E946" s="10"/>
      <c r="F946" s="10"/>
      <c r="G946" s="10"/>
      <c r="H946" s="10"/>
    </row>
    <row r="947" spans="1:8" ht="14.25" customHeight="1" x14ac:dyDescent="0.35">
      <c r="A947" s="10"/>
      <c r="B947" s="10"/>
      <c r="C947" s="10"/>
      <c r="D947" s="10"/>
      <c r="E947" s="10"/>
      <c r="F947" s="10"/>
      <c r="G947" s="10"/>
      <c r="H947" s="10"/>
    </row>
    <row r="948" spans="1:8" ht="14.25" customHeight="1" x14ac:dyDescent="0.35">
      <c r="A948" s="10"/>
      <c r="B948" s="10"/>
      <c r="C948" s="10"/>
      <c r="D948" s="10"/>
      <c r="E948" s="10"/>
      <c r="F948" s="10"/>
      <c r="G948" s="10"/>
      <c r="H948" s="10"/>
    </row>
    <row r="949" spans="1:8" ht="14.25" customHeight="1" x14ac:dyDescent="0.35">
      <c r="A949" s="10"/>
      <c r="B949" s="10"/>
      <c r="C949" s="10"/>
      <c r="D949" s="10"/>
      <c r="E949" s="10"/>
      <c r="F949" s="10"/>
      <c r="G949" s="10"/>
      <c r="H949" s="10"/>
    </row>
    <row r="950" spans="1:8" ht="14.25" customHeight="1" x14ac:dyDescent="0.35">
      <c r="A950" s="10"/>
      <c r="B950" s="10"/>
      <c r="C950" s="10"/>
      <c r="D950" s="10"/>
      <c r="E950" s="10"/>
      <c r="F950" s="10"/>
      <c r="G950" s="10"/>
      <c r="H950" s="10"/>
    </row>
    <row r="951" spans="1:8" ht="14.25" customHeight="1" x14ac:dyDescent="0.35">
      <c r="A951" s="10"/>
      <c r="B951" s="10"/>
      <c r="C951" s="10"/>
      <c r="D951" s="10"/>
      <c r="E951" s="10"/>
      <c r="F951" s="10"/>
      <c r="G951" s="10"/>
      <c r="H951" s="10"/>
    </row>
    <row r="952" spans="1:8" ht="14.25" customHeight="1" x14ac:dyDescent="0.35">
      <c r="A952" s="10"/>
      <c r="B952" s="10"/>
      <c r="C952" s="10"/>
      <c r="D952" s="10"/>
      <c r="E952" s="10"/>
      <c r="F952" s="10"/>
      <c r="G952" s="10"/>
      <c r="H952" s="10"/>
    </row>
    <row r="953" spans="1:8" ht="14.25" customHeight="1" x14ac:dyDescent="0.35">
      <c r="A953" s="10"/>
      <c r="B953" s="10"/>
      <c r="C953" s="10"/>
      <c r="D953" s="10"/>
      <c r="E953" s="10"/>
      <c r="F953" s="10"/>
      <c r="G953" s="10"/>
      <c r="H953" s="10"/>
    </row>
    <row r="954" spans="1:8" ht="14.25" customHeight="1" x14ac:dyDescent="0.35">
      <c r="A954" s="10"/>
      <c r="B954" s="10"/>
      <c r="C954" s="10"/>
      <c r="D954" s="10"/>
      <c r="E954" s="10"/>
      <c r="F954" s="10"/>
      <c r="G954" s="10"/>
      <c r="H954" s="10"/>
    </row>
    <row r="955" spans="1:8" ht="14.25" customHeight="1" x14ac:dyDescent="0.35">
      <c r="A955" s="10"/>
      <c r="B955" s="10"/>
      <c r="C955" s="10"/>
      <c r="D955" s="10"/>
      <c r="E955" s="10"/>
      <c r="F955" s="10"/>
      <c r="G955" s="10"/>
      <c r="H955" s="10"/>
    </row>
    <row r="956" spans="1:8" ht="14.25" customHeight="1" x14ac:dyDescent="0.35">
      <c r="A956" s="10"/>
      <c r="B956" s="10"/>
      <c r="C956" s="10"/>
      <c r="D956" s="10"/>
      <c r="E956" s="10"/>
      <c r="F956" s="10"/>
      <c r="G956" s="10"/>
      <c r="H956" s="10"/>
    </row>
    <row r="957" spans="1:8" ht="14.25" customHeight="1" x14ac:dyDescent="0.35">
      <c r="A957" s="10"/>
      <c r="B957" s="10"/>
      <c r="C957" s="10"/>
      <c r="D957" s="10"/>
      <c r="E957" s="10"/>
      <c r="F957" s="10"/>
      <c r="G957" s="10"/>
      <c r="H957" s="10"/>
    </row>
    <row r="958" spans="1:8" ht="14.25" customHeight="1" x14ac:dyDescent="0.35">
      <c r="A958" s="10"/>
      <c r="B958" s="10"/>
      <c r="C958" s="10"/>
      <c r="D958" s="10"/>
      <c r="E958" s="10"/>
      <c r="F958" s="10"/>
      <c r="G958" s="10"/>
      <c r="H958" s="10"/>
    </row>
    <row r="959" spans="1:8" ht="14.25" customHeight="1" x14ac:dyDescent="0.35">
      <c r="A959" s="10"/>
      <c r="B959" s="10"/>
      <c r="C959" s="10"/>
      <c r="D959" s="10"/>
      <c r="E959" s="10"/>
      <c r="F959" s="10"/>
      <c r="G959" s="10"/>
      <c r="H959" s="10"/>
    </row>
    <row r="960" spans="1:8" ht="14.25" customHeight="1" x14ac:dyDescent="0.35">
      <c r="A960" s="10"/>
      <c r="B960" s="10"/>
      <c r="C960" s="10"/>
      <c r="D960" s="10"/>
      <c r="E960" s="10"/>
      <c r="F960" s="10"/>
      <c r="G960" s="10"/>
      <c r="H960" s="10"/>
    </row>
    <row r="961" spans="1:8" ht="14.25" customHeight="1" x14ac:dyDescent="0.35">
      <c r="A961" s="10"/>
      <c r="B961" s="10"/>
      <c r="C961" s="10"/>
      <c r="D961" s="10"/>
      <c r="E961" s="10"/>
      <c r="F961" s="10"/>
      <c r="G961" s="10"/>
      <c r="H961" s="10"/>
    </row>
    <row r="962" spans="1:8" ht="14.25" customHeight="1" x14ac:dyDescent="0.35">
      <c r="A962" s="10"/>
      <c r="B962" s="10"/>
      <c r="C962" s="10"/>
      <c r="D962" s="10"/>
      <c r="E962" s="10"/>
      <c r="F962" s="10"/>
      <c r="G962" s="10"/>
      <c r="H962" s="10"/>
    </row>
    <row r="963" spans="1:8" ht="14.25" customHeight="1" x14ac:dyDescent="0.35">
      <c r="A963" s="10"/>
      <c r="B963" s="10"/>
      <c r="C963" s="10"/>
      <c r="D963" s="10"/>
      <c r="E963" s="10"/>
      <c r="F963" s="10"/>
      <c r="G963" s="10"/>
      <c r="H963" s="10"/>
    </row>
    <row r="964" spans="1:8" ht="14.25" customHeight="1" x14ac:dyDescent="0.35">
      <c r="A964" s="10"/>
      <c r="B964" s="10"/>
      <c r="C964" s="10"/>
      <c r="D964" s="10"/>
      <c r="E964" s="10"/>
      <c r="F964" s="10"/>
      <c r="G964" s="10"/>
      <c r="H964" s="10"/>
    </row>
    <row r="965" spans="1:8" ht="14.25" customHeight="1" x14ac:dyDescent="0.35">
      <c r="A965" s="10"/>
      <c r="B965" s="10"/>
      <c r="C965" s="10"/>
      <c r="D965" s="10"/>
      <c r="E965" s="10"/>
      <c r="F965" s="10"/>
      <c r="G965" s="10"/>
      <c r="H965" s="10"/>
    </row>
    <row r="966" spans="1:8" ht="14.25" customHeight="1" x14ac:dyDescent="0.35">
      <c r="A966" s="10"/>
      <c r="B966" s="10"/>
      <c r="C966" s="10"/>
      <c r="D966" s="10"/>
      <c r="E966" s="10"/>
      <c r="F966" s="10"/>
      <c r="G966" s="10"/>
      <c r="H966" s="10"/>
    </row>
    <row r="967" spans="1:8" ht="14.25" customHeight="1" x14ac:dyDescent="0.35">
      <c r="A967" s="10"/>
      <c r="B967" s="10"/>
      <c r="C967" s="10"/>
      <c r="D967" s="10"/>
      <c r="E967" s="10"/>
      <c r="F967" s="10"/>
      <c r="G967" s="10"/>
      <c r="H967" s="10"/>
    </row>
    <row r="968" spans="1:8" ht="14.25" customHeight="1" x14ac:dyDescent="0.35">
      <c r="A968" s="10"/>
      <c r="B968" s="10"/>
      <c r="C968" s="10"/>
      <c r="D968" s="10"/>
      <c r="E968" s="10"/>
      <c r="F968" s="10"/>
      <c r="G968" s="10"/>
      <c r="H968" s="10"/>
    </row>
    <row r="969" spans="1:8" ht="14.25" customHeight="1" x14ac:dyDescent="0.35">
      <c r="A969" s="10"/>
      <c r="B969" s="10"/>
      <c r="C969" s="10"/>
      <c r="D969" s="10"/>
      <c r="E969" s="10"/>
      <c r="F969" s="10"/>
      <c r="G969" s="10"/>
      <c r="H969" s="10"/>
    </row>
    <row r="970" spans="1:8" ht="14.25" customHeight="1" x14ac:dyDescent="0.35">
      <c r="A970" s="10"/>
      <c r="B970" s="10"/>
      <c r="C970" s="10"/>
      <c r="D970" s="10"/>
      <c r="E970" s="10"/>
      <c r="F970" s="10"/>
      <c r="G970" s="10"/>
      <c r="H970" s="10"/>
    </row>
    <row r="971" spans="1:8" ht="14.25" customHeight="1" x14ac:dyDescent="0.35">
      <c r="A971" s="10"/>
      <c r="B971" s="10"/>
      <c r="C971" s="10"/>
      <c r="D971" s="10"/>
      <c r="E971" s="10"/>
      <c r="F971" s="10"/>
      <c r="G971" s="10"/>
      <c r="H971" s="10"/>
    </row>
    <row r="972" spans="1:8" ht="14.25" customHeight="1" x14ac:dyDescent="0.35">
      <c r="A972" s="10"/>
      <c r="B972" s="10"/>
      <c r="C972" s="10"/>
      <c r="D972" s="10"/>
      <c r="E972" s="10"/>
      <c r="F972" s="10"/>
      <c r="G972" s="10"/>
      <c r="H972" s="10"/>
    </row>
    <row r="973" spans="1:8" ht="14.25" customHeight="1" x14ac:dyDescent="0.35">
      <c r="A973" s="10"/>
      <c r="B973" s="10"/>
      <c r="C973" s="10"/>
      <c r="D973" s="10"/>
      <c r="E973" s="10"/>
      <c r="F973" s="10"/>
      <c r="G973" s="10"/>
      <c r="H973" s="10"/>
    </row>
    <row r="974" spans="1:8" ht="14.25" customHeight="1" x14ac:dyDescent="0.35">
      <c r="A974" s="10"/>
      <c r="B974" s="10"/>
      <c r="C974" s="10"/>
      <c r="D974" s="10"/>
      <c r="E974" s="10"/>
      <c r="F974" s="10"/>
      <c r="G974" s="10"/>
      <c r="H974" s="10"/>
    </row>
    <row r="975" spans="1:8" ht="14.25" customHeight="1" x14ac:dyDescent="0.35">
      <c r="A975" s="10"/>
      <c r="B975" s="10"/>
      <c r="C975" s="10"/>
      <c r="D975" s="10"/>
      <c r="E975" s="10"/>
      <c r="F975" s="10"/>
      <c r="G975" s="10"/>
      <c r="H975" s="10"/>
    </row>
    <row r="976" spans="1:8" ht="14.25" customHeight="1" x14ac:dyDescent="0.35">
      <c r="A976" s="10"/>
      <c r="B976" s="10"/>
      <c r="C976" s="10"/>
      <c r="D976" s="10"/>
      <c r="E976" s="10"/>
      <c r="F976" s="10"/>
      <c r="G976" s="10"/>
      <c r="H976" s="10"/>
    </row>
    <row r="977" spans="1:8" ht="14.25" customHeight="1" x14ac:dyDescent="0.35">
      <c r="A977" s="10"/>
      <c r="B977" s="10"/>
      <c r="C977" s="10"/>
      <c r="D977" s="10"/>
      <c r="E977" s="10"/>
      <c r="F977" s="10"/>
      <c r="G977" s="10"/>
      <c r="H977" s="10"/>
    </row>
    <row r="978" spans="1:8" ht="14.25" customHeight="1" x14ac:dyDescent="0.35">
      <c r="A978" s="10"/>
      <c r="B978" s="10"/>
      <c r="C978" s="10"/>
      <c r="D978" s="10"/>
      <c r="E978" s="10"/>
      <c r="F978" s="10"/>
      <c r="G978" s="10"/>
      <c r="H978" s="10"/>
    </row>
    <row r="979" spans="1:8" ht="14.25" customHeight="1" x14ac:dyDescent="0.35">
      <c r="A979" s="10"/>
      <c r="B979" s="10"/>
      <c r="C979" s="10"/>
      <c r="D979" s="10"/>
      <c r="E979" s="10"/>
      <c r="F979" s="10"/>
      <c r="G979" s="10"/>
      <c r="H979" s="10"/>
    </row>
    <row r="980" spans="1:8" ht="14.25" customHeight="1" x14ac:dyDescent="0.35">
      <c r="A980" s="10"/>
      <c r="B980" s="10"/>
      <c r="C980" s="10"/>
      <c r="D980" s="10"/>
      <c r="E980" s="10"/>
      <c r="F980" s="10"/>
      <c r="G980" s="10"/>
      <c r="H980" s="10"/>
    </row>
    <row r="981" spans="1:8" ht="14.25" customHeight="1" x14ac:dyDescent="0.35">
      <c r="A981" s="10"/>
      <c r="B981" s="10"/>
      <c r="C981" s="10"/>
      <c r="D981" s="10"/>
      <c r="E981" s="10"/>
      <c r="F981" s="10"/>
      <c r="G981" s="10"/>
      <c r="H981" s="10"/>
    </row>
    <row r="982" spans="1:8" ht="14.25" customHeight="1" x14ac:dyDescent="0.35">
      <c r="A982" s="10"/>
      <c r="B982" s="10"/>
      <c r="C982" s="10"/>
      <c r="D982" s="10"/>
      <c r="E982" s="10"/>
      <c r="F982" s="10"/>
      <c r="G982" s="10"/>
      <c r="H982" s="10"/>
    </row>
    <row r="983" spans="1:8" ht="14.25" customHeight="1" x14ac:dyDescent="0.35">
      <c r="A983" s="10"/>
      <c r="B983" s="10"/>
      <c r="C983" s="10"/>
      <c r="D983" s="10"/>
      <c r="E983" s="10"/>
      <c r="F983" s="10"/>
      <c r="G983" s="10"/>
      <c r="H983" s="10"/>
    </row>
    <row r="984" spans="1:8" ht="14.25" customHeight="1" x14ac:dyDescent="0.35">
      <c r="A984" s="10"/>
      <c r="B984" s="10"/>
      <c r="C984" s="10"/>
      <c r="D984" s="10"/>
      <c r="E984" s="10"/>
      <c r="F984" s="10"/>
      <c r="G984" s="10"/>
      <c r="H984" s="10"/>
    </row>
    <row r="985" spans="1:8" ht="14.25" customHeight="1" x14ac:dyDescent="0.35">
      <c r="A985" s="10"/>
      <c r="B985" s="10"/>
      <c r="C985" s="10"/>
      <c r="D985" s="10"/>
      <c r="E985" s="10"/>
      <c r="F985" s="10"/>
      <c r="G985" s="10"/>
      <c r="H985" s="10"/>
    </row>
    <row r="986" spans="1:8" ht="14.25" customHeight="1" x14ac:dyDescent="0.35">
      <c r="A986" s="10"/>
      <c r="B986" s="10"/>
      <c r="C986" s="10"/>
      <c r="D986" s="10"/>
      <c r="E986" s="10"/>
      <c r="F986" s="10"/>
      <c r="G986" s="10"/>
      <c r="H986" s="10"/>
    </row>
    <row r="987" spans="1:8" ht="14.25" customHeight="1" x14ac:dyDescent="0.35">
      <c r="A987" s="10"/>
      <c r="B987" s="10"/>
      <c r="C987" s="10"/>
      <c r="D987" s="10"/>
      <c r="E987" s="10"/>
      <c r="F987" s="10"/>
      <c r="G987" s="10"/>
      <c r="H987" s="10"/>
    </row>
    <row r="988" spans="1:8" ht="14.25" customHeight="1" x14ac:dyDescent="0.35">
      <c r="A988" s="10"/>
      <c r="B988" s="10"/>
      <c r="C988" s="10"/>
      <c r="D988" s="10"/>
      <c r="E988" s="10"/>
      <c r="F988" s="10"/>
      <c r="G988" s="10"/>
      <c r="H988" s="10"/>
    </row>
    <row r="989" spans="1:8" ht="14.25" customHeight="1" x14ac:dyDescent="0.35">
      <c r="A989" s="10"/>
      <c r="B989" s="10"/>
      <c r="C989" s="10"/>
      <c r="D989" s="10"/>
      <c r="E989" s="10"/>
      <c r="F989" s="10"/>
      <c r="G989" s="10"/>
      <c r="H989" s="10"/>
    </row>
    <row r="990" spans="1:8" ht="14.25" customHeight="1" x14ac:dyDescent="0.35">
      <c r="A990" s="10"/>
      <c r="B990" s="10"/>
      <c r="C990" s="10"/>
      <c r="D990" s="10"/>
      <c r="E990" s="10"/>
      <c r="F990" s="10"/>
      <c r="G990" s="10"/>
      <c r="H990" s="10"/>
    </row>
    <row r="991" spans="1:8" ht="14.25" customHeight="1" x14ac:dyDescent="0.35">
      <c r="A991" s="10"/>
      <c r="B991" s="10"/>
      <c r="C991" s="10"/>
      <c r="D991" s="10"/>
      <c r="E991" s="10"/>
      <c r="F991" s="10"/>
      <c r="G991" s="10"/>
      <c r="H991" s="10"/>
    </row>
    <row r="992" spans="1:8" ht="14.25" customHeight="1" x14ac:dyDescent="0.35">
      <c r="A992" s="10"/>
      <c r="B992" s="10"/>
      <c r="C992" s="10"/>
      <c r="D992" s="10"/>
      <c r="E992" s="10"/>
      <c r="F992" s="10"/>
      <c r="G992" s="10"/>
      <c r="H992" s="10"/>
    </row>
    <row r="993" spans="1:8" ht="14.25" customHeight="1" x14ac:dyDescent="0.35">
      <c r="A993" s="10"/>
      <c r="B993" s="10"/>
      <c r="C993" s="10"/>
      <c r="D993" s="10"/>
      <c r="E993" s="10"/>
      <c r="F993" s="10"/>
      <c r="G993" s="10"/>
      <c r="H993" s="10"/>
    </row>
    <row r="994" spans="1:8" ht="14.25" customHeight="1" x14ac:dyDescent="0.35">
      <c r="A994" s="10"/>
      <c r="B994" s="10"/>
      <c r="C994" s="10"/>
      <c r="D994" s="10"/>
      <c r="E994" s="10"/>
      <c r="F994" s="10"/>
      <c r="G994" s="10"/>
      <c r="H994" s="10"/>
    </row>
    <row r="995" spans="1:8" ht="14.25" customHeight="1" x14ac:dyDescent="0.35">
      <c r="A995" s="10"/>
      <c r="B995" s="10"/>
      <c r="C995" s="10"/>
      <c r="D995" s="10"/>
      <c r="E995" s="10"/>
      <c r="F995" s="10"/>
      <c r="G995" s="10"/>
      <c r="H995" s="10"/>
    </row>
    <row r="996" spans="1:8" ht="14.25" customHeight="1" x14ac:dyDescent="0.35">
      <c r="A996" s="10"/>
      <c r="B996" s="10"/>
      <c r="C996" s="10"/>
      <c r="D996" s="10"/>
      <c r="E996" s="10"/>
      <c r="F996" s="10"/>
      <c r="G996" s="10"/>
      <c r="H996" s="10"/>
    </row>
    <row r="997" spans="1:8" ht="14.25" customHeight="1" x14ac:dyDescent="0.35">
      <c r="A997" s="10"/>
      <c r="B997" s="10"/>
      <c r="C997" s="10"/>
      <c r="D997" s="10"/>
      <c r="E997" s="10"/>
      <c r="F997" s="10"/>
      <c r="G997" s="10"/>
      <c r="H997" s="10"/>
    </row>
    <row r="998" spans="1:8" ht="14.25" customHeight="1" x14ac:dyDescent="0.35">
      <c r="A998" s="10"/>
      <c r="B998" s="10"/>
      <c r="C998" s="10"/>
      <c r="D998" s="10"/>
      <c r="E998" s="10"/>
      <c r="F998" s="10"/>
      <c r="G998" s="10"/>
      <c r="H998" s="10"/>
    </row>
    <row r="999" spans="1:8" ht="14.25" customHeight="1" x14ac:dyDescent="0.35">
      <c r="A999" s="10"/>
      <c r="B999" s="10"/>
      <c r="C999" s="10"/>
      <c r="D999" s="10"/>
      <c r="E999" s="10"/>
      <c r="F999" s="10"/>
      <c r="G999" s="10"/>
      <c r="H999" s="10"/>
    </row>
    <row r="1000" spans="1:8" ht="14.25" customHeight="1" x14ac:dyDescent="0.35">
      <c r="A1000" s="10"/>
      <c r="B1000" s="10"/>
      <c r="C1000" s="10"/>
      <c r="D1000" s="10"/>
      <c r="E1000" s="10"/>
      <c r="F1000" s="10"/>
      <c r="G1000" s="10"/>
      <c r="H1000" s="10"/>
    </row>
  </sheetData>
  <pageMargins left="0.75" right="0.75" top="1" bottom="1" header="0" footer="0"/>
  <pageSetup paperSize="9" orientation="portrai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H1000"/>
  <sheetViews>
    <sheetView workbookViewId="0"/>
  </sheetViews>
  <sheetFormatPr defaultColWidth="14.453125" defaultRowHeight="15" customHeight="1" x14ac:dyDescent="0.35"/>
  <cols>
    <col min="1" max="1" width="34" customWidth="1"/>
    <col min="2" max="7" width="10" customWidth="1"/>
    <col min="8" max="26" width="8.54296875" customWidth="1"/>
  </cols>
  <sheetData>
    <row r="1" spans="1:8" ht="15.75" customHeight="1" x14ac:dyDescent="0.35">
      <c r="A1" s="11" t="s">
        <v>977</v>
      </c>
      <c r="B1" s="10"/>
      <c r="C1" s="10"/>
      <c r="D1" s="10"/>
      <c r="E1" s="10"/>
      <c r="F1" s="10"/>
      <c r="G1" s="10"/>
      <c r="H1" s="10"/>
    </row>
    <row r="2" spans="1:8" ht="14.25" customHeight="1" x14ac:dyDescent="0.35">
      <c r="A2" s="10"/>
      <c r="B2" s="10"/>
      <c r="C2" s="10"/>
      <c r="D2" s="10"/>
      <c r="E2" s="10"/>
      <c r="F2" s="10"/>
      <c r="G2" s="10"/>
      <c r="H2" s="10"/>
    </row>
    <row r="3" spans="1:8" ht="15" customHeight="1" x14ac:dyDescent="0.35">
      <c r="A3" s="13" t="s">
        <v>978</v>
      </c>
      <c r="B3" s="10"/>
      <c r="C3" s="10"/>
      <c r="D3" s="10"/>
      <c r="E3" s="10"/>
      <c r="F3" s="10"/>
      <c r="G3" s="10"/>
      <c r="H3" s="10"/>
    </row>
    <row r="4" spans="1:8" ht="15" customHeight="1" x14ac:dyDescent="0.35">
      <c r="A4" s="14" t="s">
        <v>954</v>
      </c>
      <c r="B4" s="14" t="s">
        <v>11</v>
      </c>
      <c r="C4" s="14" t="s">
        <v>95</v>
      </c>
      <c r="D4" s="14" t="s">
        <v>22</v>
      </c>
      <c r="E4" s="14" t="s">
        <v>38</v>
      </c>
      <c r="F4" s="14" t="s">
        <v>64</v>
      </c>
      <c r="G4" s="14" t="s">
        <v>944</v>
      </c>
      <c r="H4" s="10"/>
    </row>
    <row r="5" spans="1:8" ht="26.25" customHeight="1" x14ac:dyDescent="0.35">
      <c r="A5" s="22" t="s">
        <v>979</v>
      </c>
      <c r="B5" s="16">
        <f>SUMIFS('Data (parsed)'!$I$2:$I$235,'Data (parsed)'!$B$2:$B$235,"Conscience",'Data (parsed)'!$C$2:$C$235,$A5,'Data (parsed)'!$D$2:$D$235,B$4)</f>
        <v>1</v>
      </c>
      <c r="C5" s="16">
        <f>SUMIFS('Data (parsed)'!$I$2:$I$235,'Data (parsed)'!$B$2:$B$235,"Conscience",'Data (parsed)'!$C$2:$C$235,$A5,'Data (parsed)'!$D$2:$D$235,C$4)</f>
        <v>2</v>
      </c>
      <c r="D5" s="16">
        <f>SUMIFS('Data (parsed)'!$I$2:$I$235,'Data (parsed)'!$B$2:$B$235,"Conscience",'Data (parsed)'!$C$2:$C$235,$A5,'Data (parsed)'!$D$2:$D$235,D$4)</f>
        <v>0</v>
      </c>
      <c r="E5" s="16">
        <f>SUMIFS('Data (parsed)'!$I$2:$I$235,'Data (parsed)'!$B$2:$B$235,"Conscience",'Data (parsed)'!$C$2:$C$235,$A5,'Data (parsed)'!$D$2:$D$235,E$4)</f>
        <v>4</v>
      </c>
      <c r="F5" s="16">
        <f>SUMIFS('Data (parsed)'!$I$2:$I$235,'Data (parsed)'!$B$2:$B$235,"Conscience",'Data (parsed)'!$C$2:$C$235,$A5,'Data (parsed)'!$D$2:$D$235,F$4)</f>
        <v>2</v>
      </c>
      <c r="G5" s="18">
        <f t="shared" ref="G5:G15" si="0">SUM(B5:F5)</f>
        <v>9</v>
      </c>
      <c r="H5" s="10"/>
    </row>
    <row r="6" spans="1:8" ht="15" customHeight="1" x14ac:dyDescent="0.35">
      <c r="A6" s="22" t="s">
        <v>980</v>
      </c>
      <c r="B6" s="16">
        <f>SUMIFS('Data (parsed)'!$I$2:$I$235,'Data (parsed)'!$B$2:$B$235,"Conscience",'Data (parsed)'!$C$2:$C$235,$A6,'Data (parsed)'!$D$2:$D$235,B$4)</f>
        <v>0</v>
      </c>
      <c r="C6" s="16">
        <f>SUMIFS('Data (parsed)'!$I$2:$I$235,'Data (parsed)'!$B$2:$B$235,"Conscience",'Data (parsed)'!$C$2:$C$235,$A6,'Data (parsed)'!$D$2:$D$235,C$4)</f>
        <v>0</v>
      </c>
      <c r="D6" s="16">
        <f>SUMIFS('Data (parsed)'!$I$2:$I$235,'Data (parsed)'!$B$2:$B$235,"Conscience",'Data (parsed)'!$C$2:$C$235,$A6,'Data (parsed)'!$D$2:$D$235,D$4)</f>
        <v>1</v>
      </c>
      <c r="E6" s="16">
        <f>SUMIFS('Data (parsed)'!$I$2:$I$235,'Data (parsed)'!$B$2:$B$235,"Conscience",'Data (parsed)'!$C$2:$C$235,$A6,'Data (parsed)'!$D$2:$D$235,E$4)</f>
        <v>6</v>
      </c>
      <c r="F6" s="16">
        <f>SUMIFS('Data (parsed)'!$I$2:$I$235,'Data (parsed)'!$B$2:$B$235,"Conscience",'Data (parsed)'!$C$2:$C$235,$A6,'Data (parsed)'!$D$2:$D$235,F$4)</f>
        <v>1</v>
      </c>
      <c r="G6" s="18">
        <f t="shared" si="0"/>
        <v>8</v>
      </c>
      <c r="H6" s="10"/>
    </row>
    <row r="7" spans="1:8" ht="15" customHeight="1" x14ac:dyDescent="0.35">
      <c r="A7" s="22" t="s">
        <v>981</v>
      </c>
      <c r="B7" s="16">
        <f>SUMIFS('Data (parsed)'!$I$2:$I$235,'Data (parsed)'!$B$2:$B$235,"Conscience",'Data (parsed)'!$C$2:$C$235,$A7,'Data (parsed)'!$D$2:$D$235,B$4)</f>
        <v>0</v>
      </c>
      <c r="C7" s="16">
        <f>SUMIFS('Data (parsed)'!$I$2:$I$235,'Data (parsed)'!$B$2:$B$235,"Conscience",'Data (parsed)'!$C$2:$C$235,$A7,'Data (parsed)'!$D$2:$D$235,C$4)</f>
        <v>2</v>
      </c>
      <c r="D7" s="16">
        <f>SUMIFS('Data (parsed)'!$I$2:$I$235,'Data (parsed)'!$B$2:$B$235,"Conscience",'Data (parsed)'!$C$2:$C$235,$A7,'Data (parsed)'!$D$2:$D$235,D$4)</f>
        <v>2</v>
      </c>
      <c r="E7" s="16">
        <f>SUMIFS('Data (parsed)'!$I$2:$I$235,'Data (parsed)'!$B$2:$B$235,"Conscience",'Data (parsed)'!$C$2:$C$235,$A7,'Data (parsed)'!$D$2:$D$235,E$4)</f>
        <v>0</v>
      </c>
      <c r="F7" s="16">
        <f>SUMIFS('Data (parsed)'!$I$2:$I$235,'Data (parsed)'!$B$2:$B$235,"Conscience",'Data (parsed)'!$C$2:$C$235,$A7,'Data (parsed)'!$D$2:$D$235,F$4)</f>
        <v>3</v>
      </c>
      <c r="G7" s="18">
        <f t="shared" si="0"/>
        <v>7</v>
      </c>
      <c r="H7" s="10"/>
    </row>
    <row r="8" spans="1:8" ht="15" customHeight="1" x14ac:dyDescent="0.35">
      <c r="A8" s="22" t="s">
        <v>982</v>
      </c>
      <c r="B8" s="16">
        <f>SUMIFS('Data (parsed)'!$I$2:$I$235,'Data (parsed)'!$B$2:$B$235,"Conscience",'Data (parsed)'!$C$2:$C$235,$A8,'Data (parsed)'!$D$2:$D$235,B$4)</f>
        <v>0</v>
      </c>
      <c r="C8" s="16">
        <f>SUMIFS('Data (parsed)'!$I$2:$I$235,'Data (parsed)'!$B$2:$B$235,"Conscience",'Data (parsed)'!$C$2:$C$235,$A8,'Data (parsed)'!$D$2:$D$235,C$4)</f>
        <v>0</v>
      </c>
      <c r="D8" s="16">
        <f>SUMIFS('Data (parsed)'!$I$2:$I$235,'Data (parsed)'!$B$2:$B$235,"Conscience",'Data (parsed)'!$C$2:$C$235,$A8,'Data (parsed)'!$D$2:$D$235,D$4)</f>
        <v>0</v>
      </c>
      <c r="E8" s="16">
        <f>SUMIFS('Data (parsed)'!$I$2:$I$235,'Data (parsed)'!$B$2:$B$235,"Conscience",'Data (parsed)'!$C$2:$C$235,$A8,'Data (parsed)'!$D$2:$D$235,E$4)</f>
        <v>3</v>
      </c>
      <c r="F8" s="16">
        <f>SUMIFS('Data (parsed)'!$I$2:$I$235,'Data (parsed)'!$B$2:$B$235,"Conscience",'Data (parsed)'!$C$2:$C$235,$A8,'Data (parsed)'!$D$2:$D$235,F$4)</f>
        <v>1</v>
      </c>
      <c r="G8" s="18">
        <f t="shared" si="0"/>
        <v>4</v>
      </c>
      <c r="H8" s="10"/>
    </row>
    <row r="9" spans="1:8" ht="15" customHeight="1" x14ac:dyDescent="0.35">
      <c r="A9" s="22" t="s">
        <v>983</v>
      </c>
      <c r="B9" s="16">
        <f>SUMIFS('Data (parsed)'!$I$2:$I$235,'Data (parsed)'!$B$2:$B$235,"Conscience",'Data (parsed)'!$C$2:$C$235,$A9,'Data (parsed)'!$D$2:$D$235,B$4)</f>
        <v>0</v>
      </c>
      <c r="C9" s="16">
        <f>SUMIFS('Data (parsed)'!$I$2:$I$235,'Data (parsed)'!$B$2:$B$235,"Conscience",'Data (parsed)'!$C$2:$C$235,$A9,'Data (parsed)'!$D$2:$D$235,C$4)</f>
        <v>1</v>
      </c>
      <c r="D9" s="16">
        <f>SUMIFS('Data (parsed)'!$I$2:$I$235,'Data (parsed)'!$B$2:$B$235,"Conscience",'Data (parsed)'!$C$2:$C$235,$A9,'Data (parsed)'!$D$2:$D$235,D$4)</f>
        <v>0</v>
      </c>
      <c r="E9" s="16">
        <f>SUMIFS('Data (parsed)'!$I$2:$I$235,'Data (parsed)'!$B$2:$B$235,"Conscience",'Data (parsed)'!$C$2:$C$235,$A9,'Data (parsed)'!$D$2:$D$235,E$4)</f>
        <v>1</v>
      </c>
      <c r="F9" s="16">
        <f>SUMIFS('Data (parsed)'!$I$2:$I$235,'Data (parsed)'!$B$2:$B$235,"Conscience",'Data (parsed)'!$C$2:$C$235,$A9,'Data (parsed)'!$D$2:$D$235,F$4)</f>
        <v>1</v>
      </c>
      <c r="G9" s="18">
        <f t="shared" si="0"/>
        <v>3</v>
      </c>
      <c r="H9" s="10"/>
    </row>
    <row r="10" spans="1:8" ht="15" customHeight="1" x14ac:dyDescent="0.35">
      <c r="A10" s="22" t="s">
        <v>984</v>
      </c>
      <c r="B10" s="16">
        <f>SUMIFS('Data (parsed)'!$I$2:$I$235,'Data (parsed)'!$B$2:$B$235,"Conscience",'Data (parsed)'!$C$2:$C$235,$A10,'Data (parsed)'!$D$2:$D$235,B$4)</f>
        <v>0</v>
      </c>
      <c r="C10" s="16">
        <f>SUMIFS('Data (parsed)'!$I$2:$I$235,'Data (parsed)'!$B$2:$B$235,"Conscience",'Data (parsed)'!$C$2:$C$235,$A10,'Data (parsed)'!$D$2:$D$235,C$4)</f>
        <v>0</v>
      </c>
      <c r="D10" s="16">
        <f>SUMIFS('Data (parsed)'!$I$2:$I$235,'Data (parsed)'!$B$2:$B$235,"Conscience",'Data (parsed)'!$C$2:$C$235,$A10,'Data (parsed)'!$D$2:$D$235,D$4)</f>
        <v>0</v>
      </c>
      <c r="E10" s="16">
        <f>SUMIFS('Data (parsed)'!$I$2:$I$235,'Data (parsed)'!$B$2:$B$235,"Conscience",'Data (parsed)'!$C$2:$C$235,$A10,'Data (parsed)'!$D$2:$D$235,E$4)</f>
        <v>2</v>
      </c>
      <c r="F10" s="16">
        <f>SUMIFS('Data (parsed)'!$I$2:$I$235,'Data (parsed)'!$B$2:$B$235,"Conscience",'Data (parsed)'!$C$2:$C$235,$A10,'Data (parsed)'!$D$2:$D$235,F$4)</f>
        <v>0</v>
      </c>
      <c r="G10" s="18">
        <f t="shared" si="0"/>
        <v>2</v>
      </c>
      <c r="H10" s="10"/>
    </row>
    <row r="11" spans="1:8" ht="15" customHeight="1" x14ac:dyDescent="0.35">
      <c r="A11" s="22" t="s">
        <v>677</v>
      </c>
      <c r="B11" s="16">
        <f>SUMIFS('Data (parsed)'!$I$2:$I$235,'Data (parsed)'!$B$2:$B$235,"Conscience",'Data (parsed)'!$C$2:$C$235,$A11,'Data (parsed)'!$D$2:$D$235,B$4)</f>
        <v>1</v>
      </c>
      <c r="C11" s="16">
        <f>SUMIFS('Data (parsed)'!$I$2:$I$235,'Data (parsed)'!$B$2:$B$235,"Conscience",'Data (parsed)'!$C$2:$C$235,$A11,'Data (parsed)'!$D$2:$D$235,C$4)</f>
        <v>1</v>
      </c>
      <c r="D11" s="16">
        <f>SUMIFS('Data (parsed)'!$I$2:$I$235,'Data (parsed)'!$B$2:$B$235,"Conscience",'Data (parsed)'!$C$2:$C$235,$A11,'Data (parsed)'!$D$2:$D$235,D$4)</f>
        <v>0</v>
      </c>
      <c r="E11" s="16">
        <f>SUMIFS('Data (parsed)'!$I$2:$I$235,'Data (parsed)'!$B$2:$B$235,"Conscience",'Data (parsed)'!$C$2:$C$235,$A11,'Data (parsed)'!$D$2:$D$235,E$4)</f>
        <v>0</v>
      </c>
      <c r="F11" s="16">
        <f>SUMIFS('Data (parsed)'!$I$2:$I$235,'Data (parsed)'!$B$2:$B$235,"Conscience",'Data (parsed)'!$C$2:$C$235,$A11,'Data (parsed)'!$D$2:$D$235,F$4)</f>
        <v>0</v>
      </c>
      <c r="G11" s="18">
        <f t="shared" si="0"/>
        <v>2</v>
      </c>
      <c r="H11" s="10"/>
    </row>
    <row r="12" spans="1:8" ht="15" customHeight="1" x14ac:dyDescent="0.35">
      <c r="A12" s="22" t="s">
        <v>985</v>
      </c>
      <c r="B12" s="16">
        <f>SUMIFS('Data (parsed)'!$I$2:$I$235,'Data (parsed)'!$B$2:$B$235,"Conscience",'Data (parsed)'!$C$2:$C$235,$A12,'Data (parsed)'!$D$2:$D$235,B$4)</f>
        <v>0</v>
      </c>
      <c r="C12" s="16">
        <f>SUMIFS('Data (parsed)'!$I$2:$I$235,'Data (parsed)'!$B$2:$B$235,"Conscience",'Data (parsed)'!$C$2:$C$235,$A12,'Data (parsed)'!$D$2:$D$235,C$4)</f>
        <v>0</v>
      </c>
      <c r="D12" s="16">
        <f>SUMIFS('Data (parsed)'!$I$2:$I$235,'Data (parsed)'!$B$2:$B$235,"Conscience",'Data (parsed)'!$C$2:$C$235,$A12,'Data (parsed)'!$D$2:$D$235,D$4)</f>
        <v>1</v>
      </c>
      <c r="E12" s="16">
        <f>SUMIFS('Data (parsed)'!$I$2:$I$235,'Data (parsed)'!$B$2:$B$235,"Conscience",'Data (parsed)'!$C$2:$C$235,$A12,'Data (parsed)'!$D$2:$D$235,E$4)</f>
        <v>0</v>
      </c>
      <c r="F12" s="16">
        <f>SUMIFS('Data (parsed)'!$I$2:$I$235,'Data (parsed)'!$B$2:$B$235,"Conscience",'Data (parsed)'!$C$2:$C$235,$A12,'Data (parsed)'!$D$2:$D$235,F$4)</f>
        <v>0</v>
      </c>
      <c r="G12" s="18">
        <f t="shared" si="0"/>
        <v>1</v>
      </c>
      <c r="H12" s="10"/>
    </row>
    <row r="13" spans="1:8" ht="15" customHeight="1" x14ac:dyDescent="0.35">
      <c r="A13" s="22" t="s">
        <v>986</v>
      </c>
      <c r="B13" s="16">
        <f>SUMIFS('Data (parsed)'!$I$2:$I$235,'Data (parsed)'!$B$2:$B$235,"Conscience",'Data (parsed)'!$C$2:$C$235,$A13,'Data (parsed)'!$D$2:$D$235,B$4)</f>
        <v>0</v>
      </c>
      <c r="C13" s="16">
        <f>SUMIFS('Data (parsed)'!$I$2:$I$235,'Data (parsed)'!$B$2:$B$235,"Conscience",'Data (parsed)'!$C$2:$C$235,$A13,'Data (parsed)'!$D$2:$D$235,C$4)</f>
        <v>0</v>
      </c>
      <c r="D13" s="16">
        <f>SUMIFS('Data (parsed)'!$I$2:$I$235,'Data (parsed)'!$B$2:$B$235,"Conscience",'Data (parsed)'!$C$2:$C$235,$A13,'Data (parsed)'!$D$2:$D$235,D$4)</f>
        <v>0</v>
      </c>
      <c r="E13" s="16">
        <f>SUMIFS('Data (parsed)'!$I$2:$I$235,'Data (parsed)'!$B$2:$B$235,"Conscience",'Data (parsed)'!$C$2:$C$235,$A13,'Data (parsed)'!$D$2:$D$235,E$4)</f>
        <v>1</v>
      </c>
      <c r="F13" s="16">
        <f>SUMIFS('Data (parsed)'!$I$2:$I$235,'Data (parsed)'!$B$2:$B$235,"Conscience",'Data (parsed)'!$C$2:$C$235,$A13,'Data (parsed)'!$D$2:$D$235,F$4)</f>
        <v>0</v>
      </c>
      <c r="G13" s="18">
        <f t="shared" si="0"/>
        <v>1</v>
      </c>
      <c r="H13" s="10"/>
    </row>
    <row r="14" spans="1:8" ht="15" customHeight="1" x14ac:dyDescent="0.35">
      <c r="A14" s="22" t="s">
        <v>987</v>
      </c>
      <c r="B14" s="16">
        <f>SUMIFS('Data (parsed)'!$I$2:$I$235,'Data (parsed)'!$B$2:$B$235,"Conscience",'Data (parsed)'!$C$2:$C$235,$A14,'Data (parsed)'!$D$2:$D$235,B$4)</f>
        <v>1</v>
      </c>
      <c r="C14" s="16">
        <f>SUMIFS('Data (parsed)'!$I$2:$I$235,'Data (parsed)'!$B$2:$B$235,"Conscience",'Data (parsed)'!$C$2:$C$235,$A14,'Data (parsed)'!$D$2:$D$235,C$4)</f>
        <v>0</v>
      </c>
      <c r="D14" s="16">
        <f>SUMIFS('Data (parsed)'!$I$2:$I$235,'Data (parsed)'!$B$2:$B$235,"Conscience",'Data (parsed)'!$C$2:$C$235,$A14,'Data (parsed)'!$D$2:$D$235,D$4)</f>
        <v>0</v>
      </c>
      <c r="E14" s="16">
        <f>SUMIFS('Data (parsed)'!$I$2:$I$235,'Data (parsed)'!$B$2:$B$235,"Conscience",'Data (parsed)'!$C$2:$C$235,$A14,'Data (parsed)'!$D$2:$D$235,E$4)</f>
        <v>0</v>
      </c>
      <c r="F14" s="16">
        <f>SUMIFS('Data (parsed)'!$I$2:$I$235,'Data (parsed)'!$B$2:$B$235,"Conscience",'Data (parsed)'!$C$2:$C$235,$A14,'Data (parsed)'!$D$2:$D$235,F$4)</f>
        <v>0</v>
      </c>
      <c r="G14" s="18">
        <f t="shared" si="0"/>
        <v>1</v>
      </c>
      <c r="H14" s="10"/>
    </row>
    <row r="15" spans="1:8" ht="15" customHeight="1" x14ac:dyDescent="0.35">
      <c r="A15" s="22" t="s">
        <v>988</v>
      </c>
      <c r="B15" s="16">
        <f>SUMIFS('Data (parsed)'!$I$2:$I$235,'Data (parsed)'!$B$2:$B$235,"Conscience",'Data (parsed)'!$C$2:$C$235,$A15,'Data (parsed)'!$D$2:$D$235,B$4)</f>
        <v>0</v>
      </c>
      <c r="C15" s="16">
        <f>SUMIFS('Data (parsed)'!$I$2:$I$235,'Data (parsed)'!$B$2:$B$235,"Conscience",'Data (parsed)'!$C$2:$C$235,$A15,'Data (parsed)'!$D$2:$D$235,C$4)</f>
        <v>0</v>
      </c>
      <c r="D15" s="16">
        <f>SUMIFS('Data (parsed)'!$I$2:$I$235,'Data (parsed)'!$B$2:$B$235,"Conscience",'Data (parsed)'!$C$2:$C$235,$A15,'Data (parsed)'!$D$2:$D$235,D$4)</f>
        <v>1</v>
      </c>
      <c r="E15" s="16">
        <f>SUMIFS('Data (parsed)'!$I$2:$I$235,'Data (parsed)'!$B$2:$B$235,"Conscience",'Data (parsed)'!$C$2:$C$235,$A15,'Data (parsed)'!$D$2:$D$235,E$4)</f>
        <v>0</v>
      </c>
      <c r="F15" s="16">
        <f>SUMIFS('Data (parsed)'!$I$2:$I$235,'Data (parsed)'!$B$2:$B$235,"Conscience",'Data (parsed)'!$C$2:$C$235,$A15,'Data (parsed)'!$D$2:$D$235,F$4)</f>
        <v>0</v>
      </c>
      <c r="G15" s="18">
        <f t="shared" si="0"/>
        <v>1</v>
      </c>
      <c r="H15" s="10"/>
    </row>
    <row r="16" spans="1:8" ht="15" customHeight="1" x14ac:dyDescent="0.35">
      <c r="A16" s="17" t="s">
        <v>944</v>
      </c>
      <c r="B16" s="18">
        <f t="shared" ref="B16:G16" si="1">SUM(B5:B15)</f>
        <v>3</v>
      </c>
      <c r="C16" s="18">
        <f t="shared" si="1"/>
        <v>6</v>
      </c>
      <c r="D16" s="18">
        <f t="shared" si="1"/>
        <v>5</v>
      </c>
      <c r="E16" s="18">
        <f t="shared" si="1"/>
        <v>17</v>
      </c>
      <c r="F16" s="18">
        <f t="shared" si="1"/>
        <v>8</v>
      </c>
      <c r="G16" s="18">
        <f t="shared" si="1"/>
        <v>39</v>
      </c>
      <c r="H16" s="10"/>
    </row>
    <row r="17" spans="1:8" ht="14.25" customHeight="1" x14ac:dyDescent="0.35">
      <c r="A17" s="10"/>
      <c r="B17" s="10"/>
      <c r="C17" s="10"/>
      <c r="D17" s="10"/>
      <c r="E17" s="10"/>
      <c r="F17" s="10"/>
      <c r="G17" s="10"/>
      <c r="H17" s="10"/>
    </row>
    <row r="18" spans="1:8" ht="15" customHeight="1" x14ac:dyDescent="0.35">
      <c r="A18" s="13" t="s">
        <v>989</v>
      </c>
      <c r="B18" s="10"/>
      <c r="C18" s="10"/>
      <c r="D18" s="10"/>
      <c r="E18" s="10"/>
      <c r="F18" s="10"/>
      <c r="G18" s="10"/>
      <c r="H18" s="10"/>
    </row>
    <row r="19" spans="1:8" ht="15" customHeight="1" x14ac:dyDescent="0.35">
      <c r="A19" s="14" t="s">
        <v>954</v>
      </c>
      <c r="B19" s="14" t="s">
        <v>14</v>
      </c>
      <c r="C19" s="14" t="s">
        <v>98</v>
      </c>
      <c r="D19" s="14" t="s">
        <v>87</v>
      </c>
      <c r="E19" s="14" t="s">
        <v>92</v>
      </c>
      <c r="F19" s="14" t="s">
        <v>967</v>
      </c>
      <c r="G19" s="14" t="s">
        <v>939</v>
      </c>
      <c r="H19" s="10"/>
    </row>
    <row r="20" spans="1:8" ht="26.25" customHeight="1" x14ac:dyDescent="0.35">
      <c r="A20" s="22" t="s">
        <v>979</v>
      </c>
      <c r="B20" s="16">
        <f>COUNTIFS('Data (parsed)'!$E$2:$E$235,B$19,'Data (parsed)'!$B$2:$B$235,"Conscience",'Data (parsed)'!$C$2:$C$235,$A20)</f>
        <v>6</v>
      </c>
      <c r="C20" s="16">
        <f>COUNTIFS('Data (parsed)'!$E$2:$E$235,C$19,'Data (parsed)'!$B$2:$B$235,"Conscience",'Data (parsed)'!$C$2:$C$235,$A20)</f>
        <v>0</v>
      </c>
      <c r="D20" s="16">
        <f>COUNTIFS('Data (parsed)'!$E$2:$E$235,D$19,'Data (parsed)'!$B$2:$B$235,"Conscience",'Data (parsed)'!$C$2:$C$235,$A20)</f>
        <v>0</v>
      </c>
      <c r="E20" s="16">
        <f>COUNTIFS('Data (parsed)'!$E$2:$E$235,E$19,'Data (parsed)'!$B$2:$B$235,"Conscience",'Data (parsed)'!$C$2:$C$235,$A20)</f>
        <v>0</v>
      </c>
      <c r="F20" s="16">
        <f>SUMIFS('Data (parsed)'!$I$2:$I$235,'Data (parsed)'!$B$2:$B$235,"Conscience",'Data (parsed)'!$C$2:$C$235,$A20,'Data (parsed)'!$J$2:$J$235,0)</f>
        <v>3</v>
      </c>
      <c r="G20" s="18">
        <f>SUMIFS('Data (parsed)'!$I$2:$I$235,'Data (parsed)'!$B$2:$B$235,"Conscience",'Data (parsed)'!$C$2:$C$235,$A20)</f>
        <v>9</v>
      </c>
      <c r="H20" s="10"/>
    </row>
    <row r="21" spans="1:8" ht="15" customHeight="1" x14ac:dyDescent="0.35">
      <c r="A21" s="22" t="s">
        <v>980</v>
      </c>
      <c r="B21" s="16">
        <f>COUNTIFS('Data (parsed)'!$E$2:$E$235,B$19,'Data (parsed)'!$B$2:$B$235,"Conscience",'Data (parsed)'!$C$2:$C$235,$A21)</f>
        <v>5</v>
      </c>
      <c r="C21" s="16">
        <f>COUNTIFS('Data (parsed)'!$E$2:$E$235,C$19,'Data (parsed)'!$B$2:$B$235,"Conscience",'Data (parsed)'!$C$2:$C$235,$A21)</f>
        <v>0</v>
      </c>
      <c r="D21" s="16">
        <f>COUNTIFS('Data (parsed)'!$E$2:$E$235,D$19,'Data (parsed)'!$B$2:$B$235,"Conscience",'Data (parsed)'!$C$2:$C$235,$A21)</f>
        <v>2</v>
      </c>
      <c r="E21" s="16">
        <f>COUNTIFS('Data (parsed)'!$E$2:$E$235,E$19,'Data (parsed)'!$B$2:$B$235,"Conscience",'Data (parsed)'!$C$2:$C$235,$A21)</f>
        <v>0</v>
      </c>
      <c r="F21" s="16">
        <f>SUMIFS('Data (parsed)'!$I$2:$I$235,'Data (parsed)'!$B$2:$B$235,"Conscience",'Data (parsed)'!$C$2:$C$235,$A21,'Data (parsed)'!$J$2:$J$235,0)</f>
        <v>1</v>
      </c>
      <c r="G21" s="18">
        <f>SUMIFS('Data (parsed)'!$I$2:$I$235,'Data (parsed)'!$B$2:$B$235,"Conscience",'Data (parsed)'!$C$2:$C$235,$A21)</f>
        <v>8</v>
      </c>
      <c r="H21" s="10"/>
    </row>
    <row r="22" spans="1:8" ht="15" customHeight="1" x14ac:dyDescent="0.35">
      <c r="A22" s="22" t="s">
        <v>981</v>
      </c>
      <c r="B22" s="16">
        <f>COUNTIFS('Data (parsed)'!$E$2:$E$235,B$19,'Data (parsed)'!$B$2:$B$235,"Conscience",'Data (parsed)'!$C$2:$C$235,$A22)</f>
        <v>6</v>
      </c>
      <c r="C22" s="16">
        <f>COUNTIFS('Data (parsed)'!$E$2:$E$235,C$19,'Data (parsed)'!$B$2:$B$235,"Conscience",'Data (parsed)'!$C$2:$C$235,$A22)</f>
        <v>0</v>
      </c>
      <c r="D22" s="16">
        <f>COUNTIFS('Data (parsed)'!$E$2:$E$235,D$19,'Data (parsed)'!$B$2:$B$235,"Conscience",'Data (parsed)'!$C$2:$C$235,$A22)</f>
        <v>0</v>
      </c>
      <c r="E22" s="16">
        <f>COUNTIFS('Data (parsed)'!$E$2:$E$235,E$19,'Data (parsed)'!$B$2:$B$235,"Conscience",'Data (parsed)'!$C$2:$C$235,$A22)</f>
        <v>1</v>
      </c>
      <c r="F22" s="16">
        <f>SUMIFS('Data (parsed)'!$I$2:$I$235,'Data (parsed)'!$B$2:$B$235,"Conscience",'Data (parsed)'!$C$2:$C$235,$A22,'Data (parsed)'!$J$2:$J$235,0)</f>
        <v>0</v>
      </c>
      <c r="G22" s="18">
        <f>SUMIFS('Data (parsed)'!$I$2:$I$235,'Data (parsed)'!$B$2:$B$235,"Conscience",'Data (parsed)'!$C$2:$C$235,$A22)</f>
        <v>7</v>
      </c>
      <c r="H22" s="10"/>
    </row>
    <row r="23" spans="1:8" ht="15" customHeight="1" x14ac:dyDescent="0.35">
      <c r="A23" s="22" t="s">
        <v>982</v>
      </c>
      <c r="B23" s="16">
        <f>COUNTIFS('Data (parsed)'!$E$2:$E$235,B$19,'Data (parsed)'!$B$2:$B$235,"Conscience",'Data (parsed)'!$C$2:$C$235,$A23)</f>
        <v>3</v>
      </c>
      <c r="C23" s="16">
        <f>COUNTIFS('Data (parsed)'!$E$2:$E$235,C$19,'Data (parsed)'!$B$2:$B$235,"Conscience",'Data (parsed)'!$C$2:$C$235,$A23)</f>
        <v>0</v>
      </c>
      <c r="D23" s="16">
        <f>COUNTIFS('Data (parsed)'!$E$2:$E$235,D$19,'Data (parsed)'!$B$2:$B$235,"Conscience",'Data (parsed)'!$C$2:$C$235,$A23)</f>
        <v>0</v>
      </c>
      <c r="E23" s="16">
        <f>COUNTIFS('Data (parsed)'!$E$2:$E$235,E$19,'Data (parsed)'!$B$2:$B$235,"Conscience",'Data (parsed)'!$C$2:$C$235,$A23)</f>
        <v>0</v>
      </c>
      <c r="F23" s="16">
        <f>SUMIFS('Data (parsed)'!$I$2:$I$235,'Data (parsed)'!$B$2:$B$235,"Conscience",'Data (parsed)'!$C$2:$C$235,$A23,'Data (parsed)'!$J$2:$J$235,0)</f>
        <v>1</v>
      </c>
      <c r="G23" s="18">
        <f>SUMIFS('Data (parsed)'!$I$2:$I$235,'Data (parsed)'!$B$2:$B$235,"Conscience",'Data (parsed)'!$C$2:$C$235,$A23)</f>
        <v>4</v>
      </c>
      <c r="H23" s="10"/>
    </row>
    <row r="24" spans="1:8" ht="15" customHeight="1" x14ac:dyDescent="0.35">
      <c r="A24" s="22" t="s">
        <v>983</v>
      </c>
      <c r="B24" s="16">
        <f>COUNTIFS('Data (parsed)'!$E$2:$E$235,B$19,'Data (parsed)'!$B$2:$B$235,"Conscience",'Data (parsed)'!$C$2:$C$235,$A24)</f>
        <v>3</v>
      </c>
      <c r="C24" s="16">
        <f>COUNTIFS('Data (parsed)'!$E$2:$E$235,C$19,'Data (parsed)'!$B$2:$B$235,"Conscience",'Data (parsed)'!$C$2:$C$235,$A24)</f>
        <v>0</v>
      </c>
      <c r="D24" s="16">
        <f>COUNTIFS('Data (parsed)'!$E$2:$E$235,D$19,'Data (parsed)'!$B$2:$B$235,"Conscience",'Data (parsed)'!$C$2:$C$235,$A24)</f>
        <v>0</v>
      </c>
      <c r="E24" s="16">
        <f>COUNTIFS('Data (parsed)'!$E$2:$E$235,E$19,'Data (parsed)'!$B$2:$B$235,"Conscience",'Data (parsed)'!$C$2:$C$235,$A24)</f>
        <v>0</v>
      </c>
      <c r="F24" s="16">
        <f>SUMIFS('Data (parsed)'!$I$2:$I$235,'Data (parsed)'!$B$2:$B$235,"Conscience",'Data (parsed)'!$C$2:$C$235,$A24,'Data (parsed)'!$J$2:$J$235,0)</f>
        <v>0</v>
      </c>
      <c r="G24" s="18">
        <f>SUMIFS('Data (parsed)'!$I$2:$I$235,'Data (parsed)'!$B$2:$B$235,"Conscience",'Data (parsed)'!$C$2:$C$235,$A24)</f>
        <v>3</v>
      </c>
      <c r="H24" s="10"/>
    </row>
    <row r="25" spans="1:8" ht="15" customHeight="1" x14ac:dyDescent="0.35">
      <c r="A25" s="22" t="s">
        <v>984</v>
      </c>
      <c r="B25" s="16">
        <f>COUNTIFS('Data (parsed)'!$E$2:$E$235,B$19,'Data (parsed)'!$B$2:$B$235,"Conscience",'Data (parsed)'!$C$2:$C$235,$A25)</f>
        <v>2</v>
      </c>
      <c r="C25" s="16">
        <f>COUNTIFS('Data (parsed)'!$E$2:$E$235,C$19,'Data (parsed)'!$B$2:$B$235,"Conscience",'Data (parsed)'!$C$2:$C$235,$A25)</f>
        <v>0</v>
      </c>
      <c r="D25" s="16">
        <f>COUNTIFS('Data (parsed)'!$E$2:$E$235,D$19,'Data (parsed)'!$B$2:$B$235,"Conscience",'Data (parsed)'!$C$2:$C$235,$A25)</f>
        <v>0</v>
      </c>
      <c r="E25" s="16">
        <f>COUNTIFS('Data (parsed)'!$E$2:$E$235,E$19,'Data (parsed)'!$B$2:$B$235,"Conscience",'Data (parsed)'!$C$2:$C$235,$A25)</f>
        <v>0</v>
      </c>
      <c r="F25" s="16">
        <f>SUMIFS('Data (parsed)'!$I$2:$I$235,'Data (parsed)'!$B$2:$B$235,"Conscience",'Data (parsed)'!$C$2:$C$235,$A25,'Data (parsed)'!$J$2:$J$235,0)</f>
        <v>0</v>
      </c>
      <c r="G25" s="18">
        <f>SUMIFS('Data (parsed)'!$I$2:$I$235,'Data (parsed)'!$B$2:$B$235,"Conscience",'Data (parsed)'!$C$2:$C$235,$A25)</f>
        <v>2</v>
      </c>
      <c r="H25" s="10"/>
    </row>
    <row r="26" spans="1:8" ht="15" customHeight="1" x14ac:dyDescent="0.35">
      <c r="A26" s="22" t="s">
        <v>677</v>
      </c>
      <c r="B26" s="16">
        <f>COUNTIFS('Data (parsed)'!$E$2:$E$235,B$19,'Data (parsed)'!$B$2:$B$235,"Conscience",'Data (parsed)'!$C$2:$C$235,$A26)</f>
        <v>2</v>
      </c>
      <c r="C26" s="16">
        <f>COUNTIFS('Data (parsed)'!$E$2:$E$235,C$19,'Data (parsed)'!$B$2:$B$235,"Conscience",'Data (parsed)'!$C$2:$C$235,$A26)</f>
        <v>0</v>
      </c>
      <c r="D26" s="16">
        <f>COUNTIFS('Data (parsed)'!$E$2:$E$235,D$19,'Data (parsed)'!$B$2:$B$235,"Conscience",'Data (parsed)'!$C$2:$C$235,$A26)</f>
        <v>0</v>
      </c>
      <c r="E26" s="16">
        <f>COUNTIFS('Data (parsed)'!$E$2:$E$235,E$19,'Data (parsed)'!$B$2:$B$235,"Conscience",'Data (parsed)'!$C$2:$C$235,$A26)</f>
        <v>0</v>
      </c>
      <c r="F26" s="16">
        <f>SUMIFS('Data (parsed)'!$I$2:$I$235,'Data (parsed)'!$B$2:$B$235,"Conscience",'Data (parsed)'!$C$2:$C$235,$A26,'Data (parsed)'!$J$2:$J$235,0)</f>
        <v>0</v>
      </c>
      <c r="G26" s="18">
        <f>SUMIFS('Data (parsed)'!$I$2:$I$235,'Data (parsed)'!$B$2:$B$235,"Conscience",'Data (parsed)'!$C$2:$C$235,$A26)</f>
        <v>2</v>
      </c>
      <c r="H26" s="10"/>
    </row>
    <row r="27" spans="1:8" ht="15" customHeight="1" x14ac:dyDescent="0.35">
      <c r="A27" s="22" t="s">
        <v>985</v>
      </c>
      <c r="B27" s="16">
        <f>COUNTIFS('Data (parsed)'!$E$2:$E$235,B$19,'Data (parsed)'!$B$2:$B$235,"Conscience",'Data (parsed)'!$C$2:$C$235,$A27)</f>
        <v>1</v>
      </c>
      <c r="C27" s="16">
        <f>COUNTIFS('Data (parsed)'!$E$2:$E$235,C$19,'Data (parsed)'!$B$2:$B$235,"Conscience",'Data (parsed)'!$C$2:$C$235,$A27)</f>
        <v>0</v>
      </c>
      <c r="D27" s="16">
        <f>COUNTIFS('Data (parsed)'!$E$2:$E$235,D$19,'Data (parsed)'!$B$2:$B$235,"Conscience",'Data (parsed)'!$C$2:$C$235,$A27)</f>
        <v>0</v>
      </c>
      <c r="E27" s="16">
        <f>COUNTIFS('Data (parsed)'!$E$2:$E$235,E$19,'Data (parsed)'!$B$2:$B$235,"Conscience",'Data (parsed)'!$C$2:$C$235,$A27)</f>
        <v>0</v>
      </c>
      <c r="F27" s="16">
        <f>SUMIFS('Data (parsed)'!$I$2:$I$235,'Data (parsed)'!$B$2:$B$235,"Conscience",'Data (parsed)'!$C$2:$C$235,$A27,'Data (parsed)'!$J$2:$J$235,0)</f>
        <v>0</v>
      </c>
      <c r="G27" s="18">
        <f>SUMIFS('Data (parsed)'!$I$2:$I$235,'Data (parsed)'!$B$2:$B$235,"Conscience",'Data (parsed)'!$C$2:$C$235,$A27)</f>
        <v>1</v>
      </c>
      <c r="H27" s="10"/>
    </row>
    <row r="28" spans="1:8" ht="15" customHeight="1" x14ac:dyDescent="0.35">
      <c r="A28" s="22" t="s">
        <v>986</v>
      </c>
      <c r="B28" s="16">
        <f>COUNTIFS('Data (parsed)'!$E$2:$E$235,B$19,'Data (parsed)'!$B$2:$B$235,"Conscience",'Data (parsed)'!$C$2:$C$235,$A28)</f>
        <v>1</v>
      </c>
      <c r="C28" s="16">
        <f>COUNTIFS('Data (parsed)'!$E$2:$E$235,C$19,'Data (parsed)'!$B$2:$B$235,"Conscience",'Data (parsed)'!$C$2:$C$235,$A28)</f>
        <v>0</v>
      </c>
      <c r="D28" s="16">
        <f>COUNTIFS('Data (parsed)'!$E$2:$E$235,D$19,'Data (parsed)'!$B$2:$B$235,"Conscience",'Data (parsed)'!$C$2:$C$235,$A28)</f>
        <v>0</v>
      </c>
      <c r="E28" s="16">
        <f>COUNTIFS('Data (parsed)'!$E$2:$E$235,E$19,'Data (parsed)'!$B$2:$B$235,"Conscience",'Data (parsed)'!$C$2:$C$235,$A28)</f>
        <v>0</v>
      </c>
      <c r="F28" s="16">
        <f>SUMIFS('Data (parsed)'!$I$2:$I$235,'Data (parsed)'!$B$2:$B$235,"Conscience",'Data (parsed)'!$C$2:$C$235,$A28,'Data (parsed)'!$J$2:$J$235,0)</f>
        <v>0</v>
      </c>
      <c r="G28" s="18">
        <f>SUMIFS('Data (parsed)'!$I$2:$I$235,'Data (parsed)'!$B$2:$B$235,"Conscience",'Data (parsed)'!$C$2:$C$235,$A28)</f>
        <v>1</v>
      </c>
      <c r="H28" s="10"/>
    </row>
    <row r="29" spans="1:8" ht="15" customHeight="1" x14ac:dyDescent="0.35">
      <c r="A29" s="22" t="s">
        <v>987</v>
      </c>
      <c r="B29" s="16">
        <f>COUNTIFS('Data (parsed)'!$E$2:$E$235,B$19,'Data (parsed)'!$B$2:$B$235,"Conscience",'Data (parsed)'!$C$2:$C$235,$A29)</f>
        <v>1</v>
      </c>
      <c r="C29" s="16">
        <f>COUNTIFS('Data (parsed)'!$E$2:$E$235,C$19,'Data (parsed)'!$B$2:$B$235,"Conscience",'Data (parsed)'!$C$2:$C$235,$A29)</f>
        <v>0</v>
      </c>
      <c r="D29" s="16">
        <f>COUNTIFS('Data (parsed)'!$E$2:$E$235,D$19,'Data (parsed)'!$B$2:$B$235,"Conscience",'Data (parsed)'!$C$2:$C$235,$A29)</f>
        <v>0</v>
      </c>
      <c r="E29" s="16">
        <f>COUNTIFS('Data (parsed)'!$E$2:$E$235,E$19,'Data (parsed)'!$B$2:$B$235,"Conscience",'Data (parsed)'!$C$2:$C$235,$A29)</f>
        <v>0</v>
      </c>
      <c r="F29" s="16">
        <f>SUMIFS('Data (parsed)'!$I$2:$I$235,'Data (parsed)'!$B$2:$B$235,"Conscience",'Data (parsed)'!$C$2:$C$235,$A29,'Data (parsed)'!$J$2:$J$235,0)</f>
        <v>0</v>
      </c>
      <c r="G29" s="18">
        <f>SUMIFS('Data (parsed)'!$I$2:$I$235,'Data (parsed)'!$B$2:$B$235,"Conscience",'Data (parsed)'!$C$2:$C$235,$A29)</f>
        <v>1</v>
      </c>
      <c r="H29" s="10"/>
    </row>
    <row r="30" spans="1:8" ht="15" customHeight="1" x14ac:dyDescent="0.35">
      <c r="A30" s="22" t="s">
        <v>988</v>
      </c>
      <c r="B30" s="16">
        <f>COUNTIFS('Data (parsed)'!$E$2:$E$235,B$19,'Data (parsed)'!$B$2:$B$235,"Conscience",'Data (parsed)'!$C$2:$C$235,$A30)</f>
        <v>1</v>
      </c>
      <c r="C30" s="16">
        <f>COUNTIFS('Data (parsed)'!$E$2:$E$235,C$19,'Data (parsed)'!$B$2:$B$235,"Conscience",'Data (parsed)'!$C$2:$C$235,$A30)</f>
        <v>0</v>
      </c>
      <c r="D30" s="16">
        <f>COUNTIFS('Data (parsed)'!$E$2:$E$235,D$19,'Data (parsed)'!$B$2:$B$235,"Conscience",'Data (parsed)'!$C$2:$C$235,$A30)</f>
        <v>0</v>
      </c>
      <c r="E30" s="16">
        <f>COUNTIFS('Data (parsed)'!$E$2:$E$235,E$19,'Data (parsed)'!$B$2:$B$235,"Conscience",'Data (parsed)'!$C$2:$C$235,$A30)</f>
        <v>0</v>
      </c>
      <c r="F30" s="16">
        <f>SUMIFS('Data (parsed)'!$I$2:$I$235,'Data (parsed)'!$B$2:$B$235,"Conscience",'Data (parsed)'!$C$2:$C$235,$A30,'Data (parsed)'!$J$2:$J$235,0)</f>
        <v>0</v>
      </c>
      <c r="G30" s="18">
        <f>SUMIFS('Data (parsed)'!$I$2:$I$235,'Data (parsed)'!$B$2:$B$235,"Conscience",'Data (parsed)'!$C$2:$C$235,$A30)</f>
        <v>1</v>
      </c>
      <c r="H30" s="10"/>
    </row>
    <row r="31" spans="1:8" ht="15" customHeight="1" x14ac:dyDescent="0.35">
      <c r="A31" s="17" t="s">
        <v>944</v>
      </c>
      <c r="B31" s="18">
        <f t="shared" ref="B31:G31" si="2">SUM(B20:B30)</f>
        <v>31</v>
      </c>
      <c r="C31" s="18">
        <f t="shared" si="2"/>
        <v>0</v>
      </c>
      <c r="D31" s="18">
        <f t="shared" si="2"/>
        <v>2</v>
      </c>
      <c r="E31" s="18">
        <f t="shared" si="2"/>
        <v>1</v>
      </c>
      <c r="F31" s="18">
        <f t="shared" si="2"/>
        <v>5</v>
      </c>
      <c r="G31" s="18">
        <f t="shared" si="2"/>
        <v>39</v>
      </c>
      <c r="H31" s="10"/>
    </row>
    <row r="32" spans="1:8" ht="14.25" customHeight="1" x14ac:dyDescent="0.35">
      <c r="A32" s="10"/>
      <c r="B32" s="10"/>
      <c r="C32" s="10"/>
      <c r="D32" s="10"/>
      <c r="E32" s="10"/>
      <c r="F32" s="10"/>
      <c r="G32" s="10"/>
      <c r="H32" s="10"/>
    </row>
    <row r="33" spans="1:8" ht="14.25" customHeight="1" x14ac:dyDescent="0.35">
      <c r="A33" s="10"/>
      <c r="B33" s="10"/>
      <c r="C33" s="10"/>
      <c r="D33" s="10"/>
      <c r="E33" s="10"/>
      <c r="F33" s="10"/>
      <c r="G33" s="10"/>
      <c r="H33" s="10"/>
    </row>
    <row r="34" spans="1:8" ht="14.25" customHeight="1" x14ac:dyDescent="0.35">
      <c r="A34" s="10"/>
      <c r="B34" s="10"/>
      <c r="C34" s="10"/>
      <c r="D34" s="10"/>
      <c r="E34" s="10"/>
      <c r="F34" s="10"/>
      <c r="G34" s="10"/>
      <c r="H34" s="10"/>
    </row>
    <row r="35" spans="1:8" ht="14.25" customHeight="1" x14ac:dyDescent="0.35">
      <c r="A35" s="10"/>
      <c r="B35" s="10"/>
      <c r="C35" s="10"/>
      <c r="D35" s="10"/>
      <c r="E35" s="10"/>
      <c r="F35" s="10"/>
      <c r="G35" s="10"/>
      <c r="H35" s="10"/>
    </row>
    <row r="36" spans="1:8" ht="14.25" customHeight="1" x14ac:dyDescent="0.35">
      <c r="A36" s="10"/>
      <c r="B36" s="10"/>
      <c r="C36" s="10"/>
      <c r="D36" s="10"/>
      <c r="E36" s="10"/>
      <c r="F36" s="10"/>
      <c r="G36" s="10"/>
      <c r="H36" s="10"/>
    </row>
    <row r="37" spans="1:8" ht="14.25" customHeight="1" x14ac:dyDescent="0.35">
      <c r="A37" s="10"/>
      <c r="B37" s="10"/>
      <c r="C37" s="10"/>
      <c r="D37" s="10"/>
      <c r="E37" s="10"/>
      <c r="F37" s="10"/>
      <c r="G37" s="10"/>
      <c r="H37" s="10"/>
    </row>
    <row r="38" spans="1:8" ht="14.25" customHeight="1" x14ac:dyDescent="0.35">
      <c r="A38" s="10"/>
      <c r="B38" s="10"/>
      <c r="C38" s="10"/>
      <c r="D38" s="10"/>
      <c r="E38" s="10"/>
      <c r="F38" s="10"/>
      <c r="G38" s="10"/>
      <c r="H38" s="10"/>
    </row>
    <row r="39" spans="1:8" ht="14.25" customHeight="1" x14ac:dyDescent="0.35">
      <c r="A39" s="10"/>
      <c r="B39" s="10"/>
      <c r="C39" s="10"/>
      <c r="D39" s="10"/>
      <c r="E39" s="10"/>
      <c r="F39" s="10"/>
      <c r="G39" s="10"/>
      <c r="H39" s="10"/>
    </row>
    <row r="40" spans="1:8" ht="14.25" customHeight="1" x14ac:dyDescent="0.35">
      <c r="A40" s="10"/>
      <c r="B40" s="10"/>
      <c r="C40" s="10"/>
      <c r="D40" s="10"/>
      <c r="E40" s="10"/>
      <c r="F40" s="10"/>
      <c r="G40" s="10"/>
      <c r="H40" s="10"/>
    </row>
    <row r="41" spans="1:8" ht="14.25" customHeight="1" x14ac:dyDescent="0.35">
      <c r="A41" s="10"/>
      <c r="B41" s="10"/>
      <c r="C41" s="10"/>
      <c r="D41" s="10"/>
      <c r="E41" s="10"/>
      <c r="F41" s="10"/>
      <c r="G41" s="10"/>
      <c r="H41" s="10"/>
    </row>
    <row r="42" spans="1:8" ht="14.25" customHeight="1" x14ac:dyDescent="0.35">
      <c r="A42" s="10"/>
      <c r="B42" s="10"/>
      <c r="C42" s="10"/>
      <c r="D42" s="10"/>
      <c r="E42" s="10"/>
      <c r="F42" s="10"/>
      <c r="G42" s="10"/>
      <c r="H42" s="10"/>
    </row>
    <row r="43" spans="1:8" ht="14.25" customHeight="1" x14ac:dyDescent="0.35">
      <c r="A43" s="10"/>
      <c r="B43" s="10"/>
      <c r="C43" s="10"/>
      <c r="D43" s="10"/>
      <c r="E43" s="10"/>
      <c r="F43" s="10"/>
      <c r="G43" s="10"/>
      <c r="H43" s="10"/>
    </row>
    <row r="44" spans="1:8" ht="14.25" customHeight="1" x14ac:dyDescent="0.35">
      <c r="A44" s="10"/>
      <c r="B44" s="10"/>
      <c r="C44" s="10"/>
      <c r="D44" s="10"/>
      <c r="E44" s="10"/>
      <c r="F44" s="10"/>
      <c r="G44" s="10"/>
      <c r="H44" s="10"/>
    </row>
    <row r="45" spans="1:8" ht="14.25" customHeight="1" x14ac:dyDescent="0.35">
      <c r="A45" s="10"/>
      <c r="B45" s="10"/>
      <c r="C45" s="10"/>
      <c r="D45" s="10"/>
      <c r="E45" s="10"/>
      <c r="F45" s="10"/>
      <c r="G45" s="10"/>
      <c r="H45" s="10"/>
    </row>
    <row r="46" spans="1:8" ht="14.25" customHeight="1" x14ac:dyDescent="0.35">
      <c r="A46" s="10"/>
      <c r="B46" s="10"/>
      <c r="C46" s="10"/>
      <c r="D46" s="10"/>
      <c r="E46" s="10"/>
      <c r="F46" s="10"/>
      <c r="G46" s="10"/>
      <c r="H46" s="10"/>
    </row>
    <row r="47" spans="1:8" ht="14.25" customHeight="1" x14ac:dyDescent="0.35">
      <c r="A47" s="10"/>
      <c r="B47" s="10"/>
      <c r="C47" s="10"/>
      <c r="D47" s="10"/>
      <c r="E47" s="10"/>
      <c r="F47" s="10"/>
      <c r="G47" s="10"/>
      <c r="H47" s="10"/>
    </row>
    <row r="48" spans="1:8" ht="14.25" customHeight="1" x14ac:dyDescent="0.35">
      <c r="A48" s="10"/>
      <c r="B48" s="10"/>
      <c r="C48" s="10"/>
      <c r="D48" s="10"/>
      <c r="E48" s="10"/>
      <c r="F48" s="10"/>
      <c r="G48" s="10"/>
      <c r="H48" s="10"/>
    </row>
    <row r="49" spans="1:8" ht="14.25" customHeight="1" x14ac:dyDescent="0.35">
      <c r="A49" s="10"/>
      <c r="B49" s="10"/>
      <c r="C49" s="10"/>
      <c r="D49" s="10"/>
      <c r="E49" s="10"/>
      <c r="F49" s="10"/>
      <c r="G49" s="10"/>
      <c r="H49" s="10"/>
    </row>
    <row r="50" spans="1:8" ht="14.25" customHeight="1" x14ac:dyDescent="0.35">
      <c r="A50" s="10"/>
      <c r="B50" s="10"/>
      <c r="C50" s="10"/>
      <c r="D50" s="10"/>
      <c r="E50" s="10"/>
      <c r="F50" s="10"/>
      <c r="G50" s="10"/>
      <c r="H50" s="10"/>
    </row>
    <row r="51" spans="1:8" ht="14.25" customHeight="1" x14ac:dyDescent="0.35">
      <c r="A51" s="10"/>
      <c r="B51" s="10"/>
      <c r="C51" s="10"/>
      <c r="D51" s="10"/>
      <c r="E51" s="10"/>
      <c r="F51" s="10"/>
      <c r="G51" s="10"/>
      <c r="H51" s="10"/>
    </row>
    <row r="52" spans="1:8" ht="14.25" customHeight="1" x14ac:dyDescent="0.35">
      <c r="A52" s="10"/>
      <c r="B52" s="10"/>
      <c r="C52" s="10"/>
      <c r="D52" s="10"/>
      <c r="E52" s="10"/>
      <c r="F52" s="10"/>
      <c r="G52" s="10"/>
      <c r="H52" s="10"/>
    </row>
    <row r="53" spans="1:8" ht="14.25" customHeight="1" x14ac:dyDescent="0.35">
      <c r="A53" s="10"/>
      <c r="B53" s="10"/>
      <c r="C53" s="10"/>
      <c r="D53" s="10"/>
      <c r="E53" s="10"/>
      <c r="F53" s="10"/>
      <c r="G53" s="10"/>
      <c r="H53" s="10"/>
    </row>
    <row r="54" spans="1:8" ht="14.25" customHeight="1" x14ac:dyDescent="0.35">
      <c r="A54" s="10"/>
      <c r="B54" s="10"/>
      <c r="C54" s="10"/>
      <c r="D54" s="10"/>
      <c r="E54" s="10"/>
      <c r="F54" s="10"/>
      <c r="G54" s="10"/>
      <c r="H54" s="10"/>
    </row>
    <row r="55" spans="1:8" ht="14.25" customHeight="1" x14ac:dyDescent="0.35">
      <c r="A55" s="10"/>
      <c r="B55" s="10"/>
      <c r="C55" s="10"/>
      <c r="D55" s="10"/>
      <c r="E55" s="10"/>
      <c r="F55" s="10"/>
      <c r="G55" s="10"/>
      <c r="H55" s="10"/>
    </row>
    <row r="56" spans="1:8" ht="14.25" customHeight="1" x14ac:dyDescent="0.35">
      <c r="A56" s="10"/>
      <c r="B56" s="10"/>
      <c r="C56" s="10"/>
      <c r="D56" s="10"/>
      <c r="E56" s="10"/>
      <c r="F56" s="10"/>
      <c r="G56" s="10"/>
      <c r="H56" s="10"/>
    </row>
    <row r="57" spans="1:8" ht="14.25" customHeight="1" x14ac:dyDescent="0.35">
      <c r="A57" s="10"/>
      <c r="B57" s="10"/>
      <c r="C57" s="10"/>
      <c r="D57" s="10"/>
      <c r="E57" s="10"/>
      <c r="F57" s="10"/>
      <c r="G57" s="10"/>
      <c r="H57" s="10"/>
    </row>
    <row r="58" spans="1:8" ht="14.25" customHeight="1" x14ac:dyDescent="0.35">
      <c r="A58" s="10"/>
      <c r="B58" s="10"/>
      <c r="C58" s="10"/>
      <c r="D58" s="10"/>
      <c r="E58" s="10"/>
      <c r="F58" s="10"/>
      <c r="G58" s="10"/>
      <c r="H58" s="10"/>
    </row>
    <row r="59" spans="1:8" ht="14.25" customHeight="1" x14ac:dyDescent="0.35">
      <c r="A59" s="10"/>
      <c r="B59" s="10"/>
      <c r="C59" s="10"/>
      <c r="D59" s="10"/>
      <c r="E59" s="10"/>
      <c r="F59" s="10"/>
      <c r="G59" s="10"/>
      <c r="H59" s="10"/>
    </row>
    <row r="60" spans="1:8" ht="14.25" customHeight="1" x14ac:dyDescent="0.35">
      <c r="A60" s="10"/>
      <c r="B60" s="10"/>
      <c r="C60" s="10"/>
      <c r="D60" s="10"/>
      <c r="E60" s="10"/>
      <c r="F60" s="10"/>
      <c r="G60" s="10"/>
      <c r="H60" s="10"/>
    </row>
    <row r="61" spans="1:8" ht="14.25" customHeight="1" x14ac:dyDescent="0.35">
      <c r="A61" s="10"/>
      <c r="B61" s="10"/>
      <c r="C61" s="10"/>
      <c r="D61" s="10"/>
      <c r="E61" s="10"/>
      <c r="F61" s="10"/>
      <c r="G61" s="10"/>
      <c r="H61" s="10"/>
    </row>
    <row r="62" spans="1:8" ht="14.25" customHeight="1" x14ac:dyDescent="0.35">
      <c r="A62" s="10"/>
      <c r="B62" s="10"/>
      <c r="C62" s="10"/>
      <c r="D62" s="10"/>
      <c r="E62" s="10"/>
      <c r="F62" s="10"/>
      <c r="G62" s="10"/>
      <c r="H62" s="10"/>
    </row>
    <row r="63" spans="1:8" ht="14.25" customHeight="1" x14ac:dyDescent="0.35">
      <c r="A63" s="10"/>
      <c r="B63" s="10"/>
      <c r="C63" s="10"/>
      <c r="D63" s="10"/>
      <c r="E63" s="10"/>
      <c r="F63" s="10"/>
      <c r="G63" s="10"/>
      <c r="H63" s="10"/>
    </row>
    <row r="64" spans="1:8" ht="14.25" customHeight="1" x14ac:dyDescent="0.35">
      <c r="A64" s="10"/>
      <c r="B64" s="10"/>
      <c r="C64" s="10"/>
      <c r="D64" s="10"/>
      <c r="E64" s="10"/>
      <c r="F64" s="10"/>
      <c r="G64" s="10"/>
      <c r="H64" s="10"/>
    </row>
    <row r="65" spans="1:8" ht="14.25" customHeight="1" x14ac:dyDescent="0.35">
      <c r="A65" s="10"/>
      <c r="B65" s="10"/>
      <c r="C65" s="10"/>
      <c r="D65" s="10"/>
      <c r="E65" s="10"/>
      <c r="F65" s="10"/>
      <c r="G65" s="10"/>
      <c r="H65" s="10"/>
    </row>
    <row r="66" spans="1:8" ht="14.25" customHeight="1" x14ac:dyDescent="0.35">
      <c r="A66" s="10"/>
      <c r="B66" s="10"/>
      <c r="C66" s="10"/>
      <c r="D66" s="10"/>
      <c r="E66" s="10"/>
      <c r="F66" s="10"/>
      <c r="G66" s="10"/>
      <c r="H66" s="10"/>
    </row>
    <row r="67" spans="1:8" ht="14.25" customHeight="1" x14ac:dyDescent="0.35">
      <c r="A67" s="10"/>
      <c r="B67" s="10"/>
      <c r="C67" s="10"/>
      <c r="D67" s="10"/>
      <c r="E67" s="10"/>
      <c r="F67" s="10"/>
      <c r="G67" s="10"/>
      <c r="H67" s="10"/>
    </row>
    <row r="68" spans="1:8" ht="14.25" customHeight="1" x14ac:dyDescent="0.35">
      <c r="A68" s="10"/>
      <c r="B68" s="10"/>
      <c r="C68" s="10"/>
      <c r="D68" s="10"/>
      <c r="E68" s="10"/>
      <c r="F68" s="10"/>
      <c r="G68" s="10"/>
      <c r="H68" s="10"/>
    </row>
    <row r="69" spans="1:8" ht="14.25" customHeight="1" x14ac:dyDescent="0.35">
      <c r="A69" s="10"/>
      <c r="B69" s="10"/>
      <c r="C69" s="10"/>
      <c r="D69" s="10"/>
      <c r="E69" s="10"/>
      <c r="F69" s="10"/>
      <c r="G69" s="10"/>
      <c r="H69" s="10"/>
    </row>
    <row r="70" spans="1:8" ht="14.25" customHeight="1" x14ac:dyDescent="0.35">
      <c r="A70" s="10"/>
      <c r="B70" s="10"/>
      <c r="C70" s="10"/>
      <c r="D70" s="10"/>
      <c r="E70" s="10"/>
      <c r="F70" s="10"/>
      <c r="G70" s="10"/>
      <c r="H70" s="10"/>
    </row>
    <row r="71" spans="1:8" ht="14.25" customHeight="1" x14ac:dyDescent="0.35">
      <c r="A71" s="10"/>
      <c r="B71" s="10"/>
      <c r="C71" s="10"/>
      <c r="D71" s="10"/>
      <c r="E71" s="10"/>
      <c r="F71" s="10"/>
      <c r="G71" s="10"/>
      <c r="H71" s="10"/>
    </row>
    <row r="72" spans="1:8" ht="14.25" customHeight="1" x14ac:dyDescent="0.35">
      <c r="A72" s="10"/>
      <c r="B72" s="10"/>
      <c r="C72" s="10"/>
      <c r="D72" s="10"/>
      <c r="E72" s="10"/>
      <c r="F72" s="10"/>
      <c r="G72" s="10"/>
      <c r="H72" s="10"/>
    </row>
    <row r="73" spans="1:8" ht="14.25" customHeight="1" x14ac:dyDescent="0.35">
      <c r="A73" s="10"/>
      <c r="B73" s="10"/>
      <c r="C73" s="10"/>
      <c r="D73" s="10"/>
      <c r="E73" s="10"/>
      <c r="F73" s="10"/>
      <c r="G73" s="10"/>
      <c r="H73" s="10"/>
    </row>
    <row r="74" spans="1:8" ht="14.25" customHeight="1" x14ac:dyDescent="0.35">
      <c r="A74" s="10"/>
      <c r="B74" s="10"/>
      <c r="C74" s="10"/>
      <c r="D74" s="10"/>
      <c r="E74" s="10"/>
      <c r="F74" s="10"/>
      <c r="G74" s="10"/>
      <c r="H74" s="10"/>
    </row>
    <row r="75" spans="1:8" ht="14.25" customHeight="1" x14ac:dyDescent="0.35">
      <c r="A75" s="10"/>
      <c r="B75" s="10"/>
      <c r="C75" s="10"/>
      <c r="D75" s="10"/>
      <c r="E75" s="10"/>
      <c r="F75" s="10"/>
      <c r="G75" s="10"/>
      <c r="H75" s="10"/>
    </row>
    <row r="76" spans="1:8" ht="14.25" customHeight="1" x14ac:dyDescent="0.35">
      <c r="A76" s="10"/>
      <c r="B76" s="10"/>
      <c r="C76" s="10"/>
      <c r="D76" s="10"/>
      <c r="E76" s="10"/>
      <c r="F76" s="10"/>
      <c r="G76" s="10"/>
      <c r="H76" s="10"/>
    </row>
    <row r="77" spans="1:8" ht="14.25" customHeight="1" x14ac:dyDescent="0.35">
      <c r="A77" s="10"/>
      <c r="B77" s="10"/>
      <c r="C77" s="10"/>
      <c r="D77" s="10"/>
      <c r="E77" s="10"/>
      <c r="F77" s="10"/>
      <c r="G77" s="10"/>
      <c r="H77" s="10"/>
    </row>
    <row r="78" spans="1:8" ht="14.25" customHeight="1" x14ac:dyDescent="0.35">
      <c r="A78" s="10"/>
      <c r="B78" s="10"/>
      <c r="C78" s="10"/>
      <c r="D78" s="10"/>
      <c r="E78" s="10"/>
      <c r="F78" s="10"/>
      <c r="G78" s="10"/>
      <c r="H78" s="10"/>
    </row>
    <row r="79" spans="1:8" ht="14.25" customHeight="1" x14ac:dyDescent="0.35">
      <c r="A79" s="10"/>
      <c r="B79" s="10"/>
      <c r="C79" s="10"/>
      <c r="D79" s="10"/>
      <c r="E79" s="10"/>
      <c r="F79" s="10"/>
      <c r="G79" s="10"/>
      <c r="H79" s="10"/>
    </row>
    <row r="80" spans="1:8" ht="14.25" customHeight="1" x14ac:dyDescent="0.35">
      <c r="A80" s="10"/>
      <c r="B80" s="10"/>
      <c r="C80" s="10"/>
      <c r="D80" s="10"/>
      <c r="E80" s="10"/>
      <c r="F80" s="10"/>
      <c r="G80" s="10"/>
      <c r="H80" s="10"/>
    </row>
    <row r="81" spans="1:8" ht="14.25" customHeight="1" x14ac:dyDescent="0.35">
      <c r="A81" s="10"/>
      <c r="B81" s="10"/>
      <c r="C81" s="10"/>
      <c r="D81" s="10"/>
      <c r="E81" s="10"/>
      <c r="F81" s="10"/>
      <c r="G81" s="10"/>
      <c r="H81" s="10"/>
    </row>
    <row r="82" spans="1:8" ht="14.25" customHeight="1" x14ac:dyDescent="0.35">
      <c r="A82" s="10"/>
      <c r="B82" s="10"/>
      <c r="C82" s="10"/>
      <c r="D82" s="10"/>
      <c r="E82" s="10"/>
      <c r="F82" s="10"/>
      <c r="G82" s="10"/>
      <c r="H82" s="10"/>
    </row>
    <row r="83" spans="1:8" ht="14.25" customHeight="1" x14ac:dyDescent="0.35">
      <c r="A83" s="10"/>
      <c r="B83" s="10"/>
      <c r="C83" s="10"/>
      <c r="D83" s="10"/>
      <c r="E83" s="10"/>
      <c r="F83" s="10"/>
      <c r="G83" s="10"/>
      <c r="H83" s="10"/>
    </row>
    <row r="84" spans="1:8" ht="14.25" customHeight="1" x14ac:dyDescent="0.35">
      <c r="A84" s="10"/>
      <c r="B84" s="10"/>
      <c r="C84" s="10"/>
      <c r="D84" s="10"/>
      <c r="E84" s="10"/>
      <c r="F84" s="10"/>
      <c r="G84" s="10"/>
      <c r="H84" s="10"/>
    </row>
    <row r="85" spans="1:8" ht="14.25" customHeight="1" x14ac:dyDescent="0.35">
      <c r="A85" s="10"/>
      <c r="B85" s="10"/>
      <c r="C85" s="10"/>
      <c r="D85" s="10"/>
      <c r="E85" s="10"/>
      <c r="F85" s="10"/>
      <c r="G85" s="10"/>
      <c r="H85" s="10"/>
    </row>
    <row r="86" spans="1:8" ht="14.25" customHeight="1" x14ac:dyDescent="0.35">
      <c r="A86" s="10"/>
      <c r="B86" s="10"/>
      <c r="C86" s="10"/>
      <c r="D86" s="10"/>
      <c r="E86" s="10"/>
      <c r="F86" s="10"/>
      <c r="G86" s="10"/>
      <c r="H86" s="10"/>
    </row>
    <row r="87" spans="1:8" ht="14.25" customHeight="1" x14ac:dyDescent="0.35">
      <c r="A87" s="10"/>
      <c r="B87" s="10"/>
      <c r="C87" s="10"/>
      <c r="D87" s="10"/>
      <c r="E87" s="10"/>
      <c r="F87" s="10"/>
      <c r="G87" s="10"/>
      <c r="H87" s="10"/>
    </row>
    <row r="88" spans="1:8" ht="14.25" customHeight="1" x14ac:dyDescent="0.35">
      <c r="A88" s="10"/>
      <c r="B88" s="10"/>
      <c r="C88" s="10"/>
      <c r="D88" s="10"/>
      <c r="E88" s="10"/>
      <c r="F88" s="10"/>
      <c r="G88" s="10"/>
      <c r="H88" s="10"/>
    </row>
    <row r="89" spans="1:8" ht="14.25" customHeight="1" x14ac:dyDescent="0.35">
      <c r="A89" s="10"/>
      <c r="B89" s="10"/>
      <c r="C89" s="10"/>
      <c r="D89" s="10"/>
      <c r="E89" s="10"/>
      <c r="F89" s="10"/>
      <c r="G89" s="10"/>
      <c r="H89" s="10"/>
    </row>
    <row r="90" spans="1:8" ht="14.25" customHeight="1" x14ac:dyDescent="0.35">
      <c r="A90" s="10"/>
      <c r="B90" s="10"/>
      <c r="C90" s="10"/>
      <c r="D90" s="10"/>
      <c r="E90" s="10"/>
      <c r="F90" s="10"/>
      <c r="G90" s="10"/>
      <c r="H90" s="10"/>
    </row>
    <row r="91" spans="1:8" ht="14.25" customHeight="1" x14ac:dyDescent="0.35">
      <c r="A91" s="10"/>
      <c r="B91" s="10"/>
      <c r="C91" s="10"/>
      <c r="D91" s="10"/>
      <c r="E91" s="10"/>
      <c r="F91" s="10"/>
      <c r="G91" s="10"/>
      <c r="H91" s="10"/>
    </row>
    <row r="92" spans="1:8" ht="14.25" customHeight="1" x14ac:dyDescent="0.35">
      <c r="A92" s="10"/>
      <c r="B92" s="10"/>
      <c r="C92" s="10"/>
      <c r="D92" s="10"/>
      <c r="E92" s="10"/>
      <c r="F92" s="10"/>
      <c r="G92" s="10"/>
      <c r="H92" s="10"/>
    </row>
    <row r="93" spans="1:8" ht="14.25" customHeight="1" x14ac:dyDescent="0.35">
      <c r="A93" s="10"/>
      <c r="B93" s="10"/>
      <c r="C93" s="10"/>
      <c r="D93" s="10"/>
      <c r="E93" s="10"/>
      <c r="F93" s="10"/>
      <c r="G93" s="10"/>
      <c r="H93" s="10"/>
    </row>
    <row r="94" spans="1:8" ht="14.25" customHeight="1" x14ac:dyDescent="0.35">
      <c r="A94" s="10"/>
      <c r="B94" s="10"/>
      <c r="C94" s="10"/>
      <c r="D94" s="10"/>
      <c r="E94" s="10"/>
      <c r="F94" s="10"/>
      <c r="G94" s="10"/>
      <c r="H94" s="10"/>
    </row>
    <row r="95" spans="1:8" ht="14.25" customHeight="1" x14ac:dyDescent="0.35">
      <c r="A95" s="10"/>
      <c r="B95" s="10"/>
      <c r="C95" s="10"/>
      <c r="D95" s="10"/>
      <c r="E95" s="10"/>
      <c r="F95" s="10"/>
      <c r="G95" s="10"/>
      <c r="H95" s="10"/>
    </row>
    <row r="96" spans="1:8" ht="14.25" customHeight="1" x14ac:dyDescent="0.35">
      <c r="A96" s="10"/>
      <c r="B96" s="10"/>
      <c r="C96" s="10"/>
      <c r="D96" s="10"/>
      <c r="E96" s="10"/>
      <c r="F96" s="10"/>
      <c r="G96" s="10"/>
      <c r="H96" s="10"/>
    </row>
    <row r="97" spans="1:8" ht="14.25" customHeight="1" x14ac:dyDescent="0.35">
      <c r="A97" s="10"/>
      <c r="B97" s="10"/>
      <c r="C97" s="10"/>
      <c r="D97" s="10"/>
      <c r="E97" s="10"/>
      <c r="F97" s="10"/>
      <c r="G97" s="10"/>
      <c r="H97" s="10"/>
    </row>
    <row r="98" spans="1:8" ht="14.25" customHeight="1" x14ac:dyDescent="0.35">
      <c r="A98" s="10"/>
      <c r="B98" s="10"/>
      <c r="C98" s="10"/>
      <c r="D98" s="10"/>
      <c r="E98" s="10"/>
      <c r="F98" s="10"/>
      <c r="G98" s="10"/>
      <c r="H98" s="10"/>
    </row>
    <row r="99" spans="1:8" ht="14.25" customHeight="1" x14ac:dyDescent="0.35">
      <c r="A99" s="10"/>
      <c r="B99" s="10"/>
      <c r="C99" s="10"/>
      <c r="D99" s="10"/>
      <c r="E99" s="10"/>
      <c r="F99" s="10"/>
      <c r="G99" s="10"/>
      <c r="H99" s="10"/>
    </row>
    <row r="100" spans="1:8" ht="14.25" customHeight="1" x14ac:dyDescent="0.35">
      <c r="A100" s="10"/>
      <c r="B100" s="10"/>
      <c r="C100" s="10"/>
      <c r="D100" s="10"/>
      <c r="E100" s="10"/>
      <c r="F100" s="10"/>
      <c r="G100" s="10"/>
      <c r="H100" s="10"/>
    </row>
    <row r="101" spans="1:8" ht="14.25" customHeight="1" x14ac:dyDescent="0.35">
      <c r="A101" s="10"/>
      <c r="B101" s="10"/>
      <c r="C101" s="10"/>
      <c r="D101" s="10"/>
      <c r="E101" s="10"/>
      <c r="F101" s="10"/>
      <c r="G101" s="10"/>
      <c r="H101" s="10"/>
    </row>
    <row r="102" spans="1:8" ht="14.25" customHeight="1" x14ac:dyDescent="0.35">
      <c r="A102" s="10"/>
      <c r="B102" s="10"/>
      <c r="C102" s="10"/>
      <c r="D102" s="10"/>
      <c r="E102" s="10"/>
      <c r="F102" s="10"/>
      <c r="G102" s="10"/>
      <c r="H102" s="10"/>
    </row>
    <row r="103" spans="1:8" ht="14.25" customHeight="1" x14ac:dyDescent="0.35">
      <c r="A103" s="10"/>
      <c r="B103" s="10"/>
      <c r="C103" s="10"/>
      <c r="D103" s="10"/>
      <c r="E103" s="10"/>
      <c r="F103" s="10"/>
      <c r="G103" s="10"/>
      <c r="H103" s="10"/>
    </row>
    <row r="104" spans="1:8" ht="14.25" customHeight="1" x14ac:dyDescent="0.35">
      <c r="A104" s="10"/>
      <c r="B104" s="10"/>
      <c r="C104" s="10"/>
      <c r="D104" s="10"/>
      <c r="E104" s="10"/>
      <c r="F104" s="10"/>
      <c r="G104" s="10"/>
      <c r="H104" s="10"/>
    </row>
    <row r="105" spans="1:8" ht="14.25" customHeight="1" x14ac:dyDescent="0.35">
      <c r="A105" s="10"/>
      <c r="B105" s="10"/>
      <c r="C105" s="10"/>
      <c r="D105" s="10"/>
      <c r="E105" s="10"/>
      <c r="F105" s="10"/>
      <c r="G105" s="10"/>
      <c r="H105" s="10"/>
    </row>
    <row r="106" spans="1:8" ht="14.25" customHeight="1" x14ac:dyDescent="0.35">
      <c r="A106" s="10"/>
      <c r="B106" s="10"/>
      <c r="C106" s="10"/>
      <c r="D106" s="10"/>
      <c r="E106" s="10"/>
      <c r="F106" s="10"/>
      <c r="G106" s="10"/>
      <c r="H106" s="10"/>
    </row>
    <row r="107" spans="1:8" ht="14.25" customHeight="1" x14ac:dyDescent="0.35">
      <c r="A107" s="10"/>
      <c r="B107" s="10"/>
      <c r="C107" s="10"/>
      <c r="D107" s="10"/>
      <c r="E107" s="10"/>
      <c r="F107" s="10"/>
      <c r="G107" s="10"/>
      <c r="H107" s="10"/>
    </row>
    <row r="108" spans="1:8" ht="14.25" customHeight="1" x14ac:dyDescent="0.35">
      <c r="A108" s="10"/>
      <c r="B108" s="10"/>
      <c r="C108" s="10"/>
      <c r="D108" s="10"/>
      <c r="E108" s="10"/>
      <c r="F108" s="10"/>
      <c r="G108" s="10"/>
      <c r="H108" s="10"/>
    </row>
    <row r="109" spans="1:8" ht="14.25" customHeight="1" x14ac:dyDescent="0.35">
      <c r="A109" s="10"/>
      <c r="B109" s="10"/>
      <c r="C109" s="10"/>
      <c r="D109" s="10"/>
      <c r="E109" s="10"/>
      <c r="F109" s="10"/>
      <c r="G109" s="10"/>
      <c r="H109" s="10"/>
    </row>
    <row r="110" spans="1:8" ht="14.25" customHeight="1" x14ac:dyDescent="0.35">
      <c r="A110" s="10"/>
      <c r="B110" s="10"/>
      <c r="C110" s="10"/>
      <c r="D110" s="10"/>
      <c r="E110" s="10"/>
      <c r="F110" s="10"/>
      <c r="G110" s="10"/>
      <c r="H110" s="10"/>
    </row>
    <row r="111" spans="1:8" ht="14.25" customHeight="1" x14ac:dyDescent="0.35">
      <c r="A111" s="10"/>
      <c r="B111" s="10"/>
      <c r="C111" s="10"/>
      <c r="D111" s="10"/>
      <c r="E111" s="10"/>
      <c r="F111" s="10"/>
      <c r="G111" s="10"/>
      <c r="H111" s="10"/>
    </row>
    <row r="112" spans="1:8" ht="14.25" customHeight="1" x14ac:dyDescent="0.35">
      <c r="A112" s="10"/>
      <c r="B112" s="10"/>
      <c r="C112" s="10"/>
      <c r="D112" s="10"/>
      <c r="E112" s="10"/>
      <c r="F112" s="10"/>
      <c r="G112" s="10"/>
      <c r="H112" s="10"/>
    </row>
    <row r="113" spans="1:8" ht="14.25" customHeight="1" x14ac:dyDescent="0.35">
      <c r="A113" s="10"/>
      <c r="B113" s="10"/>
      <c r="C113" s="10"/>
      <c r="D113" s="10"/>
      <c r="E113" s="10"/>
      <c r="F113" s="10"/>
      <c r="G113" s="10"/>
      <c r="H113" s="10"/>
    </row>
    <row r="114" spans="1:8" ht="14.25" customHeight="1" x14ac:dyDescent="0.35">
      <c r="A114" s="10"/>
      <c r="B114" s="10"/>
      <c r="C114" s="10"/>
      <c r="D114" s="10"/>
      <c r="E114" s="10"/>
      <c r="F114" s="10"/>
      <c r="G114" s="10"/>
      <c r="H114" s="10"/>
    </row>
    <row r="115" spans="1:8" ht="14.25" customHeight="1" x14ac:dyDescent="0.35">
      <c r="A115" s="10"/>
      <c r="B115" s="10"/>
      <c r="C115" s="10"/>
      <c r="D115" s="10"/>
      <c r="E115" s="10"/>
      <c r="F115" s="10"/>
      <c r="G115" s="10"/>
      <c r="H115" s="10"/>
    </row>
    <row r="116" spans="1:8" ht="14.25" customHeight="1" x14ac:dyDescent="0.35">
      <c r="A116" s="10"/>
      <c r="B116" s="10"/>
      <c r="C116" s="10"/>
      <c r="D116" s="10"/>
      <c r="E116" s="10"/>
      <c r="F116" s="10"/>
      <c r="G116" s="10"/>
      <c r="H116" s="10"/>
    </row>
    <row r="117" spans="1:8" ht="14.25" customHeight="1" x14ac:dyDescent="0.35">
      <c r="A117" s="10"/>
      <c r="B117" s="10"/>
      <c r="C117" s="10"/>
      <c r="D117" s="10"/>
      <c r="E117" s="10"/>
      <c r="F117" s="10"/>
      <c r="G117" s="10"/>
      <c r="H117" s="10"/>
    </row>
    <row r="118" spans="1:8" ht="14.25" customHeight="1" x14ac:dyDescent="0.35">
      <c r="A118" s="10"/>
      <c r="B118" s="10"/>
      <c r="C118" s="10"/>
      <c r="D118" s="10"/>
      <c r="E118" s="10"/>
      <c r="F118" s="10"/>
      <c r="G118" s="10"/>
      <c r="H118" s="10"/>
    </row>
    <row r="119" spans="1:8" ht="14.25" customHeight="1" x14ac:dyDescent="0.35">
      <c r="A119" s="10"/>
      <c r="B119" s="10"/>
      <c r="C119" s="10"/>
      <c r="D119" s="10"/>
      <c r="E119" s="10"/>
      <c r="F119" s="10"/>
      <c r="G119" s="10"/>
      <c r="H119" s="10"/>
    </row>
    <row r="120" spans="1:8" ht="14.25" customHeight="1" x14ac:dyDescent="0.35">
      <c r="A120" s="10"/>
      <c r="B120" s="10"/>
      <c r="C120" s="10"/>
      <c r="D120" s="10"/>
      <c r="E120" s="10"/>
      <c r="F120" s="10"/>
      <c r="G120" s="10"/>
      <c r="H120" s="10"/>
    </row>
    <row r="121" spans="1:8" ht="14.25" customHeight="1" x14ac:dyDescent="0.35">
      <c r="A121" s="10"/>
      <c r="B121" s="10"/>
      <c r="C121" s="10"/>
      <c r="D121" s="10"/>
      <c r="E121" s="10"/>
      <c r="F121" s="10"/>
      <c r="G121" s="10"/>
      <c r="H121" s="10"/>
    </row>
    <row r="122" spans="1:8" ht="14.25" customHeight="1" x14ac:dyDescent="0.35">
      <c r="A122" s="10"/>
      <c r="B122" s="10"/>
      <c r="C122" s="10"/>
      <c r="D122" s="10"/>
      <c r="E122" s="10"/>
      <c r="F122" s="10"/>
      <c r="G122" s="10"/>
      <c r="H122" s="10"/>
    </row>
    <row r="123" spans="1:8" ht="14.25" customHeight="1" x14ac:dyDescent="0.35">
      <c r="A123" s="10"/>
      <c r="B123" s="10"/>
      <c r="C123" s="10"/>
      <c r="D123" s="10"/>
      <c r="E123" s="10"/>
      <c r="F123" s="10"/>
      <c r="G123" s="10"/>
      <c r="H123" s="10"/>
    </row>
    <row r="124" spans="1:8" ht="14.25" customHeight="1" x14ac:dyDescent="0.35">
      <c r="A124" s="10"/>
      <c r="B124" s="10"/>
      <c r="C124" s="10"/>
      <c r="D124" s="10"/>
      <c r="E124" s="10"/>
      <c r="F124" s="10"/>
      <c r="G124" s="10"/>
      <c r="H124" s="10"/>
    </row>
    <row r="125" spans="1:8" ht="14.25" customHeight="1" x14ac:dyDescent="0.35">
      <c r="A125" s="10"/>
      <c r="B125" s="10"/>
      <c r="C125" s="10"/>
      <c r="D125" s="10"/>
      <c r="E125" s="10"/>
      <c r="F125" s="10"/>
      <c r="G125" s="10"/>
      <c r="H125" s="10"/>
    </row>
    <row r="126" spans="1:8" ht="14.25" customHeight="1" x14ac:dyDescent="0.35">
      <c r="A126" s="10"/>
      <c r="B126" s="10"/>
      <c r="C126" s="10"/>
      <c r="D126" s="10"/>
      <c r="E126" s="10"/>
      <c r="F126" s="10"/>
      <c r="G126" s="10"/>
      <c r="H126" s="10"/>
    </row>
    <row r="127" spans="1:8" ht="14.25" customHeight="1" x14ac:dyDescent="0.35">
      <c r="A127" s="10"/>
      <c r="B127" s="10"/>
      <c r="C127" s="10"/>
      <c r="D127" s="10"/>
      <c r="E127" s="10"/>
      <c r="F127" s="10"/>
      <c r="G127" s="10"/>
      <c r="H127" s="10"/>
    </row>
    <row r="128" spans="1:8" ht="14.25" customHeight="1" x14ac:dyDescent="0.35">
      <c r="A128" s="10"/>
      <c r="B128" s="10"/>
      <c r="C128" s="10"/>
      <c r="D128" s="10"/>
      <c r="E128" s="10"/>
      <c r="F128" s="10"/>
      <c r="G128" s="10"/>
      <c r="H128" s="10"/>
    </row>
    <row r="129" spans="1:8" ht="14.25" customHeight="1" x14ac:dyDescent="0.35">
      <c r="A129" s="10"/>
      <c r="B129" s="10"/>
      <c r="C129" s="10"/>
      <c r="D129" s="10"/>
      <c r="E129" s="10"/>
      <c r="F129" s="10"/>
      <c r="G129" s="10"/>
      <c r="H129" s="10"/>
    </row>
    <row r="130" spans="1:8" ht="14.25" customHeight="1" x14ac:dyDescent="0.35">
      <c r="A130" s="10"/>
      <c r="B130" s="10"/>
      <c r="C130" s="10"/>
      <c r="D130" s="10"/>
      <c r="E130" s="10"/>
      <c r="F130" s="10"/>
      <c r="G130" s="10"/>
      <c r="H130" s="10"/>
    </row>
    <row r="131" spans="1:8" ht="14.25" customHeight="1" x14ac:dyDescent="0.35">
      <c r="A131" s="10"/>
      <c r="B131" s="10"/>
      <c r="C131" s="10"/>
      <c r="D131" s="10"/>
      <c r="E131" s="10"/>
      <c r="F131" s="10"/>
      <c r="G131" s="10"/>
      <c r="H131" s="10"/>
    </row>
    <row r="132" spans="1:8" ht="14.25" customHeight="1" x14ac:dyDescent="0.35">
      <c r="A132" s="10"/>
      <c r="B132" s="10"/>
      <c r="C132" s="10"/>
      <c r="D132" s="10"/>
      <c r="E132" s="10"/>
      <c r="F132" s="10"/>
      <c r="G132" s="10"/>
      <c r="H132" s="10"/>
    </row>
    <row r="133" spans="1:8" ht="14.25" customHeight="1" x14ac:dyDescent="0.35">
      <c r="A133" s="10"/>
      <c r="B133" s="10"/>
      <c r="C133" s="10"/>
      <c r="D133" s="10"/>
      <c r="E133" s="10"/>
      <c r="F133" s="10"/>
      <c r="G133" s="10"/>
      <c r="H133" s="10"/>
    </row>
    <row r="134" spans="1:8" ht="14.25" customHeight="1" x14ac:dyDescent="0.35">
      <c r="A134" s="10"/>
      <c r="B134" s="10"/>
      <c r="C134" s="10"/>
      <c r="D134" s="10"/>
      <c r="E134" s="10"/>
      <c r="F134" s="10"/>
      <c r="G134" s="10"/>
      <c r="H134" s="10"/>
    </row>
    <row r="135" spans="1:8" ht="14.25" customHeight="1" x14ac:dyDescent="0.35">
      <c r="A135" s="10"/>
      <c r="B135" s="10"/>
      <c r="C135" s="10"/>
      <c r="D135" s="10"/>
      <c r="E135" s="10"/>
      <c r="F135" s="10"/>
      <c r="G135" s="10"/>
      <c r="H135" s="10"/>
    </row>
    <row r="136" spans="1:8" ht="14.25" customHeight="1" x14ac:dyDescent="0.35">
      <c r="A136" s="10"/>
      <c r="B136" s="10"/>
      <c r="C136" s="10"/>
      <c r="D136" s="10"/>
      <c r="E136" s="10"/>
      <c r="F136" s="10"/>
      <c r="G136" s="10"/>
      <c r="H136" s="10"/>
    </row>
    <row r="137" spans="1:8" ht="14.25" customHeight="1" x14ac:dyDescent="0.35">
      <c r="A137" s="10"/>
      <c r="B137" s="10"/>
      <c r="C137" s="10"/>
      <c r="D137" s="10"/>
      <c r="E137" s="10"/>
      <c r="F137" s="10"/>
      <c r="G137" s="10"/>
      <c r="H137" s="10"/>
    </row>
    <row r="138" spans="1:8" ht="14.25" customHeight="1" x14ac:dyDescent="0.35">
      <c r="A138" s="10"/>
      <c r="B138" s="10"/>
      <c r="C138" s="10"/>
      <c r="D138" s="10"/>
      <c r="E138" s="10"/>
      <c r="F138" s="10"/>
      <c r="G138" s="10"/>
      <c r="H138" s="10"/>
    </row>
    <row r="139" spans="1:8" ht="14.25" customHeight="1" x14ac:dyDescent="0.35">
      <c r="A139" s="10"/>
      <c r="B139" s="10"/>
      <c r="C139" s="10"/>
      <c r="D139" s="10"/>
      <c r="E139" s="10"/>
      <c r="F139" s="10"/>
      <c r="G139" s="10"/>
      <c r="H139" s="10"/>
    </row>
    <row r="140" spans="1:8" ht="14.25" customHeight="1" x14ac:dyDescent="0.35">
      <c r="A140" s="10"/>
      <c r="B140" s="10"/>
      <c r="C140" s="10"/>
      <c r="D140" s="10"/>
      <c r="E140" s="10"/>
      <c r="F140" s="10"/>
      <c r="G140" s="10"/>
      <c r="H140" s="10"/>
    </row>
    <row r="141" spans="1:8" ht="14.25" customHeight="1" x14ac:dyDescent="0.35">
      <c r="A141" s="10"/>
      <c r="B141" s="10"/>
      <c r="C141" s="10"/>
      <c r="D141" s="10"/>
      <c r="E141" s="10"/>
      <c r="F141" s="10"/>
      <c r="G141" s="10"/>
      <c r="H141" s="10"/>
    </row>
    <row r="142" spans="1:8" ht="14.25" customHeight="1" x14ac:dyDescent="0.35">
      <c r="A142" s="10"/>
      <c r="B142" s="10"/>
      <c r="C142" s="10"/>
      <c r="D142" s="10"/>
      <c r="E142" s="10"/>
      <c r="F142" s="10"/>
      <c r="G142" s="10"/>
      <c r="H142" s="10"/>
    </row>
    <row r="143" spans="1:8" ht="14.25" customHeight="1" x14ac:dyDescent="0.35">
      <c r="A143" s="10"/>
      <c r="B143" s="10"/>
      <c r="C143" s="10"/>
      <c r="D143" s="10"/>
      <c r="E143" s="10"/>
      <c r="F143" s="10"/>
      <c r="G143" s="10"/>
      <c r="H143" s="10"/>
    </row>
    <row r="144" spans="1:8" ht="14.25" customHeight="1" x14ac:dyDescent="0.35">
      <c r="A144" s="10"/>
      <c r="B144" s="10"/>
      <c r="C144" s="10"/>
      <c r="D144" s="10"/>
      <c r="E144" s="10"/>
      <c r="F144" s="10"/>
      <c r="G144" s="10"/>
      <c r="H144" s="10"/>
    </row>
    <row r="145" spans="1:8" ht="14.25" customHeight="1" x14ac:dyDescent="0.35">
      <c r="A145" s="10"/>
      <c r="B145" s="10"/>
      <c r="C145" s="10"/>
      <c r="D145" s="10"/>
      <c r="E145" s="10"/>
      <c r="F145" s="10"/>
      <c r="G145" s="10"/>
      <c r="H145" s="10"/>
    </row>
    <row r="146" spans="1:8" ht="14.25" customHeight="1" x14ac:dyDescent="0.35">
      <c r="A146" s="10"/>
      <c r="B146" s="10"/>
      <c r="C146" s="10"/>
      <c r="D146" s="10"/>
      <c r="E146" s="10"/>
      <c r="F146" s="10"/>
      <c r="G146" s="10"/>
      <c r="H146" s="10"/>
    </row>
    <row r="147" spans="1:8" ht="14.25" customHeight="1" x14ac:dyDescent="0.35">
      <c r="A147" s="10"/>
      <c r="B147" s="10"/>
      <c r="C147" s="10"/>
      <c r="D147" s="10"/>
      <c r="E147" s="10"/>
      <c r="F147" s="10"/>
      <c r="G147" s="10"/>
      <c r="H147" s="10"/>
    </row>
    <row r="148" spans="1:8" ht="14.25" customHeight="1" x14ac:dyDescent="0.35">
      <c r="A148" s="10"/>
      <c r="B148" s="10"/>
      <c r="C148" s="10"/>
      <c r="D148" s="10"/>
      <c r="E148" s="10"/>
      <c r="F148" s="10"/>
      <c r="G148" s="10"/>
      <c r="H148" s="10"/>
    </row>
    <row r="149" spans="1:8" ht="14.25" customHeight="1" x14ac:dyDescent="0.35">
      <c r="A149" s="10"/>
      <c r="B149" s="10"/>
      <c r="C149" s="10"/>
      <c r="D149" s="10"/>
      <c r="E149" s="10"/>
      <c r="F149" s="10"/>
      <c r="G149" s="10"/>
      <c r="H149" s="10"/>
    </row>
    <row r="150" spans="1:8" ht="14.25" customHeight="1" x14ac:dyDescent="0.35">
      <c r="A150" s="10"/>
      <c r="B150" s="10"/>
      <c r="C150" s="10"/>
      <c r="D150" s="10"/>
      <c r="E150" s="10"/>
      <c r="F150" s="10"/>
      <c r="G150" s="10"/>
      <c r="H150" s="10"/>
    </row>
    <row r="151" spans="1:8" ht="14.25" customHeight="1" x14ac:dyDescent="0.35">
      <c r="A151" s="10"/>
      <c r="B151" s="10"/>
      <c r="C151" s="10"/>
      <c r="D151" s="10"/>
      <c r="E151" s="10"/>
      <c r="F151" s="10"/>
      <c r="G151" s="10"/>
      <c r="H151" s="10"/>
    </row>
    <row r="152" spans="1:8" ht="14.25" customHeight="1" x14ac:dyDescent="0.35">
      <c r="A152" s="10"/>
      <c r="B152" s="10"/>
      <c r="C152" s="10"/>
      <c r="D152" s="10"/>
      <c r="E152" s="10"/>
      <c r="F152" s="10"/>
      <c r="G152" s="10"/>
      <c r="H152" s="10"/>
    </row>
    <row r="153" spans="1:8" ht="14.25" customHeight="1" x14ac:dyDescent="0.35">
      <c r="A153" s="10"/>
      <c r="B153" s="10"/>
      <c r="C153" s="10"/>
      <c r="D153" s="10"/>
      <c r="E153" s="10"/>
      <c r="F153" s="10"/>
      <c r="G153" s="10"/>
      <c r="H153" s="10"/>
    </row>
    <row r="154" spans="1:8" ht="14.25" customHeight="1" x14ac:dyDescent="0.35">
      <c r="A154" s="10"/>
      <c r="B154" s="10"/>
      <c r="C154" s="10"/>
      <c r="D154" s="10"/>
      <c r="E154" s="10"/>
      <c r="F154" s="10"/>
      <c r="G154" s="10"/>
      <c r="H154" s="10"/>
    </row>
    <row r="155" spans="1:8" ht="14.25" customHeight="1" x14ac:dyDescent="0.35">
      <c r="A155" s="10"/>
      <c r="B155" s="10"/>
      <c r="C155" s="10"/>
      <c r="D155" s="10"/>
      <c r="E155" s="10"/>
      <c r="F155" s="10"/>
      <c r="G155" s="10"/>
      <c r="H155" s="10"/>
    </row>
    <row r="156" spans="1:8" ht="14.25" customHeight="1" x14ac:dyDescent="0.35">
      <c r="A156" s="10"/>
      <c r="B156" s="10"/>
      <c r="C156" s="10"/>
      <c r="D156" s="10"/>
      <c r="E156" s="10"/>
      <c r="F156" s="10"/>
      <c r="G156" s="10"/>
      <c r="H156" s="10"/>
    </row>
    <row r="157" spans="1:8" ht="14.25" customHeight="1" x14ac:dyDescent="0.35">
      <c r="A157" s="10"/>
      <c r="B157" s="10"/>
      <c r="C157" s="10"/>
      <c r="D157" s="10"/>
      <c r="E157" s="10"/>
      <c r="F157" s="10"/>
      <c r="G157" s="10"/>
      <c r="H157" s="10"/>
    </row>
    <row r="158" spans="1:8" ht="14.25" customHeight="1" x14ac:dyDescent="0.35">
      <c r="A158" s="10"/>
      <c r="B158" s="10"/>
      <c r="C158" s="10"/>
      <c r="D158" s="10"/>
      <c r="E158" s="10"/>
      <c r="F158" s="10"/>
      <c r="G158" s="10"/>
      <c r="H158" s="10"/>
    </row>
    <row r="159" spans="1:8" ht="14.25" customHeight="1" x14ac:dyDescent="0.35">
      <c r="A159" s="10"/>
      <c r="B159" s="10"/>
      <c r="C159" s="10"/>
      <c r="D159" s="10"/>
      <c r="E159" s="10"/>
      <c r="F159" s="10"/>
      <c r="G159" s="10"/>
      <c r="H159" s="10"/>
    </row>
    <row r="160" spans="1:8" ht="14.25" customHeight="1" x14ac:dyDescent="0.35">
      <c r="A160" s="10"/>
      <c r="B160" s="10"/>
      <c r="C160" s="10"/>
      <c r="D160" s="10"/>
      <c r="E160" s="10"/>
      <c r="F160" s="10"/>
      <c r="G160" s="10"/>
      <c r="H160" s="10"/>
    </row>
    <row r="161" spans="1:8" ht="14.25" customHeight="1" x14ac:dyDescent="0.35">
      <c r="A161" s="10"/>
      <c r="B161" s="10"/>
      <c r="C161" s="10"/>
      <c r="D161" s="10"/>
      <c r="E161" s="10"/>
      <c r="F161" s="10"/>
      <c r="G161" s="10"/>
      <c r="H161" s="10"/>
    </row>
    <row r="162" spans="1:8" ht="14.25" customHeight="1" x14ac:dyDescent="0.35">
      <c r="A162" s="10"/>
      <c r="B162" s="10"/>
      <c r="C162" s="10"/>
      <c r="D162" s="10"/>
      <c r="E162" s="10"/>
      <c r="F162" s="10"/>
      <c r="G162" s="10"/>
      <c r="H162" s="10"/>
    </row>
    <row r="163" spans="1:8" ht="14.25" customHeight="1" x14ac:dyDescent="0.35">
      <c r="A163" s="10"/>
      <c r="B163" s="10"/>
      <c r="C163" s="10"/>
      <c r="D163" s="10"/>
      <c r="E163" s="10"/>
      <c r="F163" s="10"/>
      <c r="G163" s="10"/>
      <c r="H163" s="10"/>
    </row>
    <row r="164" spans="1:8" ht="14.25" customHeight="1" x14ac:dyDescent="0.35">
      <c r="A164" s="10"/>
      <c r="B164" s="10"/>
      <c r="C164" s="10"/>
      <c r="D164" s="10"/>
      <c r="E164" s="10"/>
      <c r="F164" s="10"/>
      <c r="G164" s="10"/>
      <c r="H164" s="10"/>
    </row>
    <row r="165" spans="1:8" ht="14.25" customHeight="1" x14ac:dyDescent="0.35">
      <c r="A165" s="10"/>
      <c r="B165" s="10"/>
      <c r="C165" s="10"/>
      <c r="D165" s="10"/>
      <c r="E165" s="10"/>
      <c r="F165" s="10"/>
      <c r="G165" s="10"/>
      <c r="H165" s="10"/>
    </row>
    <row r="166" spans="1:8" ht="14.25" customHeight="1" x14ac:dyDescent="0.35">
      <c r="A166" s="10"/>
      <c r="B166" s="10"/>
      <c r="C166" s="10"/>
      <c r="D166" s="10"/>
      <c r="E166" s="10"/>
      <c r="F166" s="10"/>
      <c r="G166" s="10"/>
      <c r="H166" s="10"/>
    </row>
    <row r="167" spans="1:8" ht="14.25" customHeight="1" x14ac:dyDescent="0.35">
      <c r="A167" s="10"/>
      <c r="B167" s="10"/>
      <c r="C167" s="10"/>
      <c r="D167" s="10"/>
      <c r="E167" s="10"/>
      <c r="F167" s="10"/>
      <c r="G167" s="10"/>
      <c r="H167" s="10"/>
    </row>
    <row r="168" spans="1:8" ht="14.25" customHeight="1" x14ac:dyDescent="0.35">
      <c r="A168" s="10"/>
      <c r="B168" s="10"/>
      <c r="C168" s="10"/>
      <c r="D168" s="10"/>
      <c r="E168" s="10"/>
      <c r="F168" s="10"/>
      <c r="G168" s="10"/>
      <c r="H168" s="10"/>
    </row>
    <row r="169" spans="1:8" ht="14.25" customHeight="1" x14ac:dyDescent="0.35">
      <c r="A169" s="10"/>
      <c r="B169" s="10"/>
      <c r="C169" s="10"/>
      <c r="D169" s="10"/>
      <c r="E169" s="10"/>
      <c r="F169" s="10"/>
      <c r="G169" s="10"/>
      <c r="H169" s="10"/>
    </row>
    <row r="170" spans="1:8" ht="14.25" customHeight="1" x14ac:dyDescent="0.35">
      <c r="A170" s="10"/>
      <c r="B170" s="10"/>
      <c r="C170" s="10"/>
      <c r="D170" s="10"/>
      <c r="E170" s="10"/>
      <c r="F170" s="10"/>
      <c r="G170" s="10"/>
      <c r="H170" s="10"/>
    </row>
    <row r="171" spans="1:8" ht="14.25" customHeight="1" x14ac:dyDescent="0.35">
      <c r="A171" s="10"/>
      <c r="B171" s="10"/>
      <c r="C171" s="10"/>
      <c r="D171" s="10"/>
      <c r="E171" s="10"/>
      <c r="F171" s="10"/>
      <c r="G171" s="10"/>
      <c r="H171" s="10"/>
    </row>
    <row r="172" spans="1:8" ht="14.25" customHeight="1" x14ac:dyDescent="0.35">
      <c r="A172" s="10"/>
      <c r="B172" s="10"/>
      <c r="C172" s="10"/>
      <c r="D172" s="10"/>
      <c r="E172" s="10"/>
      <c r="F172" s="10"/>
      <c r="G172" s="10"/>
      <c r="H172" s="10"/>
    </row>
    <row r="173" spans="1:8" ht="14.25" customHeight="1" x14ac:dyDescent="0.35">
      <c r="A173" s="10"/>
      <c r="B173" s="10"/>
      <c r="C173" s="10"/>
      <c r="D173" s="10"/>
      <c r="E173" s="10"/>
      <c r="F173" s="10"/>
      <c r="G173" s="10"/>
      <c r="H173" s="10"/>
    </row>
    <row r="174" spans="1:8" ht="14.25" customHeight="1" x14ac:dyDescent="0.35">
      <c r="A174" s="10"/>
      <c r="B174" s="10"/>
      <c r="C174" s="10"/>
      <c r="D174" s="10"/>
      <c r="E174" s="10"/>
      <c r="F174" s="10"/>
      <c r="G174" s="10"/>
      <c r="H174" s="10"/>
    </row>
    <row r="175" spans="1:8" ht="14.25" customHeight="1" x14ac:dyDescent="0.35">
      <c r="A175" s="10"/>
      <c r="B175" s="10"/>
      <c r="C175" s="10"/>
      <c r="D175" s="10"/>
      <c r="E175" s="10"/>
      <c r="F175" s="10"/>
      <c r="G175" s="10"/>
      <c r="H175" s="10"/>
    </row>
    <row r="176" spans="1:8" ht="14.25" customHeight="1" x14ac:dyDescent="0.35">
      <c r="A176" s="10"/>
      <c r="B176" s="10"/>
      <c r="C176" s="10"/>
      <c r="D176" s="10"/>
      <c r="E176" s="10"/>
      <c r="F176" s="10"/>
      <c r="G176" s="10"/>
      <c r="H176" s="10"/>
    </row>
    <row r="177" spans="1:8" ht="14.25" customHeight="1" x14ac:dyDescent="0.35">
      <c r="A177" s="10"/>
      <c r="B177" s="10"/>
      <c r="C177" s="10"/>
      <c r="D177" s="10"/>
      <c r="E177" s="10"/>
      <c r="F177" s="10"/>
      <c r="G177" s="10"/>
      <c r="H177" s="10"/>
    </row>
    <row r="178" spans="1:8" ht="14.25" customHeight="1" x14ac:dyDescent="0.35">
      <c r="A178" s="10"/>
      <c r="B178" s="10"/>
      <c r="C178" s="10"/>
      <c r="D178" s="10"/>
      <c r="E178" s="10"/>
      <c r="F178" s="10"/>
      <c r="G178" s="10"/>
      <c r="H178" s="10"/>
    </row>
    <row r="179" spans="1:8" ht="14.25" customHeight="1" x14ac:dyDescent="0.35">
      <c r="A179" s="10"/>
      <c r="B179" s="10"/>
      <c r="C179" s="10"/>
      <c r="D179" s="10"/>
      <c r="E179" s="10"/>
      <c r="F179" s="10"/>
      <c r="G179" s="10"/>
      <c r="H179" s="10"/>
    </row>
    <row r="180" spans="1:8" ht="14.25" customHeight="1" x14ac:dyDescent="0.35">
      <c r="A180" s="10"/>
      <c r="B180" s="10"/>
      <c r="C180" s="10"/>
      <c r="D180" s="10"/>
      <c r="E180" s="10"/>
      <c r="F180" s="10"/>
      <c r="G180" s="10"/>
      <c r="H180" s="10"/>
    </row>
    <row r="181" spans="1:8" ht="14.25" customHeight="1" x14ac:dyDescent="0.35">
      <c r="A181" s="10"/>
      <c r="B181" s="10"/>
      <c r="C181" s="10"/>
      <c r="D181" s="10"/>
      <c r="E181" s="10"/>
      <c r="F181" s="10"/>
      <c r="G181" s="10"/>
      <c r="H181" s="10"/>
    </row>
    <row r="182" spans="1:8" ht="14.25" customHeight="1" x14ac:dyDescent="0.35">
      <c r="A182" s="10"/>
      <c r="B182" s="10"/>
      <c r="C182" s="10"/>
      <c r="D182" s="10"/>
      <c r="E182" s="10"/>
      <c r="F182" s="10"/>
      <c r="G182" s="10"/>
      <c r="H182" s="10"/>
    </row>
    <row r="183" spans="1:8" ht="14.25" customHeight="1" x14ac:dyDescent="0.35">
      <c r="A183" s="10"/>
      <c r="B183" s="10"/>
      <c r="C183" s="10"/>
      <c r="D183" s="10"/>
      <c r="E183" s="10"/>
      <c r="F183" s="10"/>
      <c r="G183" s="10"/>
      <c r="H183" s="10"/>
    </row>
    <row r="184" spans="1:8" ht="14.25" customHeight="1" x14ac:dyDescent="0.35">
      <c r="A184" s="10"/>
      <c r="B184" s="10"/>
      <c r="C184" s="10"/>
      <c r="D184" s="10"/>
      <c r="E184" s="10"/>
      <c r="F184" s="10"/>
      <c r="G184" s="10"/>
      <c r="H184" s="10"/>
    </row>
    <row r="185" spans="1:8" ht="14.25" customHeight="1" x14ac:dyDescent="0.35">
      <c r="A185" s="10"/>
      <c r="B185" s="10"/>
      <c r="C185" s="10"/>
      <c r="D185" s="10"/>
      <c r="E185" s="10"/>
      <c r="F185" s="10"/>
      <c r="G185" s="10"/>
      <c r="H185" s="10"/>
    </row>
    <row r="186" spans="1:8" ht="14.25" customHeight="1" x14ac:dyDescent="0.35">
      <c r="A186" s="10"/>
      <c r="B186" s="10"/>
      <c r="C186" s="10"/>
      <c r="D186" s="10"/>
      <c r="E186" s="10"/>
      <c r="F186" s="10"/>
      <c r="G186" s="10"/>
      <c r="H186" s="10"/>
    </row>
    <row r="187" spans="1:8" ht="14.25" customHeight="1" x14ac:dyDescent="0.35">
      <c r="A187" s="10"/>
      <c r="B187" s="10"/>
      <c r="C187" s="10"/>
      <c r="D187" s="10"/>
      <c r="E187" s="10"/>
      <c r="F187" s="10"/>
      <c r="G187" s="10"/>
      <c r="H187" s="10"/>
    </row>
    <row r="188" spans="1:8" ht="14.25" customHeight="1" x14ac:dyDescent="0.35">
      <c r="A188" s="10"/>
      <c r="B188" s="10"/>
      <c r="C188" s="10"/>
      <c r="D188" s="10"/>
      <c r="E188" s="10"/>
      <c r="F188" s="10"/>
      <c r="G188" s="10"/>
      <c r="H188" s="10"/>
    </row>
    <row r="189" spans="1:8" ht="14.25" customHeight="1" x14ac:dyDescent="0.35">
      <c r="A189" s="10"/>
      <c r="B189" s="10"/>
      <c r="C189" s="10"/>
      <c r="D189" s="10"/>
      <c r="E189" s="10"/>
      <c r="F189" s="10"/>
      <c r="G189" s="10"/>
      <c r="H189" s="10"/>
    </row>
    <row r="190" spans="1:8" ht="14.25" customHeight="1" x14ac:dyDescent="0.35">
      <c r="A190" s="10"/>
      <c r="B190" s="10"/>
      <c r="C190" s="10"/>
      <c r="D190" s="10"/>
      <c r="E190" s="10"/>
      <c r="F190" s="10"/>
      <c r="G190" s="10"/>
      <c r="H190" s="10"/>
    </row>
    <row r="191" spans="1:8" ht="14.25" customHeight="1" x14ac:dyDescent="0.35">
      <c r="A191" s="10"/>
      <c r="B191" s="10"/>
      <c r="C191" s="10"/>
      <c r="D191" s="10"/>
      <c r="E191" s="10"/>
      <c r="F191" s="10"/>
      <c r="G191" s="10"/>
      <c r="H191" s="10"/>
    </row>
    <row r="192" spans="1:8" ht="14.25" customHeight="1" x14ac:dyDescent="0.35">
      <c r="A192" s="10"/>
      <c r="B192" s="10"/>
      <c r="C192" s="10"/>
      <c r="D192" s="10"/>
      <c r="E192" s="10"/>
      <c r="F192" s="10"/>
      <c r="G192" s="10"/>
      <c r="H192" s="10"/>
    </row>
    <row r="193" spans="1:8" ht="14.25" customHeight="1" x14ac:dyDescent="0.35">
      <c r="A193" s="10"/>
      <c r="B193" s="10"/>
      <c r="C193" s="10"/>
      <c r="D193" s="10"/>
      <c r="E193" s="10"/>
      <c r="F193" s="10"/>
      <c r="G193" s="10"/>
      <c r="H193" s="10"/>
    </row>
    <row r="194" spans="1:8" ht="14.25" customHeight="1" x14ac:dyDescent="0.35">
      <c r="A194" s="10"/>
      <c r="B194" s="10"/>
      <c r="C194" s="10"/>
      <c r="D194" s="10"/>
      <c r="E194" s="10"/>
      <c r="F194" s="10"/>
      <c r="G194" s="10"/>
      <c r="H194" s="10"/>
    </row>
    <row r="195" spans="1:8" ht="14.25" customHeight="1" x14ac:dyDescent="0.35">
      <c r="A195" s="10"/>
      <c r="B195" s="10"/>
      <c r="C195" s="10"/>
      <c r="D195" s="10"/>
      <c r="E195" s="10"/>
      <c r="F195" s="10"/>
      <c r="G195" s="10"/>
      <c r="H195" s="10"/>
    </row>
    <row r="196" spans="1:8" ht="14.25" customHeight="1" x14ac:dyDescent="0.35">
      <c r="A196" s="10"/>
      <c r="B196" s="10"/>
      <c r="C196" s="10"/>
      <c r="D196" s="10"/>
      <c r="E196" s="10"/>
      <c r="F196" s="10"/>
      <c r="G196" s="10"/>
      <c r="H196" s="10"/>
    </row>
    <row r="197" spans="1:8" ht="14.25" customHeight="1" x14ac:dyDescent="0.35">
      <c r="A197" s="10"/>
      <c r="B197" s="10"/>
      <c r="C197" s="10"/>
      <c r="D197" s="10"/>
      <c r="E197" s="10"/>
      <c r="F197" s="10"/>
      <c r="G197" s="10"/>
      <c r="H197" s="10"/>
    </row>
    <row r="198" spans="1:8" ht="14.25" customHeight="1" x14ac:dyDescent="0.35">
      <c r="A198" s="10"/>
      <c r="B198" s="10"/>
      <c r="C198" s="10"/>
      <c r="D198" s="10"/>
      <c r="E198" s="10"/>
      <c r="F198" s="10"/>
      <c r="G198" s="10"/>
      <c r="H198" s="10"/>
    </row>
    <row r="199" spans="1:8" ht="14.25" customHeight="1" x14ac:dyDescent="0.35">
      <c r="A199" s="10"/>
      <c r="B199" s="10"/>
      <c r="C199" s="10"/>
      <c r="D199" s="10"/>
      <c r="E199" s="10"/>
      <c r="F199" s="10"/>
      <c r="G199" s="10"/>
      <c r="H199" s="10"/>
    </row>
    <row r="200" spans="1:8" ht="14.25" customHeight="1" x14ac:dyDescent="0.35">
      <c r="A200" s="10"/>
      <c r="B200" s="10"/>
      <c r="C200" s="10"/>
      <c r="D200" s="10"/>
      <c r="E200" s="10"/>
      <c r="F200" s="10"/>
      <c r="G200" s="10"/>
      <c r="H200" s="10"/>
    </row>
    <row r="201" spans="1:8" ht="14.25" customHeight="1" x14ac:dyDescent="0.35">
      <c r="A201" s="10"/>
      <c r="B201" s="10"/>
      <c r="C201" s="10"/>
      <c r="D201" s="10"/>
      <c r="E201" s="10"/>
      <c r="F201" s="10"/>
      <c r="G201" s="10"/>
      <c r="H201" s="10"/>
    </row>
    <row r="202" spans="1:8" ht="14.25" customHeight="1" x14ac:dyDescent="0.35">
      <c r="A202" s="10"/>
      <c r="B202" s="10"/>
      <c r="C202" s="10"/>
      <c r="D202" s="10"/>
      <c r="E202" s="10"/>
      <c r="F202" s="10"/>
      <c r="G202" s="10"/>
      <c r="H202" s="10"/>
    </row>
    <row r="203" spans="1:8" ht="14.25" customHeight="1" x14ac:dyDescent="0.35">
      <c r="A203" s="10"/>
      <c r="B203" s="10"/>
      <c r="C203" s="10"/>
      <c r="D203" s="10"/>
      <c r="E203" s="10"/>
      <c r="F203" s="10"/>
      <c r="G203" s="10"/>
      <c r="H203" s="10"/>
    </row>
    <row r="204" spans="1:8" ht="14.25" customHeight="1" x14ac:dyDescent="0.35">
      <c r="A204" s="10"/>
      <c r="B204" s="10"/>
      <c r="C204" s="10"/>
      <c r="D204" s="10"/>
      <c r="E204" s="10"/>
      <c r="F204" s="10"/>
      <c r="G204" s="10"/>
      <c r="H204" s="10"/>
    </row>
    <row r="205" spans="1:8" ht="14.25" customHeight="1" x14ac:dyDescent="0.35">
      <c r="A205" s="10"/>
      <c r="B205" s="10"/>
      <c r="C205" s="10"/>
      <c r="D205" s="10"/>
      <c r="E205" s="10"/>
      <c r="F205" s="10"/>
      <c r="G205" s="10"/>
      <c r="H205" s="10"/>
    </row>
    <row r="206" spans="1:8" ht="14.25" customHeight="1" x14ac:dyDescent="0.35">
      <c r="A206" s="10"/>
      <c r="B206" s="10"/>
      <c r="C206" s="10"/>
      <c r="D206" s="10"/>
      <c r="E206" s="10"/>
      <c r="F206" s="10"/>
      <c r="G206" s="10"/>
      <c r="H206" s="10"/>
    </row>
    <row r="207" spans="1:8" ht="14.25" customHeight="1" x14ac:dyDescent="0.35">
      <c r="A207" s="10"/>
      <c r="B207" s="10"/>
      <c r="C207" s="10"/>
      <c r="D207" s="10"/>
      <c r="E207" s="10"/>
      <c r="F207" s="10"/>
      <c r="G207" s="10"/>
      <c r="H207" s="10"/>
    </row>
    <row r="208" spans="1:8" ht="14.25" customHeight="1" x14ac:dyDescent="0.35">
      <c r="A208" s="10"/>
      <c r="B208" s="10"/>
      <c r="C208" s="10"/>
      <c r="D208" s="10"/>
      <c r="E208" s="10"/>
      <c r="F208" s="10"/>
      <c r="G208" s="10"/>
      <c r="H208" s="10"/>
    </row>
    <row r="209" spans="1:8" ht="14.25" customHeight="1" x14ac:dyDescent="0.35">
      <c r="A209" s="10"/>
      <c r="B209" s="10"/>
      <c r="C209" s="10"/>
      <c r="D209" s="10"/>
      <c r="E209" s="10"/>
      <c r="F209" s="10"/>
      <c r="G209" s="10"/>
      <c r="H209" s="10"/>
    </row>
    <row r="210" spans="1:8" ht="14.25" customHeight="1" x14ac:dyDescent="0.35">
      <c r="A210" s="10"/>
      <c r="B210" s="10"/>
      <c r="C210" s="10"/>
      <c r="D210" s="10"/>
      <c r="E210" s="10"/>
      <c r="F210" s="10"/>
      <c r="G210" s="10"/>
      <c r="H210" s="10"/>
    </row>
    <row r="211" spans="1:8" ht="14.25" customHeight="1" x14ac:dyDescent="0.35">
      <c r="A211" s="10"/>
      <c r="B211" s="10"/>
      <c r="C211" s="10"/>
      <c r="D211" s="10"/>
      <c r="E211" s="10"/>
      <c r="F211" s="10"/>
      <c r="G211" s="10"/>
      <c r="H211" s="10"/>
    </row>
    <row r="212" spans="1:8" ht="14.25" customHeight="1" x14ac:dyDescent="0.35">
      <c r="A212" s="10"/>
      <c r="B212" s="10"/>
      <c r="C212" s="10"/>
      <c r="D212" s="10"/>
      <c r="E212" s="10"/>
      <c r="F212" s="10"/>
      <c r="G212" s="10"/>
      <c r="H212" s="10"/>
    </row>
    <row r="213" spans="1:8" ht="14.25" customHeight="1" x14ac:dyDescent="0.35">
      <c r="A213" s="10"/>
      <c r="B213" s="10"/>
      <c r="C213" s="10"/>
      <c r="D213" s="10"/>
      <c r="E213" s="10"/>
      <c r="F213" s="10"/>
      <c r="G213" s="10"/>
      <c r="H213" s="10"/>
    </row>
    <row r="214" spans="1:8" ht="14.25" customHeight="1" x14ac:dyDescent="0.35">
      <c r="A214" s="10"/>
      <c r="B214" s="10"/>
      <c r="C214" s="10"/>
      <c r="D214" s="10"/>
      <c r="E214" s="10"/>
      <c r="F214" s="10"/>
      <c r="G214" s="10"/>
      <c r="H214" s="10"/>
    </row>
    <row r="215" spans="1:8" ht="14.25" customHeight="1" x14ac:dyDescent="0.35">
      <c r="A215" s="10"/>
      <c r="B215" s="10"/>
      <c r="C215" s="10"/>
      <c r="D215" s="10"/>
      <c r="E215" s="10"/>
      <c r="F215" s="10"/>
      <c r="G215" s="10"/>
      <c r="H215" s="10"/>
    </row>
    <row r="216" spans="1:8" ht="14.25" customHeight="1" x14ac:dyDescent="0.35">
      <c r="A216" s="10"/>
      <c r="B216" s="10"/>
      <c r="C216" s="10"/>
      <c r="D216" s="10"/>
      <c r="E216" s="10"/>
      <c r="F216" s="10"/>
      <c r="G216" s="10"/>
      <c r="H216" s="10"/>
    </row>
    <row r="217" spans="1:8" ht="14.25" customHeight="1" x14ac:dyDescent="0.35">
      <c r="A217" s="10"/>
      <c r="B217" s="10"/>
      <c r="C217" s="10"/>
      <c r="D217" s="10"/>
      <c r="E217" s="10"/>
      <c r="F217" s="10"/>
      <c r="G217" s="10"/>
      <c r="H217" s="10"/>
    </row>
    <row r="218" spans="1:8" ht="14.25" customHeight="1" x14ac:dyDescent="0.35">
      <c r="A218" s="10"/>
      <c r="B218" s="10"/>
      <c r="C218" s="10"/>
      <c r="D218" s="10"/>
      <c r="E218" s="10"/>
      <c r="F218" s="10"/>
      <c r="G218" s="10"/>
      <c r="H218" s="10"/>
    </row>
    <row r="219" spans="1:8" ht="14.25" customHeight="1" x14ac:dyDescent="0.35">
      <c r="A219" s="10"/>
      <c r="B219" s="10"/>
      <c r="C219" s="10"/>
      <c r="D219" s="10"/>
      <c r="E219" s="10"/>
      <c r="F219" s="10"/>
      <c r="G219" s="10"/>
      <c r="H219" s="10"/>
    </row>
    <row r="220" spans="1:8" ht="14.25" customHeight="1" x14ac:dyDescent="0.35">
      <c r="A220" s="10"/>
      <c r="B220" s="10"/>
      <c r="C220" s="10"/>
      <c r="D220" s="10"/>
      <c r="E220" s="10"/>
      <c r="F220" s="10"/>
      <c r="G220" s="10"/>
      <c r="H220" s="10"/>
    </row>
    <row r="221" spans="1:8" ht="14.25" customHeight="1" x14ac:dyDescent="0.35">
      <c r="A221" s="10"/>
      <c r="B221" s="10"/>
      <c r="C221" s="10"/>
      <c r="D221" s="10"/>
      <c r="E221" s="10"/>
      <c r="F221" s="10"/>
      <c r="G221" s="10"/>
      <c r="H221" s="10"/>
    </row>
    <row r="222" spans="1:8" ht="14.25" customHeight="1" x14ac:dyDescent="0.35">
      <c r="A222" s="10"/>
      <c r="B222" s="10"/>
      <c r="C222" s="10"/>
      <c r="D222" s="10"/>
      <c r="E222" s="10"/>
      <c r="F222" s="10"/>
      <c r="G222" s="10"/>
      <c r="H222" s="10"/>
    </row>
    <row r="223" spans="1:8" ht="14.25" customHeight="1" x14ac:dyDescent="0.35">
      <c r="A223" s="10"/>
      <c r="B223" s="10"/>
      <c r="C223" s="10"/>
      <c r="D223" s="10"/>
      <c r="E223" s="10"/>
      <c r="F223" s="10"/>
      <c r="G223" s="10"/>
      <c r="H223" s="10"/>
    </row>
    <row r="224" spans="1:8" ht="14.25" customHeight="1" x14ac:dyDescent="0.35">
      <c r="A224" s="10"/>
      <c r="B224" s="10"/>
      <c r="C224" s="10"/>
      <c r="D224" s="10"/>
      <c r="E224" s="10"/>
      <c r="F224" s="10"/>
      <c r="G224" s="10"/>
      <c r="H224" s="10"/>
    </row>
    <row r="225" spans="1:8" ht="14.25" customHeight="1" x14ac:dyDescent="0.35">
      <c r="A225" s="10"/>
      <c r="B225" s="10"/>
      <c r="C225" s="10"/>
      <c r="D225" s="10"/>
      <c r="E225" s="10"/>
      <c r="F225" s="10"/>
      <c r="G225" s="10"/>
      <c r="H225" s="10"/>
    </row>
    <row r="226" spans="1:8" ht="14.25" customHeight="1" x14ac:dyDescent="0.35">
      <c r="A226" s="10"/>
      <c r="B226" s="10"/>
      <c r="C226" s="10"/>
      <c r="D226" s="10"/>
      <c r="E226" s="10"/>
      <c r="F226" s="10"/>
      <c r="G226" s="10"/>
      <c r="H226" s="10"/>
    </row>
    <row r="227" spans="1:8" ht="14.25" customHeight="1" x14ac:dyDescent="0.35">
      <c r="A227" s="10"/>
      <c r="B227" s="10"/>
      <c r="C227" s="10"/>
      <c r="D227" s="10"/>
      <c r="E227" s="10"/>
      <c r="F227" s="10"/>
      <c r="G227" s="10"/>
      <c r="H227" s="10"/>
    </row>
    <row r="228" spans="1:8" ht="14.25" customHeight="1" x14ac:dyDescent="0.35">
      <c r="A228" s="10"/>
      <c r="B228" s="10"/>
      <c r="C228" s="10"/>
      <c r="D228" s="10"/>
      <c r="E228" s="10"/>
      <c r="F228" s="10"/>
      <c r="G228" s="10"/>
      <c r="H228" s="10"/>
    </row>
    <row r="229" spans="1:8" ht="14.25" customHeight="1" x14ac:dyDescent="0.35">
      <c r="A229" s="10"/>
      <c r="B229" s="10"/>
      <c r="C229" s="10"/>
      <c r="D229" s="10"/>
      <c r="E229" s="10"/>
      <c r="F229" s="10"/>
      <c r="G229" s="10"/>
      <c r="H229" s="10"/>
    </row>
    <row r="230" spans="1:8" ht="14.25" customHeight="1" x14ac:dyDescent="0.35">
      <c r="A230" s="10"/>
      <c r="B230" s="10"/>
      <c r="C230" s="10"/>
      <c r="D230" s="10"/>
      <c r="E230" s="10"/>
      <c r="F230" s="10"/>
      <c r="G230" s="10"/>
      <c r="H230" s="10"/>
    </row>
    <row r="231" spans="1:8" ht="14.25" customHeight="1" x14ac:dyDescent="0.35">
      <c r="A231" s="10"/>
      <c r="B231" s="10"/>
      <c r="C231" s="10"/>
      <c r="D231" s="10"/>
      <c r="E231" s="10"/>
      <c r="F231" s="10"/>
      <c r="G231" s="10"/>
      <c r="H231" s="10"/>
    </row>
    <row r="232" spans="1:8" ht="14.25" customHeight="1" x14ac:dyDescent="0.35">
      <c r="A232" s="10"/>
      <c r="B232" s="10"/>
      <c r="C232" s="10"/>
      <c r="D232" s="10"/>
      <c r="E232" s="10"/>
      <c r="F232" s="10"/>
      <c r="G232" s="10"/>
      <c r="H232" s="10"/>
    </row>
    <row r="233" spans="1:8" ht="14.25" customHeight="1" x14ac:dyDescent="0.35">
      <c r="A233" s="10"/>
      <c r="B233" s="10"/>
      <c r="C233" s="10"/>
      <c r="D233" s="10"/>
      <c r="E233" s="10"/>
      <c r="F233" s="10"/>
      <c r="G233" s="10"/>
      <c r="H233" s="10"/>
    </row>
    <row r="234" spans="1:8" ht="14.25" customHeight="1" x14ac:dyDescent="0.35">
      <c r="A234" s="10"/>
      <c r="B234" s="10"/>
      <c r="C234" s="10"/>
      <c r="D234" s="10"/>
      <c r="E234" s="10"/>
      <c r="F234" s="10"/>
      <c r="G234" s="10"/>
      <c r="H234" s="10"/>
    </row>
    <row r="235" spans="1:8" ht="14.25" customHeight="1" x14ac:dyDescent="0.35">
      <c r="A235" s="10"/>
      <c r="B235" s="10"/>
      <c r="C235" s="10"/>
      <c r="D235" s="10"/>
      <c r="E235" s="10"/>
      <c r="F235" s="10"/>
      <c r="G235" s="10"/>
      <c r="H235" s="10"/>
    </row>
    <row r="236" spans="1:8" ht="14.25" customHeight="1" x14ac:dyDescent="0.35">
      <c r="A236" s="10"/>
      <c r="B236" s="10"/>
      <c r="C236" s="10"/>
      <c r="D236" s="10"/>
      <c r="E236" s="10"/>
      <c r="F236" s="10"/>
      <c r="G236" s="10"/>
      <c r="H236" s="10"/>
    </row>
    <row r="237" spans="1:8" ht="14.25" customHeight="1" x14ac:dyDescent="0.35">
      <c r="A237" s="10"/>
      <c r="B237" s="10"/>
      <c r="C237" s="10"/>
      <c r="D237" s="10"/>
      <c r="E237" s="10"/>
      <c r="F237" s="10"/>
      <c r="G237" s="10"/>
      <c r="H237" s="10"/>
    </row>
    <row r="238" spans="1:8" ht="14.25" customHeight="1" x14ac:dyDescent="0.35">
      <c r="A238" s="10"/>
      <c r="B238" s="10"/>
      <c r="C238" s="10"/>
      <c r="D238" s="10"/>
      <c r="E238" s="10"/>
      <c r="F238" s="10"/>
      <c r="G238" s="10"/>
      <c r="H238" s="10"/>
    </row>
    <row r="239" spans="1:8" ht="14.25" customHeight="1" x14ac:dyDescent="0.35">
      <c r="A239" s="10"/>
      <c r="B239" s="10"/>
      <c r="C239" s="10"/>
      <c r="D239" s="10"/>
      <c r="E239" s="10"/>
      <c r="F239" s="10"/>
      <c r="G239" s="10"/>
      <c r="H239" s="10"/>
    </row>
    <row r="240" spans="1:8" ht="14.25" customHeight="1" x14ac:dyDescent="0.35">
      <c r="A240" s="10"/>
      <c r="B240" s="10"/>
      <c r="C240" s="10"/>
      <c r="D240" s="10"/>
      <c r="E240" s="10"/>
      <c r="F240" s="10"/>
      <c r="G240" s="10"/>
      <c r="H240" s="10"/>
    </row>
    <row r="241" spans="1:8" ht="14.25" customHeight="1" x14ac:dyDescent="0.35">
      <c r="A241" s="10"/>
      <c r="B241" s="10"/>
      <c r="C241" s="10"/>
      <c r="D241" s="10"/>
      <c r="E241" s="10"/>
      <c r="F241" s="10"/>
      <c r="G241" s="10"/>
      <c r="H241" s="10"/>
    </row>
    <row r="242" spans="1:8" ht="14.25" customHeight="1" x14ac:dyDescent="0.35">
      <c r="A242" s="10"/>
      <c r="B242" s="10"/>
      <c r="C242" s="10"/>
      <c r="D242" s="10"/>
      <c r="E242" s="10"/>
      <c r="F242" s="10"/>
      <c r="G242" s="10"/>
      <c r="H242" s="10"/>
    </row>
    <row r="243" spans="1:8" ht="14.25" customHeight="1" x14ac:dyDescent="0.35">
      <c r="A243" s="10"/>
      <c r="B243" s="10"/>
      <c r="C243" s="10"/>
      <c r="D243" s="10"/>
      <c r="E243" s="10"/>
      <c r="F243" s="10"/>
      <c r="G243" s="10"/>
      <c r="H243" s="10"/>
    </row>
    <row r="244" spans="1:8" ht="14.25" customHeight="1" x14ac:dyDescent="0.35">
      <c r="A244" s="10"/>
      <c r="B244" s="10"/>
      <c r="C244" s="10"/>
      <c r="D244" s="10"/>
      <c r="E244" s="10"/>
      <c r="F244" s="10"/>
      <c r="G244" s="10"/>
      <c r="H244" s="10"/>
    </row>
    <row r="245" spans="1:8" ht="14.25" customHeight="1" x14ac:dyDescent="0.35">
      <c r="A245" s="10"/>
      <c r="B245" s="10"/>
      <c r="C245" s="10"/>
      <c r="D245" s="10"/>
      <c r="E245" s="10"/>
      <c r="F245" s="10"/>
      <c r="G245" s="10"/>
      <c r="H245" s="10"/>
    </row>
    <row r="246" spans="1:8" ht="14.25" customHeight="1" x14ac:dyDescent="0.35">
      <c r="A246" s="10"/>
      <c r="B246" s="10"/>
      <c r="C246" s="10"/>
      <c r="D246" s="10"/>
      <c r="E246" s="10"/>
      <c r="F246" s="10"/>
      <c r="G246" s="10"/>
      <c r="H246" s="10"/>
    </row>
    <row r="247" spans="1:8" ht="14.25" customHeight="1" x14ac:dyDescent="0.35">
      <c r="A247" s="10"/>
      <c r="B247" s="10"/>
      <c r="C247" s="10"/>
      <c r="D247" s="10"/>
      <c r="E247" s="10"/>
      <c r="F247" s="10"/>
      <c r="G247" s="10"/>
      <c r="H247" s="10"/>
    </row>
    <row r="248" spans="1:8" ht="14.25" customHeight="1" x14ac:dyDescent="0.35">
      <c r="A248" s="10"/>
      <c r="B248" s="10"/>
      <c r="C248" s="10"/>
      <c r="D248" s="10"/>
      <c r="E248" s="10"/>
      <c r="F248" s="10"/>
      <c r="G248" s="10"/>
      <c r="H248" s="10"/>
    </row>
    <row r="249" spans="1:8" ht="14.25" customHeight="1" x14ac:dyDescent="0.35">
      <c r="A249" s="10"/>
      <c r="B249" s="10"/>
      <c r="C249" s="10"/>
      <c r="D249" s="10"/>
      <c r="E249" s="10"/>
      <c r="F249" s="10"/>
      <c r="G249" s="10"/>
      <c r="H249" s="10"/>
    </row>
    <row r="250" spans="1:8" ht="14.25" customHeight="1" x14ac:dyDescent="0.35">
      <c r="A250" s="10"/>
      <c r="B250" s="10"/>
      <c r="C250" s="10"/>
      <c r="D250" s="10"/>
      <c r="E250" s="10"/>
      <c r="F250" s="10"/>
      <c r="G250" s="10"/>
      <c r="H250" s="10"/>
    </row>
    <row r="251" spans="1:8" ht="14.25" customHeight="1" x14ac:dyDescent="0.35">
      <c r="A251" s="10"/>
      <c r="B251" s="10"/>
      <c r="C251" s="10"/>
      <c r="D251" s="10"/>
      <c r="E251" s="10"/>
      <c r="F251" s="10"/>
      <c r="G251" s="10"/>
      <c r="H251" s="10"/>
    </row>
    <row r="252" spans="1:8" ht="14.25" customHeight="1" x14ac:dyDescent="0.35">
      <c r="A252" s="10"/>
      <c r="B252" s="10"/>
      <c r="C252" s="10"/>
      <c r="D252" s="10"/>
      <c r="E252" s="10"/>
      <c r="F252" s="10"/>
      <c r="G252" s="10"/>
      <c r="H252" s="10"/>
    </row>
    <row r="253" spans="1:8" ht="14.25" customHeight="1" x14ac:dyDescent="0.35">
      <c r="A253" s="10"/>
      <c r="B253" s="10"/>
      <c r="C253" s="10"/>
      <c r="D253" s="10"/>
      <c r="E253" s="10"/>
      <c r="F253" s="10"/>
      <c r="G253" s="10"/>
      <c r="H253" s="10"/>
    </row>
    <row r="254" spans="1:8" ht="14.25" customHeight="1" x14ac:dyDescent="0.35">
      <c r="A254" s="10"/>
      <c r="B254" s="10"/>
      <c r="C254" s="10"/>
      <c r="D254" s="10"/>
      <c r="E254" s="10"/>
      <c r="F254" s="10"/>
      <c r="G254" s="10"/>
      <c r="H254" s="10"/>
    </row>
    <row r="255" spans="1:8" ht="14.25" customHeight="1" x14ac:dyDescent="0.35">
      <c r="A255" s="10"/>
      <c r="B255" s="10"/>
      <c r="C255" s="10"/>
      <c r="D255" s="10"/>
      <c r="E255" s="10"/>
      <c r="F255" s="10"/>
      <c r="G255" s="10"/>
      <c r="H255" s="10"/>
    </row>
    <row r="256" spans="1:8" ht="14.25" customHeight="1" x14ac:dyDescent="0.35">
      <c r="A256" s="10"/>
      <c r="B256" s="10"/>
      <c r="C256" s="10"/>
      <c r="D256" s="10"/>
      <c r="E256" s="10"/>
      <c r="F256" s="10"/>
      <c r="G256" s="10"/>
      <c r="H256" s="10"/>
    </row>
    <row r="257" spans="1:8" ht="14.25" customHeight="1" x14ac:dyDescent="0.35">
      <c r="A257" s="10"/>
      <c r="B257" s="10"/>
      <c r="C257" s="10"/>
      <c r="D257" s="10"/>
      <c r="E257" s="10"/>
      <c r="F257" s="10"/>
      <c r="G257" s="10"/>
      <c r="H257" s="10"/>
    </row>
    <row r="258" spans="1:8" ht="14.25" customHeight="1" x14ac:dyDescent="0.35">
      <c r="A258" s="10"/>
      <c r="B258" s="10"/>
      <c r="C258" s="10"/>
      <c r="D258" s="10"/>
      <c r="E258" s="10"/>
      <c r="F258" s="10"/>
      <c r="G258" s="10"/>
      <c r="H258" s="10"/>
    </row>
    <row r="259" spans="1:8" ht="14.25" customHeight="1" x14ac:dyDescent="0.35">
      <c r="A259" s="10"/>
      <c r="B259" s="10"/>
      <c r="C259" s="10"/>
      <c r="D259" s="10"/>
      <c r="E259" s="10"/>
      <c r="F259" s="10"/>
      <c r="G259" s="10"/>
      <c r="H259" s="10"/>
    </row>
    <row r="260" spans="1:8" ht="14.25" customHeight="1" x14ac:dyDescent="0.35">
      <c r="A260" s="10"/>
      <c r="B260" s="10"/>
      <c r="C260" s="10"/>
      <c r="D260" s="10"/>
      <c r="E260" s="10"/>
      <c r="F260" s="10"/>
      <c r="G260" s="10"/>
      <c r="H260" s="10"/>
    </row>
    <row r="261" spans="1:8" ht="14.25" customHeight="1" x14ac:dyDescent="0.35">
      <c r="A261" s="10"/>
      <c r="B261" s="10"/>
      <c r="C261" s="10"/>
      <c r="D261" s="10"/>
      <c r="E261" s="10"/>
      <c r="F261" s="10"/>
      <c r="G261" s="10"/>
      <c r="H261" s="10"/>
    </row>
    <row r="262" spans="1:8" ht="14.25" customHeight="1" x14ac:dyDescent="0.35">
      <c r="A262" s="10"/>
      <c r="B262" s="10"/>
      <c r="C262" s="10"/>
      <c r="D262" s="10"/>
      <c r="E262" s="10"/>
      <c r="F262" s="10"/>
      <c r="G262" s="10"/>
      <c r="H262" s="10"/>
    </row>
    <row r="263" spans="1:8" ht="14.25" customHeight="1" x14ac:dyDescent="0.35">
      <c r="A263" s="10"/>
      <c r="B263" s="10"/>
      <c r="C263" s="10"/>
      <c r="D263" s="10"/>
      <c r="E263" s="10"/>
      <c r="F263" s="10"/>
      <c r="G263" s="10"/>
      <c r="H263" s="10"/>
    </row>
    <row r="264" spans="1:8" ht="14.25" customHeight="1" x14ac:dyDescent="0.35">
      <c r="A264" s="10"/>
      <c r="B264" s="10"/>
      <c r="C264" s="10"/>
      <c r="D264" s="10"/>
      <c r="E264" s="10"/>
      <c r="F264" s="10"/>
      <c r="G264" s="10"/>
      <c r="H264" s="10"/>
    </row>
    <row r="265" spans="1:8" ht="14.25" customHeight="1" x14ac:dyDescent="0.35">
      <c r="A265" s="10"/>
      <c r="B265" s="10"/>
      <c r="C265" s="10"/>
      <c r="D265" s="10"/>
      <c r="E265" s="10"/>
      <c r="F265" s="10"/>
      <c r="G265" s="10"/>
      <c r="H265" s="10"/>
    </row>
    <row r="266" spans="1:8" ht="14.25" customHeight="1" x14ac:dyDescent="0.35">
      <c r="A266" s="10"/>
      <c r="B266" s="10"/>
      <c r="C266" s="10"/>
      <c r="D266" s="10"/>
      <c r="E266" s="10"/>
      <c r="F266" s="10"/>
      <c r="G266" s="10"/>
      <c r="H266" s="10"/>
    </row>
    <row r="267" spans="1:8" ht="14.25" customHeight="1" x14ac:dyDescent="0.35">
      <c r="A267" s="10"/>
      <c r="B267" s="10"/>
      <c r="C267" s="10"/>
      <c r="D267" s="10"/>
      <c r="E267" s="10"/>
      <c r="F267" s="10"/>
      <c r="G267" s="10"/>
      <c r="H267" s="10"/>
    </row>
    <row r="268" spans="1:8" ht="14.25" customHeight="1" x14ac:dyDescent="0.35">
      <c r="A268" s="10"/>
      <c r="B268" s="10"/>
      <c r="C268" s="10"/>
      <c r="D268" s="10"/>
      <c r="E268" s="10"/>
      <c r="F268" s="10"/>
      <c r="G268" s="10"/>
      <c r="H268" s="10"/>
    </row>
    <row r="269" spans="1:8" ht="14.25" customHeight="1" x14ac:dyDescent="0.35">
      <c r="A269" s="10"/>
      <c r="B269" s="10"/>
      <c r="C269" s="10"/>
      <c r="D269" s="10"/>
      <c r="E269" s="10"/>
      <c r="F269" s="10"/>
      <c r="G269" s="10"/>
      <c r="H269" s="10"/>
    </row>
    <row r="270" spans="1:8" ht="14.25" customHeight="1" x14ac:dyDescent="0.35">
      <c r="A270" s="10"/>
      <c r="B270" s="10"/>
      <c r="C270" s="10"/>
      <c r="D270" s="10"/>
      <c r="E270" s="10"/>
      <c r="F270" s="10"/>
      <c r="G270" s="10"/>
      <c r="H270" s="10"/>
    </row>
    <row r="271" spans="1:8" ht="14.25" customHeight="1" x14ac:dyDescent="0.35">
      <c r="A271" s="10"/>
      <c r="B271" s="10"/>
      <c r="C271" s="10"/>
      <c r="D271" s="10"/>
      <c r="E271" s="10"/>
      <c r="F271" s="10"/>
      <c r="G271" s="10"/>
      <c r="H271" s="10"/>
    </row>
    <row r="272" spans="1:8" ht="14.25" customHeight="1" x14ac:dyDescent="0.35">
      <c r="A272" s="10"/>
      <c r="B272" s="10"/>
      <c r="C272" s="10"/>
      <c r="D272" s="10"/>
      <c r="E272" s="10"/>
      <c r="F272" s="10"/>
      <c r="G272" s="10"/>
      <c r="H272" s="10"/>
    </row>
    <row r="273" spans="1:8" ht="14.25" customHeight="1" x14ac:dyDescent="0.35">
      <c r="A273" s="10"/>
      <c r="B273" s="10"/>
      <c r="C273" s="10"/>
      <c r="D273" s="10"/>
      <c r="E273" s="10"/>
      <c r="F273" s="10"/>
      <c r="G273" s="10"/>
      <c r="H273" s="10"/>
    </row>
    <row r="274" spans="1:8" ht="14.25" customHeight="1" x14ac:dyDescent="0.35">
      <c r="A274" s="10"/>
      <c r="B274" s="10"/>
      <c r="C274" s="10"/>
      <c r="D274" s="10"/>
      <c r="E274" s="10"/>
      <c r="F274" s="10"/>
      <c r="G274" s="10"/>
      <c r="H274" s="10"/>
    </row>
    <row r="275" spans="1:8" ht="14.25" customHeight="1" x14ac:dyDescent="0.35">
      <c r="A275" s="10"/>
      <c r="B275" s="10"/>
      <c r="C275" s="10"/>
      <c r="D275" s="10"/>
      <c r="E275" s="10"/>
      <c r="F275" s="10"/>
      <c r="G275" s="10"/>
      <c r="H275" s="10"/>
    </row>
    <row r="276" spans="1:8" ht="14.25" customHeight="1" x14ac:dyDescent="0.35">
      <c r="A276" s="10"/>
      <c r="B276" s="10"/>
      <c r="C276" s="10"/>
      <c r="D276" s="10"/>
      <c r="E276" s="10"/>
      <c r="F276" s="10"/>
      <c r="G276" s="10"/>
      <c r="H276" s="10"/>
    </row>
    <row r="277" spans="1:8" ht="14.25" customHeight="1" x14ac:dyDescent="0.35">
      <c r="A277" s="10"/>
      <c r="B277" s="10"/>
      <c r="C277" s="10"/>
      <c r="D277" s="10"/>
      <c r="E277" s="10"/>
      <c r="F277" s="10"/>
      <c r="G277" s="10"/>
      <c r="H277" s="10"/>
    </row>
    <row r="278" spans="1:8" ht="14.25" customHeight="1" x14ac:dyDescent="0.35">
      <c r="A278" s="10"/>
      <c r="B278" s="10"/>
      <c r="C278" s="10"/>
      <c r="D278" s="10"/>
      <c r="E278" s="10"/>
      <c r="F278" s="10"/>
      <c r="G278" s="10"/>
      <c r="H278" s="10"/>
    </row>
    <row r="279" spans="1:8" ht="14.25" customHeight="1" x14ac:dyDescent="0.35">
      <c r="A279" s="10"/>
      <c r="B279" s="10"/>
      <c r="C279" s="10"/>
      <c r="D279" s="10"/>
      <c r="E279" s="10"/>
      <c r="F279" s="10"/>
      <c r="G279" s="10"/>
      <c r="H279" s="10"/>
    </row>
    <row r="280" spans="1:8" ht="14.25" customHeight="1" x14ac:dyDescent="0.35">
      <c r="A280" s="10"/>
      <c r="B280" s="10"/>
      <c r="C280" s="10"/>
      <c r="D280" s="10"/>
      <c r="E280" s="10"/>
      <c r="F280" s="10"/>
      <c r="G280" s="10"/>
      <c r="H280" s="10"/>
    </row>
    <row r="281" spans="1:8" ht="14.25" customHeight="1" x14ac:dyDescent="0.35">
      <c r="A281" s="10"/>
      <c r="B281" s="10"/>
      <c r="C281" s="10"/>
      <c r="D281" s="10"/>
      <c r="E281" s="10"/>
      <c r="F281" s="10"/>
      <c r="G281" s="10"/>
      <c r="H281" s="10"/>
    </row>
    <row r="282" spans="1:8" ht="14.25" customHeight="1" x14ac:dyDescent="0.35">
      <c r="A282" s="10"/>
      <c r="B282" s="10"/>
      <c r="C282" s="10"/>
      <c r="D282" s="10"/>
      <c r="E282" s="10"/>
      <c r="F282" s="10"/>
      <c r="G282" s="10"/>
      <c r="H282" s="10"/>
    </row>
    <row r="283" spans="1:8" ht="14.25" customHeight="1" x14ac:dyDescent="0.35">
      <c r="A283" s="10"/>
      <c r="B283" s="10"/>
      <c r="C283" s="10"/>
      <c r="D283" s="10"/>
      <c r="E283" s="10"/>
      <c r="F283" s="10"/>
      <c r="G283" s="10"/>
      <c r="H283" s="10"/>
    </row>
    <row r="284" spans="1:8" ht="14.25" customHeight="1" x14ac:dyDescent="0.35">
      <c r="A284" s="10"/>
      <c r="B284" s="10"/>
      <c r="C284" s="10"/>
      <c r="D284" s="10"/>
      <c r="E284" s="10"/>
      <c r="F284" s="10"/>
      <c r="G284" s="10"/>
      <c r="H284" s="10"/>
    </row>
    <row r="285" spans="1:8" ht="14.25" customHeight="1" x14ac:dyDescent="0.35">
      <c r="A285" s="10"/>
      <c r="B285" s="10"/>
      <c r="C285" s="10"/>
      <c r="D285" s="10"/>
      <c r="E285" s="10"/>
      <c r="F285" s="10"/>
      <c r="G285" s="10"/>
      <c r="H285" s="10"/>
    </row>
    <row r="286" spans="1:8" ht="14.25" customHeight="1" x14ac:dyDescent="0.35">
      <c r="A286" s="10"/>
      <c r="B286" s="10"/>
      <c r="C286" s="10"/>
      <c r="D286" s="10"/>
      <c r="E286" s="10"/>
      <c r="F286" s="10"/>
      <c r="G286" s="10"/>
      <c r="H286" s="10"/>
    </row>
    <row r="287" spans="1:8" ht="14.25" customHeight="1" x14ac:dyDescent="0.35">
      <c r="A287" s="10"/>
      <c r="B287" s="10"/>
      <c r="C287" s="10"/>
      <c r="D287" s="10"/>
      <c r="E287" s="10"/>
      <c r="F287" s="10"/>
      <c r="G287" s="10"/>
      <c r="H287" s="10"/>
    </row>
    <row r="288" spans="1:8" ht="14.25" customHeight="1" x14ac:dyDescent="0.35">
      <c r="A288" s="10"/>
      <c r="B288" s="10"/>
      <c r="C288" s="10"/>
      <c r="D288" s="10"/>
      <c r="E288" s="10"/>
      <c r="F288" s="10"/>
      <c r="G288" s="10"/>
      <c r="H288" s="10"/>
    </row>
    <row r="289" spans="1:8" ht="14.25" customHeight="1" x14ac:dyDescent="0.35">
      <c r="A289" s="10"/>
      <c r="B289" s="10"/>
      <c r="C289" s="10"/>
      <c r="D289" s="10"/>
      <c r="E289" s="10"/>
      <c r="F289" s="10"/>
      <c r="G289" s="10"/>
      <c r="H289" s="10"/>
    </row>
    <row r="290" spans="1:8" ht="14.25" customHeight="1" x14ac:dyDescent="0.35">
      <c r="A290" s="10"/>
      <c r="B290" s="10"/>
      <c r="C290" s="10"/>
      <c r="D290" s="10"/>
      <c r="E290" s="10"/>
      <c r="F290" s="10"/>
      <c r="G290" s="10"/>
      <c r="H290" s="10"/>
    </row>
    <row r="291" spans="1:8" ht="14.25" customHeight="1" x14ac:dyDescent="0.35">
      <c r="A291" s="10"/>
      <c r="B291" s="10"/>
      <c r="C291" s="10"/>
      <c r="D291" s="10"/>
      <c r="E291" s="10"/>
      <c r="F291" s="10"/>
      <c r="G291" s="10"/>
      <c r="H291" s="10"/>
    </row>
    <row r="292" spans="1:8" ht="14.25" customHeight="1" x14ac:dyDescent="0.35">
      <c r="A292" s="10"/>
      <c r="B292" s="10"/>
      <c r="C292" s="10"/>
      <c r="D292" s="10"/>
      <c r="E292" s="10"/>
      <c r="F292" s="10"/>
      <c r="G292" s="10"/>
      <c r="H292" s="10"/>
    </row>
    <row r="293" spans="1:8" ht="14.25" customHeight="1" x14ac:dyDescent="0.35">
      <c r="A293" s="10"/>
      <c r="B293" s="10"/>
      <c r="C293" s="10"/>
      <c r="D293" s="10"/>
      <c r="E293" s="10"/>
      <c r="F293" s="10"/>
      <c r="G293" s="10"/>
      <c r="H293" s="10"/>
    </row>
    <row r="294" spans="1:8" ht="14.25" customHeight="1" x14ac:dyDescent="0.35">
      <c r="A294" s="10"/>
      <c r="B294" s="10"/>
      <c r="C294" s="10"/>
      <c r="D294" s="10"/>
      <c r="E294" s="10"/>
      <c r="F294" s="10"/>
      <c r="G294" s="10"/>
      <c r="H294" s="10"/>
    </row>
    <row r="295" spans="1:8" ht="14.25" customHeight="1" x14ac:dyDescent="0.35">
      <c r="A295" s="10"/>
      <c r="B295" s="10"/>
      <c r="C295" s="10"/>
      <c r="D295" s="10"/>
      <c r="E295" s="10"/>
      <c r="F295" s="10"/>
      <c r="G295" s="10"/>
      <c r="H295" s="10"/>
    </row>
    <row r="296" spans="1:8" ht="14.25" customHeight="1" x14ac:dyDescent="0.35">
      <c r="A296" s="10"/>
      <c r="B296" s="10"/>
      <c r="C296" s="10"/>
      <c r="D296" s="10"/>
      <c r="E296" s="10"/>
      <c r="F296" s="10"/>
      <c r="G296" s="10"/>
      <c r="H296" s="10"/>
    </row>
    <row r="297" spans="1:8" ht="14.25" customHeight="1" x14ac:dyDescent="0.35">
      <c r="A297" s="10"/>
      <c r="B297" s="10"/>
      <c r="C297" s="10"/>
      <c r="D297" s="10"/>
      <c r="E297" s="10"/>
      <c r="F297" s="10"/>
      <c r="G297" s="10"/>
      <c r="H297" s="10"/>
    </row>
    <row r="298" spans="1:8" ht="14.25" customHeight="1" x14ac:dyDescent="0.35">
      <c r="A298" s="10"/>
      <c r="B298" s="10"/>
      <c r="C298" s="10"/>
      <c r="D298" s="10"/>
      <c r="E298" s="10"/>
      <c r="F298" s="10"/>
      <c r="G298" s="10"/>
      <c r="H298" s="10"/>
    </row>
    <row r="299" spans="1:8" ht="14.25" customHeight="1" x14ac:dyDescent="0.35">
      <c r="A299" s="10"/>
      <c r="B299" s="10"/>
      <c r="C299" s="10"/>
      <c r="D299" s="10"/>
      <c r="E299" s="10"/>
      <c r="F299" s="10"/>
      <c r="G299" s="10"/>
      <c r="H299" s="10"/>
    </row>
    <row r="300" spans="1:8" ht="14.25" customHeight="1" x14ac:dyDescent="0.35">
      <c r="A300" s="10"/>
      <c r="B300" s="10"/>
      <c r="C300" s="10"/>
      <c r="D300" s="10"/>
      <c r="E300" s="10"/>
      <c r="F300" s="10"/>
      <c r="G300" s="10"/>
      <c r="H300" s="10"/>
    </row>
    <row r="301" spans="1:8" ht="14.25" customHeight="1" x14ac:dyDescent="0.35">
      <c r="A301" s="10"/>
      <c r="B301" s="10"/>
      <c r="C301" s="10"/>
      <c r="D301" s="10"/>
      <c r="E301" s="10"/>
      <c r="F301" s="10"/>
      <c r="G301" s="10"/>
      <c r="H301" s="10"/>
    </row>
    <row r="302" spans="1:8" ht="14.25" customHeight="1" x14ac:dyDescent="0.35">
      <c r="A302" s="10"/>
      <c r="B302" s="10"/>
      <c r="C302" s="10"/>
      <c r="D302" s="10"/>
      <c r="E302" s="10"/>
      <c r="F302" s="10"/>
      <c r="G302" s="10"/>
      <c r="H302" s="10"/>
    </row>
    <row r="303" spans="1:8" ht="14.25" customHeight="1" x14ac:dyDescent="0.35">
      <c r="A303" s="10"/>
      <c r="B303" s="10"/>
      <c r="C303" s="10"/>
      <c r="D303" s="10"/>
      <c r="E303" s="10"/>
      <c r="F303" s="10"/>
      <c r="G303" s="10"/>
      <c r="H303" s="10"/>
    </row>
    <row r="304" spans="1:8" ht="14.25" customHeight="1" x14ac:dyDescent="0.35">
      <c r="A304" s="10"/>
      <c r="B304" s="10"/>
      <c r="C304" s="10"/>
      <c r="D304" s="10"/>
      <c r="E304" s="10"/>
      <c r="F304" s="10"/>
      <c r="G304" s="10"/>
      <c r="H304" s="10"/>
    </row>
    <row r="305" spans="1:8" ht="14.25" customHeight="1" x14ac:dyDescent="0.35">
      <c r="A305" s="10"/>
      <c r="B305" s="10"/>
      <c r="C305" s="10"/>
      <c r="D305" s="10"/>
      <c r="E305" s="10"/>
      <c r="F305" s="10"/>
      <c r="G305" s="10"/>
      <c r="H305" s="10"/>
    </row>
    <row r="306" spans="1:8" ht="14.25" customHeight="1" x14ac:dyDescent="0.35">
      <c r="A306" s="10"/>
      <c r="B306" s="10"/>
      <c r="C306" s="10"/>
      <c r="D306" s="10"/>
      <c r="E306" s="10"/>
      <c r="F306" s="10"/>
      <c r="G306" s="10"/>
      <c r="H306" s="10"/>
    </row>
    <row r="307" spans="1:8" ht="14.25" customHeight="1" x14ac:dyDescent="0.35">
      <c r="A307" s="10"/>
      <c r="B307" s="10"/>
      <c r="C307" s="10"/>
      <c r="D307" s="10"/>
      <c r="E307" s="10"/>
      <c r="F307" s="10"/>
      <c r="G307" s="10"/>
      <c r="H307" s="10"/>
    </row>
    <row r="308" spans="1:8" ht="14.25" customHeight="1" x14ac:dyDescent="0.35">
      <c r="A308" s="10"/>
      <c r="B308" s="10"/>
      <c r="C308" s="10"/>
      <c r="D308" s="10"/>
      <c r="E308" s="10"/>
      <c r="F308" s="10"/>
      <c r="G308" s="10"/>
      <c r="H308" s="10"/>
    </row>
    <row r="309" spans="1:8" ht="14.25" customHeight="1" x14ac:dyDescent="0.35">
      <c r="A309" s="10"/>
      <c r="B309" s="10"/>
      <c r="C309" s="10"/>
      <c r="D309" s="10"/>
      <c r="E309" s="10"/>
      <c r="F309" s="10"/>
      <c r="G309" s="10"/>
      <c r="H309" s="10"/>
    </row>
    <row r="310" spans="1:8" ht="14.25" customHeight="1" x14ac:dyDescent="0.35">
      <c r="A310" s="10"/>
      <c r="B310" s="10"/>
      <c r="C310" s="10"/>
      <c r="D310" s="10"/>
      <c r="E310" s="10"/>
      <c r="F310" s="10"/>
      <c r="G310" s="10"/>
      <c r="H310" s="10"/>
    </row>
    <row r="311" spans="1:8" ht="14.25" customHeight="1" x14ac:dyDescent="0.35">
      <c r="A311" s="10"/>
      <c r="B311" s="10"/>
      <c r="C311" s="10"/>
      <c r="D311" s="10"/>
      <c r="E311" s="10"/>
      <c r="F311" s="10"/>
      <c r="G311" s="10"/>
      <c r="H311" s="10"/>
    </row>
    <row r="312" spans="1:8" ht="14.25" customHeight="1" x14ac:dyDescent="0.35">
      <c r="A312" s="10"/>
      <c r="B312" s="10"/>
      <c r="C312" s="10"/>
      <c r="D312" s="10"/>
      <c r="E312" s="10"/>
      <c r="F312" s="10"/>
      <c r="G312" s="10"/>
      <c r="H312" s="10"/>
    </row>
    <row r="313" spans="1:8" ht="14.25" customHeight="1" x14ac:dyDescent="0.35">
      <c r="A313" s="10"/>
      <c r="B313" s="10"/>
      <c r="C313" s="10"/>
      <c r="D313" s="10"/>
      <c r="E313" s="10"/>
      <c r="F313" s="10"/>
      <c r="G313" s="10"/>
      <c r="H313" s="10"/>
    </row>
    <row r="314" spans="1:8" ht="14.25" customHeight="1" x14ac:dyDescent="0.35">
      <c r="A314" s="10"/>
      <c r="B314" s="10"/>
      <c r="C314" s="10"/>
      <c r="D314" s="10"/>
      <c r="E314" s="10"/>
      <c r="F314" s="10"/>
      <c r="G314" s="10"/>
      <c r="H314" s="10"/>
    </row>
    <row r="315" spans="1:8" ht="14.25" customHeight="1" x14ac:dyDescent="0.35">
      <c r="A315" s="10"/>
      <c r="B315" s="10"/>
      <c r="C315" s="10"/>
      <c r="D315" s="10"/>
      <c r="E315" s="10"/>
      <c r="F315" s="10"/>
      <c r="G315" s="10"/>
      <c r="H315" s="10"/>
    </row>
    <row r="316" spans="1:8" ht="14.25" customHeight="1" x14ac:dyDescent="0.35">
      <c r="A316" s="10"/>
      <c r="B316" s="10"/>
      <c r="C316" s="10"/>
      <c r="D316" s="10"/>
      <c r="E316" s="10"/>
      <c r="F316" s="10"/>
      <c r="G316" s="10"/>
      <c r="H316" s="10"/>
    </row>
    <row r="317" spans="1:8" ht="14.25" customHeight="1" x14ac:dyDescent="0.35">
      <c r="A317" s="10"/>
      <c r="B317" s="10"/>
      <c r="C317" s="10"/>
      <c r="D317" s="10"/>
      <c r="E317" s="10"/>
      <c r="F317" s="10"/>
      <c r="G317" s="10"/>
      <c r="H317" s="10"/>
    </row>
    <row r="318" spans="1:8" ht="14.25" customHeight="1" x14ac:dyDescent="0.35">
      <c r="A318" s="10"/>
      <c r="B318" s="10"/>
      <c r="C318" s="10"/>
      <c r="D318" s="10"/>
      <c r="E318" s="10"/>
      <c r="F318" s="10"/>
      <c r="G318" s="10"/>
      <c r="H318" s="10"/>
    </row>
    <row r="319" spans="1:8" ht="14.25" customHeight="1" x14ac:dyDescent="0.35">
      <c r="A319" s="10"/>
      <c r="B319" s="10"/>
      <c r="C319" s="10"/>
      <c r="D319" s="10"/>
      <c r="E319" s="10"/>
      <c r="F319" s="10"/>
      <c r="G319" s="10"/>
      <c r="H319" s="10"/>
    </row>
    <row r="320" spans="1:8" ht="14.25" customHeight="1" x14ac:dyDescent="0.35">
      <c r="A320" s="10"/>
      <c r="B320" s="10"/>
      <c r="C320" s="10"/>
      <c r="D320" s="10"/>
      <c r="E320" s="10"/>
      <c r="F320" s="10"/>
      <c r="G320" s="10"/>
      <c r="H320" s="10"/>
    </row>
    <row r="321" spans="1:8" ht="14.25" customHeight="1" x14ac:dyDescent="0.35">
      <c r="A321" s="10"/>
      <c r="B321" s="10"/>
      <c r="C321" s="10"/>
      <c r="D321" s="10"/>
      <c r="E321" s="10"/>
      <c r="F321" s="10"/>
      <c r="G321" s="10"/>
      <c r="H321" s="10"/>
    </row>
    <row r="322" spans="1:8" ht="14.25" customHeight="1" x14ac:dyDescent="0.35">
      <c r="A322" s="10"/>
      <c r="B322" s="10"/>
      <c r="C322" s="10"/>
      <c r="D322" s="10"/>
      <c r="E322" s="10"/>
      <c r="F322" s="10"/>
      <c r="G322" s="10"/>
      <c r="H322" s="10"/>
    </row>
    <row r="323" spans="1:8" ht="14.25" customHeight="1" x14ac:dyDescent="0.35">
      <c r="A323" s="10"/>
      <c r="B323" s="10"/>
      <c r="C323" s="10"/>
      <c r="D323" s="10"/>
      <c r="E323" s="10"/>
      <c r="F323" s="10"/>
      <c r="G323" s="10"/>
      <c r="H323" s="10"/>
    </row>
    <row r="324" spans="1:8" ht="14.25" customHeight="1" x14ac:dyDescent="0.35">
      <c r="A324" s="10"/>
      <c r="B324" s="10"/>
      <c r="C324" s="10"/>
      <c r="D324" s="10"/>
      <c r="E324" s="10"/>
      <c r="F324" s="10"/>
      <c r="G324" s="10"/>
      <c r="H324" s="10"/>
    </row>
    <row r="325" spans="1:8" ht="14.25" customHeight="1" x14ac:dyDescent="0.35">
      <c r="A325" s="10"/>
      <c r="B325" s="10"/>
      <c r="C325" s="10"/>
      <c r="D325" s="10"/>
      <c r="E325" s="10"/>
      <c r="F325" s="10"/>
      <c r="G325" s="10"/>
      <c r="H325" s="10"/>
    </row>
    <row r="326" spans="1:8" ht="14.25" customHeight="1" x14ac:dyDescent="0.35">
      <c r="A326" s="10"/>
      <c r="B326" s="10"/>
      <c r="C326" s="10"/>
      <c r="D326" s="10"/>
      <c r="E326" s="10"/>
      <c r="F326" s="10"/>
      <c r="G326" s="10"/>
      <c r="H326" s="10"/>
    </row>
    <row r="327" spans="1:8" ht="14.25" customHeight="1" x14ac:dyDescent="0.35">
      <c r="A327" s="10"/>
      <c r="B327" s="10"/>
      <c r="C327" s="10"/>
      <c r="D327" s="10"/>
      <c r="E327" s="10"/>
      <c r="F327" s="10"/>
      <c r="G327" s="10"/>
      <c r="H327" s="10"/>
    </row>
    <row r="328" spans="1:8" ht="14.25" customHeight="1" x14ac:dyDescent="0.35">
      <c r="A328" s="10"/>
      <c r="B328" s="10"/>
      <c r="C328" s="10"/>
      <c r="D328" s="10"/>
      <c r="E328" s="10"/>
      <c r="F328" s="10"/>
      <c r="G328" s="10"/>
      <c r="H328" s="10"/>
    </row>
    <row r="329" spans="1:8" ht="14.25" customHeight="1" x14ac:dyDescent="0.35">
      <c r="A329" s="10"/>
      <c r="B329" s="10"/>
      <c r="C329" s="10"/>
      <c r="D329" s="10"/>
      <c r="E329" s="10"/>
      <c r="F329" s="10"/>
      <c r="G329" s="10"/>
      <c r="H329" s="10"/>
    </row>
    <row r="330" spans="1:8" ht="14.25" customHeight="1" x14ac:dyDescent="0.35">
      <c r="A330" s="10"/>
      <c r="B330" s="10"/>
      <c r="C330" s="10"/>
      <c r="D330" s="10"/>
      <c r="E330" s="10"/>
      <c r="F330" s="10"/>
      <c r="G330" s="10"/>
      <c r="H330" s="10"/>
    </row>
    <row r="331" spans="1:8" ht="14.25" customHeight="1" x14ac:dyDescent="0.35">
      <c r="A331" s="10"/>
      <c r="B331" s="10"/>
      <c r="C331" s="10"/>
      <c r="D331" s="10"/>
      <c r="E331" s="10"/>
      <c r="F331" s="10"/>
      <c r="G331" s="10"/>
      <c r="H331" s="10"/>
    </row>
    <row r="332" spans="1:8" ht="14.25" customHeight="1" x14ac:dyDescent="0.35">
      <c r="A332" s="10"/>
      <c r="B332" s="10"/>
      <c r="C332" s="10"/>
      <c r="D332" s="10"/>
      <c r="E332" s="10"/>
      <c r="F332" s="10"/>
      <c r="G332" s="10"/>
      <c r="H332" s="10"/>
    </row>
    <row r="333" spans="1:8" ht="14.25" customHeight="1" x14ac:dyDescent="0.35">
      <c r="A333" s="10"/>
      <c r="B333" s="10"/>
      <c r="C333" s="10"/>
      <c r="D333" s="10"/>
      <c r="E333" s="10"/>
      <c r="F333" s="10"/>
      <c r="G333" s="10"/>
      <c r="H333" s="10"/>
    </row>
    <row r="334" spans="1:8" ht="14.25" customHeight="1" x14ac:dyDescent="0.35">
      <c r="A334" s="10"/>
      <c r="B334" s="10"/>
      <c r="C334" s="10"/>
      <c r="D334" s="10"/>
      <c r="E334" s="10"/>
      <c r="F334" s="10"/>
      <c r="G334" s="10"/>
      <c r="H334" s="10"/>
    </row>
    <row r="335" spans="1:8" ht="14.25" customHeight="1" x14ac:dyDescent="0.35">
      <c r="A335" s="10"/>
      <c r="B335" s="10"/>
      <c r="C335" s="10"/>
      <c r="D335" s="10"/>
      <c r="E335" s="10"/>
      <c r="F335" s="10"/>
      <c r="G335" s="10"/>
      <c r="H335" s="10"/>
    </row>
    <row r="336" spans="1:8" ht="14.25" customHeight="1" x14ac:dyDescent="0.35">
      <c r="A336" s="10"/>
      <c r="B336" s="10"/>
      <c r="C336" s="10"/>
      <c r="D336" s="10"/>
      <c r="E336" s="10"/>
      <c r="F336" s="10"/>
      <c r="G336" s="10"/>
      <c r="H336" s="10"/>
    </row>
    <row r="337" spans="1:8" ht="14.25" customHeight="1" x14ac:dyDescent="0.35">
      <c r="A337" s="10"/>
      <c r="B337" s="10"/>
      <c r="C337" s="10"/>
      <c r="D337" s="10"/>
      <c r="E337" s="10"/>
      <c r="F337" s="10"/>
      <c r="G337" s="10"/>
      <c r="H337" s="10"/>
    </row>
    <row r="338" spans="1:8" ht="14.25" customHeight="1" x14ac:dyDescent="0.35">
      <c r="A338" s="10"/>
      <c r="B338" s="10"/>
      <c r="C338" s="10"/>
      <c r="D338" s="10"/>
      <c r="E338" s="10"/>
      <c r="F338" s="10"/>
      <c r="G338" s="10"/>
      <c r="H338" s="10"/>
    </row>
    <row r="339" spans="1:8" ht="14.25" customHeight="1" x14ac:dyDescent="0.35">
      <c r="A339" s="10"/>
      <c r="B339" s="10"/>
      <c r="C339" s="10"/>
      <c r="D339" s="10"/>
      <c r="E339" s="10"/>
      <c r="F339" s="10"/>
      <c r="G339" s="10"/>
      <c r="H339" s="10"/>
    </row>
    <row r="340" spans="1:8" ht="14.25" customHeight="1" x14ac:dyDescent="0.35">
      <c r="A340" s="10"/>
      <c r="B340" s="10"/>
      <c r="C340" s="10"/>
      <c r="D340" s="10"/>
      <c r="E340" s="10"/>
      <c r="F340" s="10"/>
      <c r="G340" s="10"/>
      <c r="H340" s="10"/>
    </row>
    <row r="341" spans="1:8" ht="14.25" customHeight="1" x14ac:dyDescent="0.35">
      <c r="A341" s="10"/>
      <c r="B341" s="10"/>
      <c r="C341" s="10"/>
      <c r="D341" s="10"/>
      <c r="E341" s="10"/>
      <c r="F341" s="10"/>
      <c r="G341" s="10"/>
      <c r="H341" s="10"/>
    </row>
    <row r="342" spans="1:8" ht="14.25" customHeight="1" x14ac:dyDescent="0.35">
      <c r="A342" s="10"/>
      <c r="B342" s="10"/>
      <c r="C342" s="10"/>
      <c r="D342" s="10"/>
      <c r="E342" s="10"/>
      <c r="F342" s="10"/>
      <c r="G342" s="10"/>
      <c r="H342" s="10"/>
    </row>
    <row r="343" spans="1:8" ht="14.25" customHeight="1" x14ac:dyDescent="0.35">
      <c r="A343" s="10"/>
      <c r="B343" s="10"/>
      <c r="C343" s="10"/>
      <c r="D343" s="10"/>
      <c r="E343" s="10"/>
      <c r="F343" s="10"/>
      <c r="G343" s="10"/>
      <c r="H343" s="10"/>
    </row>
    <row r="344" spans="1:8" ht="14.25" customHeight="1" x14ac:dyDescent="0.35">
      <c r="A344" s="10"/>
      <c r="B344" s="10"/>
      <c r="C344" s="10"/>
      <c r="D344" s="10"/>
      <c r="E344" s="10"/>
      <c r="F344" s="10"/>
      <c r="G344" s="10"/>
      <c r="H344" s="10"/>
    </row>
    <row r="345" spans="1:8" ht="14.25" customHeight="1" x14ac:dyDescent="0.35">
      <c r="A345" s="10"/>
      <c r="B345" s="10"/>
      <c r="C345" s="10"/>
      <c r="D345" s="10"/>
      <c r="E345" s="10"/>
      <c r="F345" s="10"/>
      <c r="G345" s="10"/>
      <c r="H345" s="10"/>
    </row>
    <row r="346" spans="1:8" ht="14.25" customHeight="1" x14ac:dyDescent="0.35">
      <c r="A346" s="10"/>
      <c r="B346" s="10"/>
      <c r="C346" s="10"/>
      <c r="D346" s="10"/>
      <c r="E346" s="10"/>
      <c r="F346" s="10"/>
      <c r="G346" s="10"/>
      <c r="H346" s="10"/>
    </row>
    <row r="347" spans="1:8" ht="14.25" customHeight="1" x14ac:dyDescent="0.35">
      <c r="A347" s="10"/>
      <c r="B347" s="10"/>
      <c r="C347" s="10"/>
      <c r="D347" s="10"/>
      <c r="E347" s="10"/>
      <c r="F347" s="10"/>
      <c r="G347" s="10"/>
      <c r="H347" s="10"/>
    </row>
    <row r="348" spans="1:8" ht="14.25" customHeight="1" x14ac:dyDescent="0.35">
      <c r="A348" s="10"/>
      <c r="B348" s="10"/>
      <c r="C348" s="10"/>
      <c r="D348" s="10"/>
      <c r="E348" s="10"/>
      <c r="F348" s="10"/>
      <c r="G348" s="10"/>
      <c r="H348" s="10"/>
    </row>
    <row r="349" spans="1:8" ht="14.25" customHeight="1" x14ac:dyDescent="0.35">
      <c r="A349" s="10"/>
      <c r="B349" s="10"/>
      <c r="C349" s="10"/>
      <c r="D349" s="10"/>
      <c r="E349" s="10"/>
      <c r="F349" s="10"/>
      <c r="G349" s="10"/>
      <c r="H349" s="10"/>
    </row>
    <row r="350" spans="1:8" ht="14.25" customHeight="1" x14ac:dyDescent="0.35">
      <c r="A350" s="10"/>
      <c r="B350" s="10"/>
      <c r="C350" s="10"/>
      <c r="D350" s="10"/>
      <c r="E350" s="10"/>
      <c r="F350" s="10"/>
      <c r="G350" s="10"/>
      <c r="H350" s="10"/>
    </row>
    <row r="351" spans="1:8" ht="14.25" customHeight="1" x14ac:dyDescent="0.35">
      <c r="A351" s="10"/>
      <c r="B351" s="10"/>
      <c r="C351" s="10"/>
      <c r="D351" s="10"/>
      <c r="E351" s="10"/>
      <c r="F351" s="10"/>
      <c r="G351" s="10"/>
      <c r="H351" s="10"/>
    </row>
    <row r="352" spans="1:8" ht="14.25" customHeight="1" x14ac:dyDescent="0.35">
      <c r="A352" s="10"/>
      <c r="B352" s="10"/>
      <c r="C352" s="10"/>
      <c r="D352" s="10"/>
      <c r="E352" s="10"/>
      <c r="F352" s="10"/>
      <c r="G352" s="10"/>
      <c r="H352" s="10"/>
    </row>
    <row r="353" spans="1:8" ht="14.25" customHeight="1" x14ac:dyDescent="0.35">
      <c r="A353" s="10"/>
      <c r="B353" s="10"/>
      <c r="C353" s="10"/>
      <c r="D353" s="10"/>
      <c r="E353" s="10"/>
      <c r="F353" s="10"/>
      <c r="G353" s="10"/>
      <c r="H353" s="10"/>
    </row>
    <row r="354" spans="1:8" ht="14.25" customHeight="1" x14ac:dyDescent="0.35">
      <c r="A354" s="10"/>
      <c r="B354" s="10"/>
      <c r="C354" s="10"/>
      <c r="D354" s="10"/>
      <c r="E354" s="10"/>
      <c r="F354" s="10"/>
      <c r="G354" s="10"/>
      <c r="H354" s="10"/>
    </row>
    <row r="355" spans="1:8" ht="14.25" customHeight="1" x14ac:dyDescent="0.35">
      <c r="A355" s="10"/>
      <c r="B355" s="10"/>
      <c r="C355" s="10"/>
      <c r="D355" s="10"/>
      <c r="E355" s="10"/>
      <c r="F355" s="10"/>
      <c r="G355" s="10"/>
      <c r="H355" s="10"/>
    </row>
    <row r="356" spans="1:8" ht="14.25" customHeight="1" x14ac:dyDescent="0.35">
      <c r="A356" s="10"/>
      <c r="B356" s="10"/>
      <c r="C356" s="10"/>
      <c r="D356" s="10"/>
      <c r="E356" s="10"/>
      <c r="F356" s="10"/>
      <c r="G356" s="10"/>
      <c r="H356" s="10"/>
    </row>
    <row r="357" spans="1:8" ht="14.25" customHeight="1" x14ac:dyDescent="0.35">
      <c r="A357" s="10"/>
      <c r="B357" s="10"/>
      <c r="C357" s="10"/>
      <c r="D357" s="10"/>
      <c r="E357" s="10"/>
      <c r="F357" s="10"/>
      <c r="G357" s="10"/>
      <c r="H357" s="10"/>
    </row>
    <row r="358" spans="1:8" ht="14.25" customHeight="1" x14ac:dyDescent="0.35">
      <c r="A358" s="10"/>
      <c r="B358" s="10"/>
      <c r="C358" s="10"/>
      <c r="D358" s="10"/>
      <c r="E358" s="10"/>
      <c r="F358" s="10"/>
      <c r="G358" s="10"/>
      <c r="H358" s="10"/>
    </row>
    <row r="359" spans="1:8" ht="14.25" customHeight="1" x14ac:dyDescent="0.35">
      <c r="A359" s="10"/>
      <c r="B359" s="10"/>
      <c r="C359" s="10"/>
      <c r="D359" s="10"/>
      <c r="E359" s="10"/>
      <c r="F359" s="10"/>
      <c r="G359" s="10"/>
      <c r="H359" s="10"/>
    </row>
    <row r="360" spans="1:8" ht="14.25" customHeight="1" x14ac:dyDescent="0.35">
      <c r="A360" s="10"/>
      <c r="B360" s="10"/>
      <c r="C360" s="10"/>
      <c r="D360" s="10"/>
      <c r="E360" s="10"/>
      <c r="F360" s="10"/>
      <c r="G360" s="10"/>
      <c r="H360" s="10"/>
    </row>
    <row r="361" spans="1:8" ht="14.25" customHeight="1" x14ac:dyDescent="0.35">
      <c r="A361" s="10"/>
      <c r="B361" s="10"/>
      <c r="C361" s="10"/>
      <c r="D361" s="10"/>
      <c r="E361" s="10"/>
      <c r="F361" s="10"/>
      <c r="G361" s="10"/>
      <c r="H361" s="10"/>
    </row>
    <row r="362" spans="1:8" ht="14.25" customHeight="1" x14ac:dyDescent="0.35">
      <c r="A362" s="10"/>
      <c r="B362" s="10"/>
      <c r="C362" s="10"/>
      <c r="D362" s="10"/>
      <c r="E362" s="10"/>
      <c r="F362" s="10"/>
      <c r="G362" s="10"/>
      <c r="H362" s="10"/>
    </row>
    <row r="363" spans="1:8" ht="14.25" customHeight="1" x14ac:dyDescent="0.35">
      <c r="A363" s="10"/>
      <c r="B363" s="10"/>
      <c r="C363" s="10"/>
      <c r="D363" s="10"/>
      <c r="E363" s="10"/>
      <c r="F363" s="10"/>
      <c r="G363" s="10"/>
      <c r="H363" s="10"/>
    </row>
    <row r="364" spans="1:8" ht="14.25" customHeight="1" x14ac:dyDescent="0.35">
      <c r="A364" s="10"/>
      <c r="B364" s="10"/>
      <c r="C364" s="10"/>
      <c r="D364" s="10"/>
      <c r="E364" s="10"/>
      <c r="F364" s="10"/>
      <c r="G364" s="10"/>
      <c r="H364" s="10"/>
    </row>
    <row r="365" spans="1:8" ht="14.25" customHeight="1" x14ac:dyDescent="0.35">
      <c r="A365" s="10"/>
      <c r="B365" s="10"/>
      <c r="C365" s="10"/>
      <c r="D365" s="10"/>
      <c r="E365" s="10"/>
      <c r="F365" s="10"/>
      <c r="G365" s="10"/>
      <c r="H365" s="10"/>
    </row>
    <row r="366" spans="1:8" ht="14.25" customHeight="1" x14ac:dyDescent="0.35">
      <c r="A366" s="10"/>
      <c r="B366" s="10"/>
      <c r="C366" s="10"/>
      <c r="D366" s="10"/>
      <c r="E366" s="10"/>
      <c r="F366" s="10"/>
      <c r="G366" s="10"/>
      <c r="H366" s="10"/>
    </row>
    <row r="367" spans="1:8" ht="14.25" customHeight="1" x14ac:dyDescent="0.35">
      <c r="A367" s="10"/>
      <c r="B367" s="10"/>
      <c r="C367" s="10"/>
      <c r="D367" s="10"/>
      <c r="E367" s="10"/>
      <c r="F367" s="10"/>
      <c r="G367" s="10"/>
      <c r="H367" s="10"/>
    </row>
    <row r="368" spans="1:8" ht="14.25" customHeight="1" x14ac:dyDescent="0.35">
      <c r="A368" s="10"/>
      <c r="B368" s="10"/>
      <c r="C368" s="10"/>
      <c r="D368" s="10"/>
      <c r="E368" s="10"/>
      <c r="F368" s="10"/>
      <c r="G368" s="10"/>
      <c r="H368" s="10"/>
    </row>
    <row r="369" spans="1:8" ht="14.25" customHeight="1" x14ac:dyDescent="0.35">
      <c r="A369" s="10"/>
      <c r="B369" s="10"/>
      <c r="C369" s="10"/>
      <c r="D369" s="10"/>
      <c r="E369" s="10"/>
      <c r="F369" s="10"/>
      <c r="G369" s="10"/>
      <c r="H369" s="10"/>
    </row>
    <row r="370" spans="1:8" ht="14.25" customHeight="1" x14ac:dyDescent="0.35">
      <c r="A370" s="10"/>
      <c r="B370" s="10"/>
      <c r="C370" s="10"/>
      <c r="D370" s="10"/>
      <c r="E370" s="10"/>
      <c r="F370" s="10"/>
      <c r="G370" s="10"/>
      <c r="H370" s="10"/>
    </row>
    <row r="371" spans="1:8" ht="14.25" customHeight="1" x14ac:dyDescent="0.35">
      <c r="A371" s="10"/>
      <c r="B371" s="10"/>
      <c r="C371" s="10"/>
      <c r="D371" s="10"/>
      <c r="E371" s="10"/>
      <c r="F371" s="10"/>
      <c r="G371" s="10"/>
      <c r="H371" s="10"/>
    </row>
    <row r="372" spans="1:8" ht="14.25" customHeight="1" x14ac:dyDescent="0.35">
      <c r="A372" s="10"/>
      <c r="B372" s="10"/>
      <c r="C372" s="10"/>
      <c r="D372" s="10"/>
      <c r="E372" s="10"/>
      <c r="F372" s="10"/>
      <c r="G372" s="10"/>
      <c r="H372" s="10"/>
    </row>
    <row r="373" spans="1:8" ht="14.25" customHeight="1" x14ac:dyDescent="0.35">
      <c r="A373" s="10"/>
      <c r="B373" s="10"/>
      <c r="C373" s="10"/>
      <c r="D373" s="10"/>
      <c r="E373" s="10"/>
      <c r="F373" s="10"/>
      <c r="G373" s="10"/>
      <c r="H373" s="10"/>
    </row>
    <row r="374" spans="1:8" ht="14.25" customHeight="1" x14ac:dyDescent="0.35">
      <c r="A374" s="10"/>
      <c r="B374" s="10"/>
      <c r="C374" s="10"/>
      <c r="D374" s="10"/>
      <c r="E374" s="10"/>
      <c r="F374" s="10"/>
      <c r="G374" s="10"/>
      <c r="H374" s="10"/>
    </row>
    <row r="375" spans="1:8" ht="14.25" customHeight="1" x14ac:dyDescent="0.35">
      <c r="A375" s="10"/>
      <c r="B375" s="10"/>
      <c r="C375" s="10"/>
      <c r="D375" s="10"/>
      <c r="E375" s="10"/>
      <c r="F375" s="10"/>
      <c r="G375" s="10"/>
      <c r="H375" s="10"/>
    </row>
    <row r="376" spans="1:8" ht="14.25" customHeight="1" x14ac:dyDescent="0.35">
      <c r="A376" s="10"/>
      <c r="B376" s="10"/>
      <c r="C376" s="10"/>
      <c r="D376" s="10"/>
      <c r="E376" s="10"/>
      <c r="F376" s="10"/>
      <c r="G376" s="10"/>
      <c r="H376" s="10"/>
    </row>
    <row r="377" spans="1:8" ht="14.25" customHeight="1" x14ac:dyDescent="0.35">
      <c r="A377" s="10"/>
      <c r="B377" s="10"/>
      <c r="C377" s="10"/>
      <c r="D377" s="10"/>
      <c r="E377" s="10"/>
      <c r="F377" s="10"/>
      <c r="G377" s="10"/>
      <c r="H377" s="10"/>
    </row>
    <row r="378" spans="1:8" ht="14.25" customHeight="1" x14ac:dyDescent="0.35">
      <c r="A378" s="10"/>
      <c r="B378" s="10"/>
      <c r="C378" s="10"/>
      <c r="D378" s="10"/>
      <c r="E378" s="10"/>
      <c r="F378" s="10"/>
      <c r="G378" s="10"/>
      <c r="H378" s="10"/>
    </row>
    <row r="379" spans="1:8" ht="14.25" customHeight="1" x14ac:dyDescent="0.35">
      <c r="A379" s="10"/>
      <c r="B379" s="10"/>
      <c r="C379" s="10"/>
      <c r="D379" s="10"/>
      <c r="E379" s="10"/>
      <c r="F379" s="10"/>
      <c r="G379" s="10"/>
      <c r="H379" s="10"/>
    </row>
    <row r="380" spans="1:8" ht="14.25" customHeight="1" x14ac:dyDescent="0.35">
      <c r="A380" s="10"/>
      <c r="B380" s="10"/>
      <c r="C380" s="10"/>
      <c r="D380" s="10"/>
      <c r="E380" s="10"/>
      <c r="F380" s="10"/>
      <c r="G380" s="10"/>
      <c r="H380" s="10"/>
    </row>
    <row r="381" spans="1:8" ht="14.25" customHeight="1" x14ac:dyDescent="0.35">
      <c r="A381" s="10"/>
      <c r="B381" s="10"/>
      <c r="C381" s="10"/>
      <c r="D381" s="10"/>
      <c r="E381" s="10"/>
      <c r="F381" s="10"/>
      <c r="G381" s="10"/>
      <c r="H381" s="10"/>
    </row>
    <row r="382" spans="1:8" ht="14.25" customHeight="1" x14ac:dyDescent="0.35">
      <c r="A382" s="10"/>
      <c r="B382" s="10"/>
      <c r="C382" s="10"/>
      <c r="D382" s="10"/>
      <c r="E382" s="10"/>
      <c r="F382" s="10"/>
      <c r="G382" s="10"/>
      <c r="H382" s="10"/>
    </row>
    <row r="383" spans="1:8" ht="14.25" customHeight="1" x14ac:dyDescent="0.35">
      <c r="A383" s="10"/>
      <c r="B383" s="10"/>
      <c r="C383" s="10"/>
      <c r="D383" s="10"/>
      <c r="E383" s="10"/>
      <c r="F383" s="10"/>
      <c r="G383" s="10"/>
      <c r="H383" s="10"/>
    </row>
    <row r="384" spans="1:8" ht="14.25" customHeight="1" x14ac:dyDescent="0.35">
      <c r="A384" s="10"/>
      <c r="B384" s="10"/>
      <c r="C384" s="10"/>
      <c r="D384" s="10"/>
      <c r="E384" s="10"/>
      <c r="F384" s="10"/>
      <c r="G384" s="10"/>
      <c r="H384" s="10"/>
    </row>
    <row r="385" spans="1:8" ht="14.25" customHeight="1" x14ac:dyDescent="0.35">
      <c r="A385" s="10"/>
      <c r="B385" s="10"/>
      <c r="C385" s="10"/>
      <c r="D385" s="10"/>
      <c r="E385" s="10"/>
      <c r="F385" s="10"/>
      <c r="G385" s="10"/>
      <c r="H385" s="10"/>
    </row>
    <row r="386" spans="1:8" ht="14.25" customHeight="1" x14ac:dyDescent="0.35">
      <c r="A386" s="10"/>
      <c r="B386" s="10"/>
      <c r="C386" s="10"/>
      <c r="D386" s="10"/>
      <c r="E386" s="10"/>
      <c r="F386" s="10"/>
      <c r="G386" s="10"/>
      <c r="H386" s="10"/>
    </row>
    <row r="387" spans="1:8" ht="14.25" customHeight="1" x14ac:dyDescent="0.35">
      <c r="A387" s="10"/>
      <c r="B387" s="10"/>
      <c r="C387" s="10"/>
      <c r="D387" s="10"/>
      <c r="E387" s="10"/>
      <c r="F387" s="10"/>
      <c r="G387" s="10"/>
      <c r="H387" s="10"/>
    </row>
    <row r="388" spans="1:8" ht="14.25" customHeight="1" x14ac:dyDescent="0.35">
      <c r="A388" s="10"/>
      <c r="B388" s="10"/>
      <c r="C388" s="10"/>
      <c r="D388" s="10"/>
      <c r="E388" s="10"/>
      <c r="F388" s="10"/>
      <c r="G388" s="10"/>
      <c r="H388" s="10"/>
    </row>
    <row r="389" spans="1:8" ht="14.25" customHeight="1" x14ac:dyDescent="0.35">
      <c r="A389" s="10"/>
      <c r="B389" s="10"/>
      <c r="C389" s="10"/>
      <c r="D389" s="10"/>
      <c r="E389" s="10"/>
      <c r="F389" s="10"/>
      <c r="G389" s="10"/>
      <c r="H389" s="10"/>
    </row>
    <row r="390" spans="1:8" ht="14.25" customHeight="1" x14ac:dyDescent="0.35">
      <c r="A390" s="10"/>
      <c r="B390" s="10"/>
      <c r="C390" s="10"/>
      <c r="D390" s="10"/>
      <c r="E390" s="10"/>
      <c r="F390" s="10"/>
      <c r="G390" s="10"/>
      <c r="H390" s="10"/>
    </row>
    <row r="391" spans="1:8" ht="14.25" customHeight="1" x14ac:dyDescent="0.35">
      <c r="A391" s="10"/>
      <c r="B391" s="10"/>
      <c r="C391" s="10"/>
      <c r="D391" s="10"/>
      <c r="E391" s="10"/>
      <c r="F391" s="10"/>
      <c r="G391" s="10"/>
      <c r="H391" s="10"/>
    </row>
    <row r="392" spans="1:8" ht="14.25" customHeight="1" x14ac:dyDescent="0.35">
      <c r="A392" s="10"/>
      <c r="B392" s="10"/>
      <c r="C392" s="10"/>
      <c r="D392" s="10"/>
      <c r="E392" s="10"/>
      <c r="F392" s="10"/>
      <c r="G392" s="10"/>
      <c r="H392" s="10"/>
    </row>
    <row r="393" spans="1:8" ht="14.25" customHeight="1" x14ac:dyDescent="0.35">
      <c r="A393" s="10"/>
      <c r="B393" s="10"/>
      <c r="C393" s="10"/>
      <c r="D393" s="10"/>
      <c r="E393" s="10"/>
      <c r="F393" s="10"/>
      <c r="G393" s="10"/>
      <c r="H393" s="10"/>
    </row>
    <row r="394" spans="1:8" ht="14.25" customHeight="1" x14ac:dyDescent="0.35">
      <c r="A394" s="10"/>
      <c r="B394" s="10"/>
      <c r="C394" s="10"/>
      <c r="D394" s="10"/>
      <c r="E394" s="10"/>
      <c r="F394" s="10"/>
      <c r="G394" s="10"/>
      <c r="H394" s="10"/>
    </row>
    <row r="395" spans="1:8" ht="14.25" customHeight="1" x14ac:dyDescent="0.35">
      <c r="A395" s="10"/>
      <c r="B395" s="10"/>
      <c r="C395" s="10"/>
      <c r="D395" s="10"/>
      <c r="E395" s="10"/>
      <c r="F395" s="10"/>
      <c r="G395" s="10"/>
      <c r="H395" s="10"/>
    </row>
    <row r="396" spans="1:8" ht="14.25" customHeight="1" x14ac:dyDescent="0.35">
      <c r="A396" s="10"/>
      <c r="B396" s="10"/>
      <c r="C396" s="10"/>
      <c r="D396" s="10"/>
      <c r="E396" s="10"/>
      <c r="F396" s="10"/>
      <c r="G396" s="10"/>
      <c r="H396" s="10"/>
    </row>
    <row r="397" spans="1:8" ht="14.25" customHeight="1" x14ac:dyDescent="0.35">
      <c r="A397" s="10"/>
      <c r="B397" s="10"/>
      <c r="C397" s="10"/>
      <c r="D397" s="10"/>
      <c r="E397" s="10"/>
      <c r="F397" s="10"/>
      <c r="G397" s="10"/>
      <c r="H397" s="10"/>
    </row>
    <row r="398" spans="1:8" ht="14.25" customHeight="1" x14ac:dyDescent="0.35">
      <c r="A398" s="10"/>
      <c r="B398" s="10"/>
      <c r="C398" s="10"/>
      <c r="D398" s="10"/>
      <c r="E398" s="10"/>
      <c r="F398" s="10"/>
      <c r="G398" s="10"/>
      <c r="H398" s="10"/>
    </row>
    <row r="399" spans="1:8" ht="14.25" customHeight="1" x14ac:dyDescent="0.35">
      <c r="A399" s="10"/>
      <c r="B399" s="10"/>
      <c r="C399" s="10"/>
      <c r="D399" s="10"/>
      <c r="E399" s="10"/>
      <c r="F399" s="10"/>
      <c r="G399" s="10"/>
      <c r="H399" s="10"/>
    </row>
    <row r="400" spans="1:8" ht="14.25" customHeight="1" x14ac:dyDescent="0.35">
      <c r="A400" s="10"/>
      <c r="B400" s="10"/>
      <c r="C400" s="10"/>
      <c r="D400" s="10"/>
      <c r="E400" s="10"/>
      <c r="F400" s="10"/>
      <c r="G400" s="10"/>
      <c r="H400" s="10"/>
    </row>
    <row r="401" spans="1:8" ht="14.25" customHeight="1" x14ac:dyDescent="0.35">
      <c r="A401" s="10"/>
      <c r="B401" s="10"/>
      <c r="C401" s="10"/>
      <c r="D401" s="10"/>
      <c r="E401" s="10"/>
      <c r="F401" s="10"/>
      <c r="G401" s="10"/>
      <c r="H401" s="10"/>
    </row>
    <row r="402" spans="1:8" ht="14.25" customHeight="1" x14ac:dyDescent="0.35">
      <c r="A402" s="10"/>
      <c r="B402" s="10"/>
      <c r="C402" s="10"/>
      <c r="D402" s="10"/>
      <c r="E402" s="10"/>
      <c r="F402" s="10"/>
      <c r="G402" s="10"/>
      <c r="H402" s="10"/>
    </row>
    <row r="403" spans="1:8" ht="14.25" customHeight="1" x14ac:dyDescent="0.35">
      <c r="A403" s="10"/>
      <c r="B403" s="10"/>
      <c r="C403" s="10"/>
      <c r="D403" s="10"/>
      <c r="E403" s="10"/>
      <c r="F403" s="10"/>
      <c r="G403" s="10"/>
      <c r="H403" s="10"/>
    </row>
    <row r="404" spans="1:8" ht="14.25" customHeight="1" x14ac:dyDescent="0.35">
      <c r="A404" s="10"/>
      <c r="B404" s="10"/>
      <c r="C404" s="10"/>
      <c r="D404" s="10"/>
      <c r="E404" s="10"/>
      <c r="F404" s="10"/>
      <c r="G404" s="10"/>
      <c r="H404" s="10"/>
    </row>
    <row r="405" spans="1:8" ht="14.25" customHeight="1" x14ac:dyDescent="0.35">
      <c r="A405" s="10"/>
      <c r="B405" s="10"/>
      <c r="C405" s="10"/>
      <c r="D405" s="10"/>
      <c r="E405" s="10"/>
      <c r="F405" s="10"/>
      <c r="G405" s="10"/>
      <c r="H405" s="10"/>
    </row>
    <row r="406" spans="1:8" ht="14.25" customHeight="1" x14ac:dyDescent="0.35">
      <c r="A406" s="10"/>
      <c r="B406" s="10"/>
      <c r="C406" s="10"/>
      <c r="D406" s="10"/>
      <c r="E406" s="10"/>
      <c r="F406" s="10"/>
      <c r="G406" s="10"/>
      <c r="H406" s="10"/>
    </row>
    <row r="407" spans="1:8" ht="14.25" customHeight="1" x14ac:dyDescent="0.35">
      <c r="A407" s="10"/>
      <c r="B407" s="10"/>
      <c r="C407" s="10"/>
      <c r="D407" s="10"/>
      <c r="E407" s="10"/>
      <c r="F407" s="10"/>
      <c r="G407" s="10"/>
      <c r="H407" s="10"/>
    </row>
    <row r="408" spans="1:8" ht="14.25" customHeight="1" x14ac:dyDescent="0.35">
      <c r="A408" s="10"/>
      <c r="B408" s="10"/>
      <c r="C408" s="10"/>
      <c r="D408" s="10"/>
      <c r="E408" s="10"/>
      <c r="F408" s="10"/>
      <c r="G408" s="10"/>
      <c r="H408" s="10"/>
    </row>
    <row r="409" spans="1:8" ht="14.25" customHeight="1" x14ac:dyDescent="0.35">
      <c r="A409" s="10"/>
      <c r="B409" s="10"/>
      <c r="C409" s="10"/>
      <c r="D409" s="10"/>
      <c r="E409" s="10"/>
      <c r="F409" s="10"/>
      <c r="G409" s="10"/>
      <c r="H409" s="10"/>
    </row>
    <row r="410" spans="1:8" ht="14.25" customHeight="1" x14ac:dyDescent="0.35">
      <c r="A410" s="10"/>
      <c r="B410" s="10"/>
      <c r="C410" s="10"/>
      <c r="D410" s="10"/>
      <c r="E410" s="10"/>
      <c r="F410" s="10"/>
      <c r="G410" s="10"/>
      <c r="H410" s="10"/>
    </row>
    <row r="411" spans="1:8" ht="14.25" customHeight="1" x14ac:dyDescent="0.35">
      <c r="A411" s="10"/>
      <c r="B411" s="10"/>
      <c r="C411" s="10"/>
      <c r="D411" s="10"/>
      <c r="E411" s="10"/>
      <c r="F411" s="10"/>
      <c r="G411" s="10"/>
      <c r="H411" s="10"/>
    </row>
    <row r="412" spans="1:8" ht="14.25" customHeight="1" x14ac:dyDescent="0.35">
      <c r="A412" s="10"/>
      <c r="B412" s="10"/>
      <c r="C412" s="10"/>
      <c r="D412" s="10"/>
      <c r="E412" s="10"/>
      <c r="F412" s="10"/>
      <c r="G412" s="10"/>
      <c r="H412" s="10"/>
    </row>
    <row r="413" spans="1:8" ht="14.25" customHeight="1" x14ac:dyDescent="0.35">
      <c r="A413" s="10"/>
      <c r="B413" s="10"/>
      <c r="C413" s="10"/>
      <c r="D413" s="10"/>
      <c r="E413" s="10"/>
      <c r="F413" s="10"/>
      <c r="G413" s="10"/>
      <c r="H413" s="10"/>
    </row>
    <row r="414" spans="1:8" ht="14.25" customHeight="1" x14ac:dyDescent="0.35">
      <c r="A414" s="10"/>
      <c r="B414" s="10"/>
      <c r="C414" s="10"/>
      <c r="D414" s="10"/>
      <c r="E414" s="10"/>
      <c r="F414" s="10"/>
      <c r="G414" s="10"/>
      <c r="H414" s="10"/>
    </row>
    <row r="415" spans="1:8" ht="14.25" customHeight="1" x14ac:dyDescent="0.35">
      <c r="A415" s="10"/>
      <c r="B415" s="10"/>
      <c r="C415" s="10"/>
      <c r="D415" s="10"/>
      <c r="E415" s="10"/>
      <c r="F415" s="10"/>
      <c r="G415" s="10"/>
      <c r="H415" s="10"/>
    </row>
    <row r="416" spans="1:8" ht="14.25" customHeight="1" x14ac:dyDescent="0.35">
      <c r="A416" s="10"/>
      <c r="B416" s="10"/>
      <c r="C416" s="10"/>
      <c r="D416" s="10"/>
      <c r="E416" s="10"/>
      <c r="F416" s="10"/>
      <c r="G416" s="10"/>
      <c r="H416" s="10"/>
    </row>
    <row r="417" spans="1:8" ht="14.25" customHeight="1" x14ac:dyDescent="0.35">
      <c r="A417" s="10"/>
      <c r="B417" s="10"/>
      <c r="C417" s="10"/>
      <c r="D417" s="10"/>
      <c r="E417" s="10"/>
      <c r="F417" s="10"/>
      <c r="G417" s="10"/>
      <c r="H417" s="10"/>
    </row>
    <row r="418" spans="1:8" ht="14.25" customHeight="1" x14ac:dyDescent="0.35">
      <c r="A418" s="10"/>
      <c r="B418" s="10"/>
      <c r="C418" s="10"/>
      <c r="D418" s="10"/>
      <c r="E418" s="10"/>
      <c r="F418" s="10"/>
      <c r="G418" s="10"/>
      <c r="H418" s="10"/>
    </row>
    <row r="419" spans="1:8" ht="14.25" customHeight="1" x14ac:dyDescent="0.35">
      <c r="A419" s="10"/>
      <c r="B419" s="10"/>
      <c r="C419" s="10"/>
      <c r="D419" s="10"/>
      <c r="E419" s="10"/>
      <c r="F419" s="10"/>
      <c r="G419" s="10"/>
      <c r="H419" s="10"/>
    </row>
    <row r="420" spans="1:8" ht="14.25" customHeight="1" x14ac:dyDescent="0.35">
      <c r="A420" s="10"/>
      <c r="B420" s="10"/>
      <c r="C420" s="10"/>
      <c r="D420" s="10"/>
      <c r="E420" s="10"/>
      <c r="F420" s="10"/>
      <c r="G420" s="10"/>
      <c r="H420" s="10"/>
    </row>
    <row r="421" spans="1:8" ht="14.25" customHeight="1" x14ac:dyDescent="0.35">
      <c r="A421" s="10"/>
      <c r="B421" s="10"/>
      <c r="C421" s="10"/>
      <c r="D421" s="10"/>
      <c r="E421" s="10"/>
      <c r="F421" s="10"/>
      <c r="G421" s="10"/>
      <c r="H421" s="10"/>
    </row>
    <row r="422" spans="1:8" ht="14.25" customHeight="1" x14ac:dyDescent="0.35">
      <c r="A422" s="10"/>
      <c r="B422" s="10"/>
      <c r="C422" s="10"/>
      <c r="D422" s="10"/>
      <c r="E422" s="10"/>
      <c r="F422" s="10"/>
      <c r="G422" s="10"/>
      <c r="H422" s="10"/>
    </row>
    <row r="423" spans="1:8" ht="14.25" customHeight="1" x14ac:dyDescent="0.35">
      <c r="A423" s="10"/>
      <c r="B423" s="10"/>
      <c r="C423" s="10"/>
      <c r="D423" s="10"/>
      <c r="E423" s="10"/>
      <c r="F423" s="10"/>
      <c r="G423" s="10"/>
      <c r="H423" s="10"/>
    </row>
    <row r="424" spans="1:8" ht="14.25" customHeight="1" x14ac:dyDescent="0.35">
      <c r="A424" s="10"/>
      <c r="B424" s="10"/>
      <c r="C424" s="10"/>
      <c r="D424" s="10"/>
      <c r="E424" s="10"/>
      <c r="F424" s="10"/>
      <c r="G424" s="10"/>
      <c r="H424" s="10"/>
    </row>
    <row r="425" spans="1:8" ht="14.25" customHeight="1" x14ac:dyDescent="0.35">
      <c r="A425" s="10"/>
      <c r="B425" s="10"/>
      <c r="C425" s="10"/>
      <c r="D425" s="10"/>
      <c r="E425" s="10"/>
      <c r="F425" s="10"/>
      <c r="G425" s="10"/>
      <c r="H425" s="10"/>
    </row>
    <row r="426" spans="1:8" ht="14.25" customHeight="1" x14ac:dyDescent="0.35">
      <c r="A426" s="10"/>
      <c r="B426" s="10"/>
      <c r="C426" s="10"/>
      <c r="D426" s="10"/>
      <c r="E426" s="10"/>
      <c r="F426" s="10"/>
      <c r="G426" s="10"/>
      <c r="H426" s="10"/>
    </row>
    <row r="427" spans="1:8" ht="14.25" customHeight="1" x14ac:dyDescent="0.35">
      <c r="A427" s="10"/>
      <c r="B427" s="10"/>
      <c r="C427" s="10"/>
      <c r="D427" s="10"/>
      <c r="E427" s="10"/>
      <c r="F427" s="10"/>
      <c r="G427" s="10"/>
      <c r="H427" s="10"/>
    </row>
    <row r="428" spans="1:8" ht="14.25" customHeight="1" x14ac:dyDescent="0.35">
      <c r="A428" s="10"/>
      <c r="B428" s="10"/>
      <c r="C428" s="10"/>
      <c r="D428" s="10"/>
      <c r="E428" s="10"/>
      <c r="F428" s="10"/>
      <c r="G428" s="10"/>
      <c r="H428" s="10"/>
    </row>
    <row r="429" spans="1:8" ht="14.25" customHeight="1" x14ac:dyDescent="0.35">
      <c r="A429" s="10"/>
      <c r="B429" s="10"/>
      <c r="C429" s="10"/>
      <c r="D429" s="10"/>
      <c r="E429" s="10"/>
      <c r="F429" s="10"/>
      <c r="G429" s="10"/>
      <c r="H429" s="10"/>
    </row>
    <row r="430" spans="1:8" ht="14.25" customHeight="1" x14ac:dyDescent="0.35">
      <c r="A430" s="10"/>
      <c r="B430" s="10"/>
      <c r="C430" s="10"/>
      <c r="D430" s="10"/>
      <c r="E430" s="10"/>
      <c r="F430" s="10"/>
      <c r="G430" s="10"/>
      <c r="H430" s="10"/>
    </row>
    <row r="431" spans="1:8" ht="14.25" customHeight="1" x14ac:dyDescent="0.35">
      <c r="A431" s="10"/>
      <c r="B431" s="10"/>
      <c r="C431" s="10"/>
      <c r="D431" s="10"/>
      <c r="E431" s="10"/>
      <c r="F431" s="10"/>
      <c r="G431" s="10"/>
      <c r="H431" s="10"/>
    </row>
    <row r="432" spans="1:8" ht="14.25" customHeight="1" x14ac:dyDescent="0.35">
      <c r="A432" s="10"/>
      <c r="B432" s="10"/>
      <c r="C432" s="10"/>
      <c r="D432" s="10"/>
      <c r="E432" s="10"/>
      <c r="F432" s="10"/>
      <c r="G432" s="10"/>
      <c r="H432" s="10"/>
    </row>
    <row r="433" spans="1:8" ht="14.25" customHeight="1" x14ac:dyDescent="0.35">
      <c r="A433" s="10"/>
      <c r="B433" s="10"/>
      <c r="C433" s="10"/>
      <c r="D433" s="10"/>
      <c r="E433" s="10"/>
      <c r="F433" s="10"/>
      <c r="G433" s="10"/>
      <c r="H433" s="10"/>
    </row>
    <row r="434" spans="1:8" ht="14.25" customHeight="1" x14ac:dyDescent="0.35">
      <c r="A434" s="10"/>
      <c r="B434" s="10"/>
      <c r="C434" s="10"/>
      <c r="D434" s="10"/>
      <c r="E434" s="10"/>
      <c r="F434" s="10"/>
      <c r="G434" s="10"/>
      <c r="H434" s="10"/>
    </row>
    <row r="435" spans="1:8" ht="14.25" customHeight="1" x14ac:dyDescent="0.35">
      <c r="A435" s="10"/>
      <c r="B435" s="10"/>
      <c r="C435" s="10"/>
      <c r="D435" s="10"/>
      <c r="E435" s="10"/>
      <c r="F435" s="10"/>
      <c r="G435" s="10"/>
      <c r="H435" s="10"/>
    </row>
    <row r="436" spans="1:8" ht="14.25" customHeight="1" x14ac:dyDescent="0.35">
      <c r="A436" s="10"/>
      <c r="B436" s="10"/>
      <c r="C436" s="10"/>
      <c r="D436" s="10"/>
      <c r="E436" s="10"/>
      <c r="F436" s="10"/>
      <c r="G436" s="10"/>
      <c r="H436" s="10"/>
    </row>
    <row r="437" spans="1:8" ht="14.25" customHeight="1" x14ac:dyDescent="0.35">
      <c r="A437" s="10"/>
      <c r="B437" s="10"/>
      <c r="C437" s="10"/>
      <c r="D437" s="10"/>
      <c r="E437" s="10"/>
      <c r="F437" s="10"/>
      <c r="G437" s="10"/>
      <c r="H437" s="10"/>
    </row>
    <row r="438" spans="1:8" ht="14.25" customHeight="1" x14ac:dyDescent="0.35">
      <c r="A438" s="10"/>
      <c r="B438" s="10"/>
      <c r="C438" s="10"/>
      <c r="D438" s="10"/>
      <c r="E438" s="10"/>
      <c r="F438" s="10"/>
      <c r="G438" s="10"/>
      <c r="H438" s="10"/>
    </row>
    <row r="439" spans="1:8" ht="14.25" customHeight="1" x14ac:dyDescent="0.35">
      <c r="A439" s="10"/>
      <c r="B439" s="10"/>
      <c r="C439" s="10"/>
      <c r="D439" s="10"/>
      <c r="E439" s="10"/>
      <c r="F439" s="10"/>
      <c r="G439" s="10"/>
      <c r="H439" s="10"/>
    </row>
    <row r="440" spans="1:8" ht="14.25" customHeight="1" x14ac:dyDescent="0.35">
      <c r="A440" s="10"/>
      <c r="B440" s="10"/>
      <c r="C440" s="10"/>
      <c r="D440" s="10"/>
      <c r="E440" s="10"/>
      <c r="F440" s="10"/>
      <c r="G440" s="10"/>
      <c r="H440" s="10"/>
    </row>
    <row r="441" spans="1:8" ht="14.25" customHeight="1" x14ac:dyDescent="0.35">
      <c r="A441" s="10"/>
      <c r="B441" s="10"/>
      <c r="C441" s="10"/>
      <c r="D441" s="10"/>
      <c r="E441" s="10"/>
      <c r="F441" s="10"/>
      <c r="G441" s="10"/>
      <c r="H441" s="10"/>
    </row>
    <row r="442" spans="1:8" ht="14.25" customHeight="1" x14ac:dyDescent="0.35">
      <c r="A442" s="10"/>
      <c r="B442" s="10"/>
      <c r="C442" s="10"/>
      <c r="D442" s="10"/>
      <c r="E442" s="10"/>
      <c r="F442" s="10"/>
      <c r="G442" s="10"/>
      <c r="H442" s="10"/>
    </row>
    <row r="443" spans="1:8" ht="14.25" customHeight="1" x14ac:dyDescent="0.35">
      <c r="A443" s="10"/>
      <c r="B443" s="10"/>
      <c r="C443" s="10"/>
      <c r="D443" s="10"/>
      <c r="E443" s="10"/>
      <c r="F443" s="10"/>
      <c r="G443" s="10"/>
      <c r="H443" s="10"/>
    </row>
    <row r="444" spans="1:8" ht="14.25" customHeight="1" x14ac:dyDescent="0.35">
      <c r="A444" s="10"/>
      <c r="B444" s="10"/>
      <c r="C444" s="10"/>
      <c r="D444" s="10"/>
      <c r="E444" s="10"/>
      <c r="F444" s="10"/>
      <c r="G444" s="10"/>
      <c r="H444" s="10"/>
    </row>
    <row r="445" spans="1:8" ht="14.25" customHeight="1" x14ac:dyDescent="0.35">
      <c r="A445" s="10"/>
      <c r="B445" s="10"/>
      <c r="C445" s="10"/>
      <c r="D445" s="10"/>
      <c r="E445" s="10"/>
      <c r="F445" s="10"/>
      <c r="G445" s="10"/>
      <c r="H445" s="10"/>
    </row>
    <row r="446" spans="1:8" ht="14.25" customHeight="1" x14ac:dyDescent="0.35">
      <c r="A446" s="10"/>
      <c r="B446" s="10"/>
      <c r="C446" s="10"/>
      <c r="D446" s="10"/>
      <c r="E446" s="10"/>
      <c r="F446" s="10"/>
      <c r="G446" s="10"/>
      <c r="H446" s="10"/>
    </row>
    <row r="447" spans="1:8" ht="14.25" customHeight="1" x14ac:dyDescent="0.35">
      <c r="A447" s="10"/>
      <c r="B447" s="10"/>
      <c r="C447" s="10"/>
      <c r="D447" s="10"/>
      <c r="E447" s="10"/>
      <c r="F447" s="10"/>
      <c r="G447" s="10"/>
      <c r="H447" s="10"/>
    </row>
    <row r="448" spans="1:8" ht="14.25" customHeight="1" x14ac:dyDescent="0.35">
      <c r="A448" s="10"/>
      <c r="B448" s="10"/>
      <c r="C448" s="10"/>
      <c r="D448" s="10"/>
      <c r="E448" s="10"/>
      <c r="F448" s="10"/>
      <c r="G448" s="10"/>
      <c r="H448" s="10"/>
    </row>
    <row r="449" spans="1:8" ht="14.25" customHeight="1" x14ac:dyDescent="0.35">
      <c r="A449" s="10"/>
      <c r="B449" s="10"/>
      <c r="C449" s="10"/>
      <c r="D449" s="10"/>
      <c r="E449" s="10"/>
      <c r="F449" s="10"/>
      <c r="G449" s="10"/>
      <c r="H449" s="10"/>
    </row>
    <row r="450" spans="1:8" ht="14.25" customHeight="1" x14ac:dyDescent="0.35">
      <c r="A450" s="10"/>
      <c r="B450" s="10"/>
      <c r="C450" s="10"/>
      <c r="D450" s="10"/>
      <c r="E450" s="10"/>
      <c r="F450" s="10"/>
      <c r="G450" s="10"/>
      <c r="H450" s="10"/>
    </row>
    <row r="451" spans="1:8" ht="14.25" customHeight="1" x14ac:dyDescent="0.35">
      <c r="A451" s="10"/>
      <c r="B451" s="10"/>
      <c r="C451" s="10"/>
      <c r="D451" s="10"/>
      <c r="E451" s="10"/>
      <c r="F451" s="10"/>
      <c r="G451" s="10"/>
      <c r="H451" s="10"/>
    </row>
    <row r="452" spans="1:8" ht="14.25" customHeight="1" x14ac:dyDescent="0.35">
      <c r="A452" s="10"/>
      <c r="B452" s="10"/>
      <c r="C452" s="10"/>
      <c r="D452" s="10"/>
      <c r="E452" s="10"/>
      <c r="F452" s="10"/>
      <c r="G452" s="10"/>
      <c r="H452" s="10"/>
    </row>
    <row r="453" spans="1:8" ht="14.25" customHeight="1" x14ac:dyDescent="0.35">
      <c r="A453" s="10"/>
      <c r="B453" s="10"/>
      <c r="C453" s="10"/>
      <c r="D453" s="10"/>
      <c r="E453" s="10"/>
      <c r="F453" s="10"/>
      <c r="G453" s="10"/>
      <c r="H453" s="10"/>
    </row>
    <row r="454" spans="1:8" ht="14.25" customHeight="1" x14ac:dyDescent="0.35">
      <c r="A454" s="10"/>
      <c r="B454" s="10"/>
      <c r="C454" s="10"/>
      <c r="D454" s="10"/>
      <c r="E454" s="10"/>
      <c r="F454" s="10"/>
      <c r="G454" s="10"/>
      <c r="H454" s="10"/>
    </row>
    <row r="455" spans="1:8" ht="14.25" customHeight="1" x14ac:dyDescent="0.35">
      <c r="A455" s="10"/>
      <c r="B455" s="10"/>
      <c r="C455" s="10"/>
      <c r="D455" s="10"/>
      <c r="E455" s="10"/>
      <c r="F455" s="10"/>
      <c r="G455" s="10"/>
      <c r="H455" s="10"/>
    </row>
    <row r="456" spans="1:8" ht="14.25" customHeight="1" x14ac:dyDescent="0.35">
      <c r="A456" s="10"/>
      <c r="B456" s="10"/>
      <c r="C456" s="10"/>
      <c r="D456" s="10"/>
      <c r="E456" s="10"/>
      <c r="F456" s="10"/>
      <c r="G456" s="10"/>
      <c r="H456" s="10"/>
    </row>
    <row r="457" spans="1:8" ht="14.25" customHeight="1" x14ac:dyDescent="0.35">
      <c r="A457" s="10"/>
      <c r="B457" s="10"/>
      <c r="C457" s="10"/>
      <c r="D457" s="10"/>
      <c r="E457" s="10"/>
      <c r="F457" s="10"/>
      <c r="G457" s="10"/>
      <c r="H457" s="10"/>
    </row>
    <row r="458" spans="1:8" ht="14.25" customHeight="1" x14ac:dyDescent="0.35">
      <c r="A458" s="10"/>
      <c r="B458" s="10"/>
      <c r="C458" s="10"/>
      <c r="D458" s="10"/>
      <c r="E458" s="10"/>
      <c r="F458" s="10"/>
      <c r="G458" s="10"/>
      <c r="H458" s="10"/>
    </row>
    <row r="459" spans="1:8" ht="14.25" customHeight="1" x14ac:dyDescent="0.35">
      <c r="A459" s="10"/>
      <c r="B459" s="10"/>
      <c r="C459" s="10"/>
      <c r="D459" s="10"/>
      <c r="E459" s="10"/>
      <c r="F459" s="10"/>
      <c r="G459" s="10"/>
      <c r="H459" s="10"/>
    </row>
    <row r="460" spans="1:8" ht="14.25" customHeight="1" x14ac:dyDescent="0.35">
      <c r="A460" s="10"/>
      <c r="B460" s="10"/>
      <c r="C460" s="10"/>
      <c r="D460" s="10"/>
      <c r="E460" s="10"/>
      <c r="F460" s="10"/>
      <c r="G460" s="10"/>
      <c r="H460" s="10"/>
    </row>
    <row r="461" spans="1:8" ht="14.25" customHeight="1" x14ac:dyDescent="0.35">
      <c r="A461" s="10"/>
      <c r="B461" s="10"/>
      <c r="C461" s="10"/>
      <c r="D461" s="10"/>
      <c r="E461" s="10"/>
      <c r="F461" s="10"/>
      <c r="G461" s="10"/>
      <c r="H461" s="10"/>
    </row>
    <row r="462" spans="1:8" ht="14.25" customHeight="1" x14ac:dyDescent="0.35">
      <c r="A462" s="10"/>
      <c r="B462" s="10"/>
      <c r="C462" s="10"/>
      <c r="D462" s="10"/>
      <c r="E462" s="10"/>
      <c r="F462" s="10"/>
      <c r="G462" s="10"/>
      <c r="H462" s="10"/>
    </row>
    <row r="463" spans="1:8" ht="14.25" customHeight="1" x14ac:dyDescent="0.35">
      <c r="A463" s="10"/>
      <c r="B463" s="10"/>
      <c r="C463" s="10"/>
      <c r="D463" s="10"/>
      <c r="E463" s="10"/>
      <c r="F463" s="10"/>
      <c r="G463" s="10"/>
      <c r="H463" s="10"/>
    </row>
    <row r="464" spans="1:8" ht="14.25" customHeight="1" x14ac:dyDescent="0.35">
      <c r="A464" s="10"/>
      <c r="B464" s="10"/>
      <c r="C464" s="10"/>
      <c r="D464" s="10"/>
      <c r="E464" s="10"/>
      <c r="F464" s="10"/>
      <c r="G464" s="10"/>
      <c r="H464" s="10"/>
    </row>
    <row r="465" spans="1:8" ht="14.25" customHeight="1" x14ac:dyDescent="0.35">
      <c r="A465" s="10"/>
      <c r="B465" s="10"/>
      <c r="C465" s="10"/>
      <c r="D465" s="10"/>
      <c r="E465" s="10"/>
      <c r="F465" s="10"/>
      <c r="G465" s="10"/>
      <c r="H465" s="10"/>
    </row>
    <row r="466" spans="1:8" ht="14.25" customHeight="1" x14ac:dyDescent="0.35">
      <c r="A466" s="10"/>
      <c r="B466" s="10"/>
      <c r="C466" s="10"/>
      <c r="D466" s="10"/>
      <c r="E466" s="10"/>
      <c r="F466" s="10"/>
      <c r="G466" s="10"/>
      <c r="H466" s="10"/>
    </row>
    <row r="467" spans="1:8" ht="14.25" customHeight="1" x14ac:dyDescent="0.35">
      <c r="A467" s="10"/>
      <c r="B467" s="10"/>
      <c r="C467" s="10"/>
      <c r="D467" s="10"/>
      <c r="E467" s="10"/>
      <c r="F467" s="10"/>
      <c r="G467" s="10"/>
      <c r="H467" s="10"/>
    </row>
    <row r="468" spans="1:8" ht="14.25" customHeight="1" x14ac:dyDescent="0.35">
      <c r="A468" s="10"/>
      <c r="B468" s="10"/>
      <c r="C468" s="10"/>
      <c r="D468" s="10"/>
      <c r="E468" s="10"/>
      <c r="F468" s="10"/>
      <c r="G468" s="10"/>
      <c r="H468" s="10"/>
    </row>
    <row r="469" spans="1:8" ht="14.25" customHeight="1" x14ac:dyDescent="0.35">
      <c r="A469" s="10"/>
      <c r="B469" s="10"/>
      <c r="C469" s="10"/>
      <c r="D469" s="10"/>
      <c r="E469" s="10"/>
      <c r="F469" s="10"/>
      <c r="G469" s="10"/>
      <c r="H469" s="10"/>
    </row>
    <row r="470" spans="1:8" ht="14.25" customHeight="1" x14ac:dyDescent="0.35">
      <c r="A470" s="10"/>
      <c r="B470" s="10"/>
      <c r="C470" s="10"/>
      <c r="D470" s="10"/>
      <c r="E470" s="10"/>
      <c r="F470" s="10"/>
      <c r="G470" s="10"/>
      <c r="H470" s="10"/>
    </row>
    <row r="471" spans="1:8" ht="14.25" customHeight="1" x14ac:dyDescent="0.35">
      <c r="A471" s="10"/>
      <c r="B471" s="10"/>
      <c r="C471" s="10"/>
      <c r="D471" s="10"/>
      <c r="E471" s="10"/>
      <c r="F471" s="10"/>
      <c r="G471" s="10"/>
      <c r="H471" s="10"/>
    </row>
    <row r="472" spans="1:8" ht="14.25" customHeight="1" x14ac:dyDescent="0.35">
      <c r="A472" s="10"/>
      <c r="B472" s="10"/>
      <c r="C472" s="10"/>
      <c r="D472" s="10"/>
      <c r="E472" s="10"/>
      <c r="F472" s="10"/>
      <c r="G472" s="10"/>
      <c r="H472" s="10"/>
    </row>
    <row r="473" spans="1:8" ht="14.25" customHeight="1" x14ac:dyDescent="0.35">
      <c r="A473" s="10"/>
      <c r="B473" s="10"/>
      <c r="C473" s="10"/>
      <c r="D473" s="10"/>
      <c r="E473" s="10"/>
      <c r="F473" s="10"/>
      <c r="G473" s="10"/>
      <c r="H473" s="10"/>
    </row>
    <row r="474" spans="1:8" ht="14.25" customHeight="1" x14ac:dyDescent="0.35">
      <c r="A474" s="10"/>
      <c r="B474" s="10"/>
      <c r="C474" s="10"/>
      <c r="D474" s="10"/>
      <c r="E474" s="10"/>
      <c r="F474" s="10"/>
      <c r="G474" s="10"/>
      <c r="H474" s="10"/>
    </row>
    <row r="475" spans="1:8" ht="14.25" customHeight="1" x14ac:dyDescent="0.35">
      <c r="A475" s="10"/>
      <c r="B475" s="10"/>
      <c r="C475" s="10"/>
      <c r="D475" s="10"/>
      <c r="E475" s="10"/>
      <c r="F475" s="10"/>
      <c r="G475" s="10"/>
      <c r="H475" s="10"/>
    </row>
    <row r="476" spans="1:8" ht="14.25" customHeight="1" x14ac:dyDescent="0.35">
      <c r="A476" s="10"/>
      <c r="B476" s="10"/>
      <c r="C476" s="10"/>
      <c r="D476" s="10"/>
      <c r="E476" s="10"/>
      <c r="F476" s="10"/>
      <c r="G476" s="10"/>
      <c r="H476" s="10"/>
    </row>
    <row r="477" spans="1:8" ht="14.25" customHeight="1" x14ac:dyDescent="0.35">
      <c r="A477" s="10"/>
      <c r="B477" s="10"/>
      <c r="C477" s="10"/>
      <c r="D477" s="10"/>
      <c r="E477" s="10"/>
      <c r="F477" s="10"/>
      <c r="G477" s="10"/>
      <c r="H477" s="10"/>
    </row>
    <row r="478" spans="1:8" ht="14.25" customHeight="1" x14ac:dyDescent="0.35">
      <c r="A478" s="10"/>
      <c r="B478" s="10"/>
      <c r="C478" s="10"/>
      <c r="D478" s="10"/>
      <c r="E478" s="10"/>
      <c r="F478" s="10"/>
      <c r="G478" s="10"/>
      <c r="H478" s="10"/>
    </row>
    <row r="479" spans="1:8" ht="14.25" customHeight="1" x14ac:dyDescent="0.35">
      <c r="A479" s="10"/>
      <c r="B479" s="10"/>
      <c r="C479" s="10"/>
      <c r="D479" s="10"/>
      <c r="E479" s="10"/>
      <c r="F479" s="10"/>
      <c r="G479" s="10"/>
      <c r="H479" s="10"/>
    </row>
    <row r="480" spans="1:8" ht="14.25" customHeight="1" x14ac:dyDescent="0.35">
      <c r="A480" s="10"/>
      <c r="B480" s="10"/>
      <c r="C480" s="10"/>
      <c r="D480" s="10"/>
      <c r="E480" s="10"/>
      <c r="F480" s="10"/>
      <c r="G480" s="10"/>
      <c r="H480" s="10"/>
    </row>
    <row r="481" spans="1:8" ht="14.25" customHeight="1" x14ac:dyDescent="0.35">
      <c r="A481" s="10"/>
      <c r="B481" s="10"/>
      <c r="C481" s="10"/>
      <c r="D481" s="10"/>
      <c r="E481" s="10"/>
      <c r="F481" s="10"/>
      <c r="G481" s="10"/>
      <c r="H481" s="10"/>
    </row>
    <row r="482" spans="1:8" ht="14.25" customHeight="1" x14ac:dyDescent="0.35">
      <c r="A482" s="10"/>
      <c r="B482" s="10"/>
      <c r="C482" s="10"/>
      <c r="D482" s="10"/>
      <c r="E482" s="10"/>
      <c r="F482" s="10"/>
      <c r="G482" s="10"/>
      <c r="H482" s="10"/>
    </row>
    <row r="483" spans="1:8" ht="14.25" customHeight="1" x14ac:dyDescent="0.35">
      <c r="A483" s="10"/>
      <c r="B483" s="10"/>
      <c r="C483" s="10"/>
      <c r="D483" s="10"/>
      <c r="E483" s="10"/>
      <c r="F483" s="10"/>
      <c r="G483" s="10"/>
      <c r="H483" s="10"/>
    </row>
    <row r="484" spans="1:8" ht="14.25" customHeight="1" x14ac:dyDescent="0.35">
      <c r="A484" s="10"/>
      <c r="B484" s="10"/>
      <c r="C484" s="10"/>
      <c r="D484" s="10"/>
      <c r="E484" s="10"/>
      <c r="F484" s="10"/>
      <c r="G484" s="10"/>
      <c r="H484" s="10"/>
    </row>
    <row r="485" spans="1:8" ht="14.25" customHeight="1" x14ac:dyDescent="0.35">
      <c r="A485" s="10"/>
      <c r="B485" s="10"/>
      <c r="C485" s="10"/>
      <c r="D485" s="10"/>
      <c r="E485" s="10"/>
      <c r="F485" s="10"/>
      <c r="G485" s="10"/>
      <c r="H485" s="10"/>
    </row>
    <row r="486" spans="1:8" ht="14.25" customHeight="1" x14ac:dyDescent="0.35">
      <c r="A486" s="10"/>
      <c r="B486" s="10"/>
      <c r="C486" s="10"/>
      <c r="D486" s="10"/>
      <c r="E486" s="10"/>
      <c r="F486" s="10"/>
      <c r="G486" s="10"/>
      <c r="H486" s="10"/>
    </row>
    <row r="487" spans="1:8" ht="14.25" customHeight="1" x14ac:dyDescent="0.35">
      <c r="A487" s="10"/>
      <c r="B487" s="10"/>
      <c r="C487" s="10"/>
      <c r="D487" s="10"/>
      <c r="E487" s="10"/>
      <c r="F487" s="10"/>
      <c r="G487" s="10"/>
      <c r="H487" s="10"/>
    </row>
    <row r="488" spans="1:8" ht="14.25" customHeight="1" x14ac:dyDescent="0.35">
      <c r="A488" s="10"/>
      <c r="B488" s="10"/>
      <c r="C488" s="10"/>
      <c r="D488" s="10"/>
      <c r="E488" s="10"/>
      <c r="F488" s="10"/>
      <c r="G488" s="10"/>
      <c r="H488" s="10"/>
    </row>
    <row r="489" spans="1:8" ht="14.25" customHeight="1" x14ac:dyDescent="0.35">
      <c r="A489" s="10"/>
      <c r="B489" s="10"/>
      <c r="C489" s="10"/>
      <c r="D489" s="10"/>
      <c r="E489" s="10"/>
      <c r="F489" s="10"/>
      <c r="G489" s="10"/>
      <c r="H489" s="10"/>
    </row>
    <row r="490" spans="1:8" ht="14.25" customHeight="1" x14ac:dyDescent="0.35">
      <c r="A490" s="10"/>
      <c r="B490" s="10"/>
      <c r="C490" s="10"/>
      <c r="D490" s="10"/>
      <c r="E490" s="10"/>
      <c r="F490" s="10"/>
      <c r="G490" s="10"/>
      <c r="H490" s="10"/>
    </row>
    <row r="491" spans="1:8" ht="14.25" customHeight="1" x14ac:dyDescent="0.35">
      <c r="A491" s="10"/>
      <c r="B491" s="10"/>
      <c r="C491" s="10"/>
      <c r="D491" s="10"/>
      <c r="E491" s="10"/>
      <c r="F491" s="10"/>
      <c r="G491" s="10"/>
      <c r="H491" s="10"/>
    </row>
    <row r="492" spans="1:8" ht="14.25" customHeight="1" x14ac:dyDescent="0.35">
      <c r="A492" s="10"/>
      <c r="B492" s="10"/>
      <c r="C492" s="10"/>
      <c r="D492" s="10"/>
      <c r="E492" s="10"/>
      <c r="F492" s="10"/>
      <c r="G492" s="10"/>
      <c r="H492" s="10"/>
    </row>
    <row r="493" spans="1:8" ht="14.25" customHeight="1" x14ac:dyDescent="0.35">
      <c r="A493" s="10"/>
      <c r="B493" s="10"/>
      <c r="C493" s="10"/>
      <c r="D493" s="10"/>
      <c r="E493" s="10"/>
      <c r="F493" s="10"/>
      <c r="G493" s="10"/>
      <c r="H493" s="10"/>
    </row>
    <row r="494" spans="1:8" ht="14.25" customHeight="1" x14ac:dyDescent="0.35">
      <c r="A494" s="10"/>
      <c r="B494" s="10"/>
      <c r="C494" s="10"/>
      <c r="D494" s="10"/>
      <c r="E494" s="10"/>
      <c r="F494" s="10"/>
      <c r="G494" s="10"/>
      <c r="H494" s="10"/>
    </row>
    <row r="495" spans="1:8" ht="14.25" customHeight="1" x14ac:dyDescent="0.35">
      <c r="A495" s="10"/>
      <c r="B495" s="10"/>
      <c r="C495" s="10"/>
      <c r="D495" s="10"/>
      <c r="E495" s="10"/>
      <c r="F495" s="10"/>
      <c r="G495" s="10"/>
      <c r="H495" s="10"/>
    </row>
    <row r="496" spans="1:8" ht="14.25" customHeight="1" x14ac:dyDescent="0.35">
      <c r="A496" s="10"/>
      <c r="B496" s="10"/>
      <c r="C496" s="10"/>
      <c r="D496" s="10"/>
      <c r="E496" s="10"/>
      <c r="F496" s="10"/>
      <c r="G496" s="10"/>
      <c r="H496" s="10"/>
    </row>
    <row r="497" spans="1:8" ht="14.25" customHeight="1" x14ac:dyDescent="0.35">
      <c r="A497" s="10"/>
      <c r="B497" s="10"/>
      <c r="C497" s="10"/>
      <c r="D497" s="10"/>
      <c r="E497" s="10"/>
      <c r="F497" s="10"/>
      <c r="G497" s="10"/>
      <c r="H497" s="10"/>
    </row>
    <row r="498" spans="1:8" ht="14.25" customHeight="1" x14ac:dyDescent="0.35">
      <c r="A498" s="10"/>
      <c r="B498" s="10"/>
      <c r="C498" s="10"/>
      <c r="D498" s="10"/>
      <c r="E498" s="10"/>
      <c r="F498" s="10"/>
      <c r="G498" s="10"/>
      <c r="H498" s="10"/>
    </row>
    <row r="499" spans="1:8" ht="14.25" customHeight="1" x14ac:dyDescent="0.35">
      <c r="A499" s="10"/>
      <c r="B499" s="10"/>
      <c r="C499" s="10"/>
      <c r="D499" s="10"/>
      <c r="E499" s="10"/>
      <c r="F499" s="10"/>
      <c r="G499" s="10"/>
      <c r="H499" s="10"/>
    </row>
    <row r="500" spans="1:8" ht="14.25" customHeight="1" x14ac:dyDescent="0.35">
      <c r="A500" s="10"/>
      <c r="B500" s="10"/>
      <c r="C500" s="10"/>
      <c r="D500" s="10"/>
      <c r="E500" s="10"/>
      <c r="F500" s="10"/>
      <c r="G500" s="10"/>
      <c r="H500" s="10"/>
    </row>
    <row r="501" spans="1:8" ht="14.25" customHeight="1" x14ac:dyDescent="0.35">
      <c r="A501" s="10"/>
      <c r="B501" s="10"/>
      <c r="C501" s="10"/>
      <c r="D501" s="10"/>
      <c r="E501" s="10"/>
      <c r="F501" s="10"/>
      <c r="G501" s="10"/>
      <c r="H501" s="10"/>
    </row>
    <row r="502" spans="1:8" ht="14.25" customHeight="1" x14ac:dyDescent="0.35">
      <c r="A502" s="10"/>
      <c r="B502" s="10"/>
      <c r="C502" s="10"/>
      <c r="D502" s="10"/>
      <c r="E502" s="10"/>
      <c r="F502" s="10"/>
      <c r="G502" s="10"/>
      <c r="H502" s="10"/>
    </row>
    <row r="503" spans="1:8" ht="14.25" customHeight="1" x14ac:dyDescent="0.35">
      <c r="A503" s="10"/>
      <c r="B503" s="10"/>
      <c r="C503" s="10"/>
      <c r="D503" s="10"/>
      <c r="E503" s="10"/>
      <c r="F503" s="10"/>
      <c r="G503" s="10"/>
      <c r="H503" s="10"/>
    </row>
    <row r="504" spans="1:8" ht="14.25" customHeight="1" x14ac:dyDescent="0.35">
      <c r="A504" s="10"/>
      <c r="B504" s="10"/>
      <c r="C504" s="10"/>
      <c r="D504" s="10"/>
      <c r="E504" s="10"/>
      <c r="F504" s="10"/>
      <c r="G504" s="10"/>
      <c r="H504" s="10"/>
    </row>
    <row r="505" spans="1:8" ht="14.25" customHeight="1" x14ac:dyDescent="0.35">
      <c r="A505" s="10"/>
      <c r="B505" s="10"/>
      <c r="C505" s="10"/>
      <c r="D505" s="10"/>
      <c r="E505" s="10"/>
      <c r="F505" s="10"/>
      <c r="G505" s="10"/>
      <c r="H505" s="10"/>
    </row>
    <row r="506" spans="1:8" ht="14.25" customHeight="1" x14ac:dyDescent="0.35">
      <c r="A506" s="10"/>
      <c r="B506" s="10"/>
      <c r="C506" s="10"/>
      <c r="D506" s="10"/>
      <c r="E506" s="10"/>
      <c r="F506" s="10"/>
      <c r="G506" s="10"/>
      <c r="H506" s="10"/>
    </row>
    <row r="507" spans="1:8" ht="14.25" customHeight="1" x14ac:dyDescent="0.35">
      <c r="A507" s="10"/>
      <c r="B507" s="10"/>
      <c r="C507" s="10"/>
      <c r="D507" s="10"/>
      <c r="E507" s="10"/>
      <c r="F507" s="10"/>
      <c r="G507" s="10"/>
      <c r="H507" s="10"/>
    </row>
    <row r="508" spans="1:8" ht="14.25" customHeight="1" x14ac:dyDescent="0.35">
      <c r="A508" s="10"/>
      <c r="B508" s="10"/>
      <c r="C508" s="10"/>
      <c r="D508" s="10"/>
      <c r="E508" s="10"/>
      <c r="F508" s="10"/>
      <c r="G508" s="10"/>
      <c r="H508" s="10"/>
    </row>
    <row r="509" spans="1:8" ht="14.25" customHeight="1" x14ac:dyDescent="0.35">
      <c r="A509" s="10"/>
      <c r="B509" s="10"/>
      <c r="C509" s="10"/>
      <c r="D509" s="10"/>
      <c r="E509" s="10"/>
      <c r="F509" s="10"/>
      <c r="G509" s="10"/>
      <c r="H509" s="10"/>
    </row>
    <row r="510" spans="1:8" ht="14.25" customHeight="1" x14ac:dyDescent="0.35">
      <c r="A510" s="10"/>
      <c r="B510" s="10"/>
      <c r="C510" s="10"/>
      <c r="D510" s="10"/>
      <c r="E510" s="10"/>
      <c r="F510" s="10"/>
      <c r="G510" s="10"/>
      <c r="H510" s="10"/>
    </row>
    <row r="511" spans="1:8" ht="14.25" customHeight="1" x14ac:dyDescent="0.35">
      <c r="A511" s="10"/>
      <c r="B511" s="10"/>
      <c r="C511" s="10"/>
      <c r="D511" s="10"/>
      <c r="E511" s="10"/>
      <c r="F511" s="10"/>
      <c r="G511" s="10"/>
      <c r="H511" s="10"/>
    </row>
    <row r="512" spans="1:8" ht="14.25" customHeight="1" x14ac:dyDescent="0.35">
      <c r="A512" s="10"/>
      <c r="B512" s="10"/>
      <c r="C512" s="10"/>
      <c r="D512" s="10"/>
      <c r="E512" s="10"/>
      <c r="F512" s="10"/>
      <c r="G512" s="10"/>
      <c r="H512" s="10"/>
    </row>
    <row r="513" spans="1:8" ht="14.25" customHeight="1" x14ac:dyDescent="0.35">
      <c r="A513" s="10"/>
      <c r="B513" s="10"/>
      <c r="C513" s="10"/>
      <c r="D513" s="10"/>
      <c r="E513" s="10"/>
      <c r="F513" s="10"/>
      <c r="G513" s="10"/>
      <c r="H513" s="10"/>
    </row>
    <row r="514" spans="1:8" ht="14.25" customHeight="1" x14ac:dyDescent="0.35">
      <c r="A514" s="10"/>
      <c r="B514" s="10"/>
      <c r="C514" s="10"/>
      <c r="D514" s="10"/>
      <c r="E514" s="10"/>
      <c r="F514" s="10"/>
      <c r="G514" s="10"/>
      <c r="H514" s="10"/>
    </row>
    <row r="515" spans="1:8" ht="14.25" customHeight="1" x14ac:dyDescent="0.35">
      <c r="A515" s="10"/>
      <c r="B515" s="10"/>
      <c r="C515" s="10"/>
      <c r="D515" s="10"/>
      <c r="E515" s="10"/>
      <c r="F515" s="10"/>
      <c r="G515" s="10"/>
      <c r="H515" s="10"/>
    </row>
    <row r="516" spans="1:8" ht="14.25" customHeight="1" x14ac:dyDescent="0.35">
      <c r="A516" s="10"/>
      <c r="B516" s="10"/>
      <c r="C516" s="10"/>
      <c r="D516" s="10"/>
      <c r="E516" s="10"/>
      <c r="F516" s="10"/>
      <c r="G516" s="10"/>
      <c r="H516" s="10"/>
    </row>
    <row r="517" spans="1:8" ht="14.25" customHeight="1" x14ac:dyDescent="0.35">
      <c r="A517" s="10"/>
      <c r="B517" s="10"/>
      <c r="C517" s="10"/>
      <c r="D517" s="10"/>
      <c r="E517" s="10"/>
      <c r="F517" s="10"/>
      <c r="G517" s="10"/>
      <c r="H517" s="10"/>
    </row>
    <row r="518" spans="1:8" ht="14.25" customHeight="1" x14ac:dyDescent="0.35">
      <c r="A518" s="10"/>
      <c r="B518" s="10"/>
      <c r="C518" s="10"/>
      <c r="D518" s="10"/>
      <c r="E518" s="10"/>
      <c r="F518" s="10"/>
      <c r="G518" s="10"/>
      <c r="H518" s="10"/>
    </row>
    <row r="519" spans="1:8" ht="14.25" customHeight="1" x14ac:dyDescent="0.35">
      <c r="A519" s="10"/>
      <c r="B519" s="10"/>
      <c r="C519" s="10"/>
      <c r="D519" s="10"/>
      <c r="E519" s="10"/>
      <c r="F519" s="10"/>
      <c r="G519" s="10"/>
      <c r="H519" s="10"/>
    </row>
    <row r="520" spans="1:8" ht="14.25" customHeight="1" x14ac:dyDescent="0.35">
      <c r="A520" s="10"/>
      <c r="B520" s="10"/>
      <c r="C520" s="10"/>
      <c r="D520" s="10"/>
      <c r="E520" s="10"/>
      <c r="F520" s="10"/>
      <c r="G520" s="10"/>
      <c r="H520" s="10"/>
    </row>
    <row r="521" spans="1:8" ht="14.25" customHeight="1" x14ac:dyDescent="0.35">
      <c r="A521" s="10"/>
      <c r="B521" s="10"/>
      <c r="C521" s="10"/>
      <c r="D521" s="10"/>
      <c r="E521" s="10"/>
      <c r="F521" s="10"/>
      <c r="G521" s="10"/>
      <c r="H521" s="10"/>
    </row>
    <row r="522" spans="1:8" ht="14.25" customHeight="1" x14ac:dyDescent="0.35">
      <c r="A522" s="10"/>
      <c r="B522" s="10"/>
      <c r="C522" s="10"/>
      <c r="D522" s="10"/>
      <c r="E522" s="10"/>
      <c r="F522" s="10"/>
      <c r="G522" s="10"/>
      <c r="H522" s="10"/>
    </row>
    <row r="523" spans="1:8" ht="14.25" customHeight="1" x14ac:dyDescent="0.35">
      <c r="A523" s="10"/>
      <c r="B523" s="10"/>
      <c r="C523" s="10"/>
      <c r="D523" s="10"/>
      <c r="E523" s="10"/>
      <c r="F523" s="10"/>
      <c r="G523" s="10"/>
      <c r="H523" s="10"/>
    </row>
    <row r="524" spans="1:8" ht="14.25" customHeight="1" x14ac:dyDescent="0.35">
      <c r="A524" s="10"/>
      <c r="B524" s="10"/>
      <c r="C524" s="10"/>
      <c r="D524" s="10"/>
      <c r="E524" s="10"/>
      <c r="F524" s="10"/>
      <c r="G524" s="10"/>
      <c r="H524" s="10"/>
    </row>
    <row r="525" spans="1:8" ht="14.25" customHeight="1" x14ac:dyDescent="0.35">
      <c r="A525" s="10"/>
      <c r="B525" s="10"/>
      <c r="C525" s="10"/>
      <c r="D525" s="10"/>
      <c r="E525" s="10"/>
      <c r="F525" s="10"/>
      <c r="G525" s="10"/>
      <c r="H525" s="10"/>
    </row>
    <row r="526" spans="1:8" ht="14.25" customHeight="1" x14ac:dyDescent="0.35">
      <c r="A526" s="10"/>
      <c r="B526" s="10"/>
      <c r="C526" s="10"/>
      <c r="D526" s="10"/>
      <c r="E526" s="10"/>
      <c r="F526" s="10"/>
      <c r="G526" s="10"/>
      <c r="H526" s="10"/>
    </row>
    <row r="527" spans="1:8" ht="14.25" customHeight="1" x14ac:dyDescent="0.35">
      <c r="A527" s="10"/>
      <c r="B527" s="10"/>
      <c r="C527" s="10"/>
      <c r="D527" s="10"/>
      <c r="E527" s="10"/>
      <c r="F527" s="10"/>
      <c r="G527" s="10"/>
      <c r="H527" s="10"/>
    </row>
    <row r="528" spans="1:8" ht="14.25" customHeight="1" x14ac:dyDescent="0.35">
      <c r="A528" s="10"/>
      <c r="B528" s="10"/>
      <c r="C528" s="10"/>
      <c r="D528" s="10"/>
      <c r="E528" s="10"/>
      <c r="F528" s="10"/>
      <c r="G528" s="10"/>
      <c r="H528" s="10"/>
    </row>
    <row r="529" spans="1:8" ht="14.25" customHeight="1" x14ac:dyDescent="0.35">
      <c r="A529" s="10"/>
      <c r="B529" s="10"/>
      <c r="C529" s="10"/>
      <c r="D529" s="10"/>
      <c r="E529" s="10"/>
      <c r="F529" s="10"/>
      <c r="G529" s="10"/>
      <c r="H529" s="10"/>
    </row>
    <row r="530" spans="1:8" ht="14.25" customHeight="1" x14ac:dyDescent="0.35">
      <c r="A530" s="10"/>
      <c r="B530" s="10"/>
      <c r="C530" s="10"/>
      <c r="D530" s="10"/>
      <c r="E530" s="10"/>
      <c r="F530" s="10"/>
      <c r="G530" s="10"/>
      <c r="H530" s="10"/>
    </row>
    <row r="531" spans="1:8" ht="14.25" customHeight="1" x14ac:dyDescent="0.35">
      <c r="A531" s="10"/>
      <c r="B531" s="10"/>
      <c r="C531" s="10"/>
      <c r="D531" s="10"/>
      <c r="E531" s="10"/>
      <c r="F531" s="10"/>
      <c r="G531" s="10"/>
      <c r="H531" s="10"/>
    </row>
    <row r="532" spans="1:8" ht="14.25" customHeight="1" x14ac:dyDescent="0.35">
      <c r="A532" s="10"/>
      <c r="B532" s="10"/>
      <c r="C532" s="10"/>
      <c r="D532" s="10"/>
      <c r="E532" s="10"/>
      <c r="F532" s="10"/>
      <c r="G532" s="10"/>
      <c r="H532" s="10"/>
    </row>
    <row r="533" spans="1:8" ht="14.25" customHeight="1" x14ac:dyDescent="0.35">
      <c r="A533" s="10"/>
      <c r="B533" s="10"/>
      <c r="C533" s="10"/>
      <c r="D533" s="10"/>
      <c r="E533" s="10"/>
      <c r="F533" s="10"/>
      <c r="G533" s="10"/>
      <c r="H533" s="10"/>
    </row>
    <row r="534" spans="1:8" ht="14.25" customHeight="1" x14ac:dyDescent="0.35">
      <c r="A534" s="10"/>
      <c r="B534" s="10"/>
      <c r="C534" s="10"/>
      <c r="D534" s="10"/>
      <c r="E534" s="10"/>
      <c r="F534" s="10"/>
      <c r="G534" s="10"/>
      <c r="H534" s="10"/>
    </row>
    <row r="535" spans="1:8" ht="14.25" customHeight="1" x14ac:dyDescent="0.35">
      <c r="A535" s="10"/>
      <c r="B535" s="10"/>
      <c r="C535" s="10"/>
      <c r="D535" s="10"/>
      <c r="E535" s="10"/>
      <c r="F535" s="10"/>
      <c r="G535" s="10"/>
      <c r="H535" s="10"/>
    </row>
    <row r="536" spans="1:8" ht="14.25" customHeight="1" x14ac:dyDescent="0.35">
      <c r="A536" s="10"/>
      <c r="B536" s="10"/>
      <c r="C536" s="10"/>
      <c r="D536" s="10"/>
      <c r="E536" s="10"/>
      <c r="F536" s="10"/>
      <c r="G536" s="10"/>
      <c r="H536" s="10"/>
    </row>
    <row r="537" spans="1:8" ht="14.25" customHeight="1" x14ac:dyDescent="0.35">
      <c r="A537" s="10"/>
      <c r="B537" s="10"/>
      <c r="C537" s="10"/>
      <c r="D537" s="10"/>
      <c r="E537" s="10"/>
      <c r="F537" s="10"/>
      <c r="G537" s="10"/>
      <c r="H537" s="10"/>
    </row>
    <row r="538" spans="1:8" ht="14.25" customHeight="1" x14ac:dyDescent="0.35">
      <c r="A538" s="10"/>
      <c r="B538" s="10"/>
      <c r="C538" s="10"/>
      <c r="D538" s="10"/>
      <c r="E538" s="10"/>
      <c r="F538" s="10"/>
      <c r="G538" s="10"/>
      <c r="H538" s="10"/>
    </row>
    <row r="539" spans="1:8" ht="14.25" customHeight="1" x14ac:dyDescent="0.35">
      <c r="A539" s="10"/>
      <c r="B539" s="10"/>
      <c r="C539" s="10"/>
      <c r="D539" s="10"/>
      <c r="E539" s="10"/>
      <c r="F539" s="10"/>
      <c r="G539" s="10"/>
      <c r="H539" s="10"/>
    </row>
    <row r="540" spans="1:8" ht="14.25" customHeight="1" x14ac:dyDescent="0.35">
      <c r="A540" s="10"/>
      <c r="B540" s="10"/>
      <c r="C540" s="10"/>
      <c r="D540" s="10"/>
      <c r="E540" s="10"/>
      <c r="F540" s="10"/>
      <c r="G540" s="10"/>
      <c r="H540" s="10"/>
    </row>
    <row r="541" spans="1:8" ht="14.25" customHeight="1" x14ac:dyDescent="0.35">
      <c r="A541" s="10"/>
      <c r="B541" s="10"/>
      <c r="C541" s="10"/>
      <c r="D541" s="10"/>
      <c r="E541" s="10"/>
      <c r="F541" s="10"/>
      <c r="G541" s="10"/>
      <c r="H541" s="10"/>
    </row>
    <row r="542" spans="1:8" ht="14.25" customHeight="1" x14ac:dyDescent="0.35">
      <c r="A542" s="10"/>
      <c r="B542" s="10"/>
      <c r="C542" s="10"/>
      <c r="D542" s="10"/>
      <c r="E542" s="10"/>
      <c r="F542" s="10"/>
      <c r="G542" s="10"/>
      <c r="H542" s="10"/>
    </row>
    <row r="543" spans="1:8" ht="14.25" customHeight="1" x14ac:dyDescent="0.35">
      <c r="A543" s="10"/>
      <c r="B543" s="10"/>
      <c r="C543" s="10"/>
      <c r="D543" s="10"/>
      <c r="E543" s="10"/>
      <c r="F543" s="10"/>
      <c r="G543" s="10"/>
      <c r="H543" s="10"/>
    </row>
    <row r="544" spans="1:8" ht="14.25" customHeight="1" x14ac:dyDescent="0.35">
      <c r="A544" s="10"/>
      <c r="B544" s="10"/>
      <c r="C544" s="10"/>
      <c r="D544" s="10"/>
      <c r="E544" s="10"/>
      <c r="F544" s="10"/>
      <c r="G544" s="10"/>
      <c r="H544" s="10"/>
    </row>
    <row r="545" spans="1:8" ht="14.25" customHeight="1" x14ac:dyDescent="0.35">
      <c r="A545" s="10"/>
      <c r="B545" s="10"/>
      <c r="C545" s="10"/>
      <c r="D545" s="10"/>
      <c r="E545" s="10"/>
      <c r="F545" s="10"/>
      <c r="G545" s="10"/>
      <c r="H545" s="10"/>
    </row>
    <row r="546" spans="1:8" ht="14.25" customHeight="1" x14ac:dyDescent="0.35">
      <c r="A546" s="10"/>
      <c r="B546" s="10"/>
      <c r="C546" s="10"/>
      <c r="D546" s="10"/>
      <c r="E546" s="10"/>
      <c r="F546" s="10"/>
      <c r="G546" s="10"/>
      <c r="H546" s="10"/>
    </row>
    <row r="547" spans="1:8" ht="14.25" customHeight="1" x14ac:dyDescent="0.35">
      <c r="A547" s="10"/>
      <c r="B547" s="10"/>
      <c r="C547" s="10"/>
      <c r="D547" s="10"/>
      <c r="E547" s="10"/>
      <c r="F547" s="10"/>
      <c r="G547" s="10"/>
      <c r="H547" s="10"/>
    </row>
    <row r="548" spans="1:8" ht="14.25" customHeight="1" x14ac:dyDescent="0.35">
      <c r="A548" s="10"/>
      <c r="B548" s="10"/>
      <c r="C548" s="10"/>
      <c r="D548" s="10"/>
      <c r="E548" s="10"/>
      <c r="F548" s="10"/>
      <c r="G548" s="10"/>
      <c r="H548" s="10"/>
    </row>
    <row r="549" spans="1:8" ht="14.25" customHeight="1" x14ac:dyDescent="0.35">
      <c r="A549" s="10"/>
      <c r="B549" s="10"/>
      <c r="C549" s="10"/>
      <c r="D549" s="10"/>
      <c r="E549" s="10"/>
      <c r="F549" s="10"/>
      <c r="G549" s="10"/>
      <c r="H549" s="10"/>
    </row>
    <row r="550" spans="1:8" ht="14.25" customHeight="1" x14ac:dyDescent="0.35">
      <c r="A550" s="10"/>
      <c r="B550" s="10"/>
      <c r="C550" s="10"/>
      <c r="D550" s="10"/>
      <c r="E550" s="10"/>
      <c r="F550" s="10"/>
      <c r="G550" s="10"/>
      <c r="H550" s="10"/>
    </row>
    <row r="551" spans="1:8" ht="14.25" customHeight="1" x14ac:dyDescent="0.35">
      <c r="A551" s="10"/>
      <c r="B551" s="10"/>
      <c r="C551" s="10"/>
      <c r="D551" s="10"/>
      <c r="E551" s="10"/>
      <c r="F551" s="10"/>
      <c r="G551" s="10"/>
      <c r="H551" s="10"/>
    </row>
    <row r="552" spans="1:8" ht="14.25" customHeight="1" x14ac:dyDescent="0.35">
      <c r="A552" s="10"/>
      <c r="B552" s="10"/>
      <c r="C552" s="10"/>
      <c r="D552" s="10"/>
      <c r="E552" s="10"/>
      <c r="F552" s="10"/>
      <c r="G552" s="10"/>
      <c r="H552" s="10"/>
    </row>
    <row r="553" spans="1:8" ht="14.25" customHeight="1" x14ac:dyDescent="0.35">
      <c r="A553" s="10"/>
      <c r="B553" s="10"/>
      <c r="C553" s="10"/>
      <c r="D553" s="10"/>
      <c r="E553" s="10"/>
      <c r="F553" s="10"/>
      <c r="G553" s="10"/>
      <c r="H553" s="10"/>
    </row>
    <row r="554" spans="1:8" ht="14.25" customHeight="1" x14ac:dyDescent="0.35">
      <c r="A554" s="10"/>
      <c r="B554" s="10"/>
      <c r="C554" s="10"/>
      <c r="D554" s="10"/>
      <c r="E554" s="10"/>
      <c r="F554" s="10"/>
      <c r="G554" s="10"/>
      <c r="H554" s="10"/>
    </row>
    <row r="555" spans="1:8" ht="14.25" customHeight="1" x14ac:dyDescent="0.35">
      <c r="A555" s="10"/>
      <c r="B555" s="10"/>
      <c r="C555" s="10"/>
      <c r="D555" s="10"/>
      <c r="E555" s="10"/>
      <c r="F555" s="10"/>
      <c r="G555" s="10"/>
      <c r="H555" s="10"/>
    </row>
    <row r="556" spans="1:8" ht="14.25" customHeight="1" x14ac:dyDescent="0.35">
      <c r="A556" s="10"/>
      <c r="B556" s="10"/>
      <c r="C556" s="10"/>
      <c r="D556" s="10"/>
      <c r="E556" s="10"/>
      <c r="F556" s="10"/>
      <c r="G556" s="10"/>
      <c r="H556" s="10"/>
    </row>
    <row r="557" spans="1:8" ht="14.25" customHeight="1" x14ac:dyDescent="0.35">
      <c r="A557" s="10"/>
      <c r="B557" s="10"/>
      <c r="C557" s="10"/>
      <c r="D557" s="10"/>
      <c r="E557" s="10"/>
      <c r="F557" s="10"/>
      <c r="G557" s="10"/>
      <c r="H557" s="10"/>
    </row>
    <row r="558" spans="1:8" ht="14.25" customHeight="1" x14ac:dyDescent="0.35">
      <c r="A558" s="10"/>
      <c r="B558" s="10"/>
      <c r="C558" s="10"/>
      <c r="D558" s="10"/>
      <c r="E558" s="10"/>
      <c r="F558" s="10"/>
      <c r="G558" s="10"/>
      <c r="H558" s="10"/>
    </row>
    <row r="559" spans="1:8" ht="14.25" customHeight="1" x14ac:dyDescent="0.35">
      <c r="A559" s="10"/>
      <c r="B559" s="10"/>
      <c r="C559" s="10"/>
      <c r="D559" s="10"/>
      <c r="E559" s="10"/>
      <c r="F559" s="10"/>
      <c r="G559" s="10"/>
      <c r="H559" s="10"/>
    </row>
    <row r="560" spans="1:8" ht="14.25" customHeight="1" x14ac:dyDescent="0.35">
      <c r="A560" s="10"/>
      <c r="B560" s="10"/>
      <c r="C560" s="10"/>
      <c r="D560" s="10"/>
      <c r="E560" s="10"/>
      <c r="F560" s="10"/>
      <c r="G560" s="10"/>
      <c r="H560" s="10"/>
    </row>
    <row r="561" spans="1:8" ht="14.25" customHeight="1" x14ac:dyDescent="0.35">
      <c r="A561" s="10"/>
      <c r="B561" s="10"/>
      <c r="C561" s="10"/>
      <c r="D561" s="10"/>
      <c r="E561" s="10"/>
      <c r="F561" s="10"/>
      <c r="G561" s="10"/>
      <c r="H561" s="10"/>
    </row>
    <row r="562" spans="1:8" ht="14.25" customHeight="1" x14ac:dyDescent="0.35">
      <c r="A562" s="10"/>
      <c r="B562" s="10"/>
      <c r="C562" s="10"/>
      <c r="D562" s="10"/>
      <c r="E562" s="10"/>
      <c r="F562" s="10"/>
      <c r="G562" s="10"/>
      <c r="H562" s="10"/>
    </row>
    <row r="563" spans="1:8" ht="14.25" customHeight="1" x14ac:dyDescent="0.35">
      <c r="A563" s="10"/>
      <c r="B563" s="10"/>
      <c r="C563" s="10"/>
      <c r="D563" s="10"/>
      <c r="E563" s="10"/>
      <c r="F563" s="10"/>
      <c r="G563" s="10"/>
      <c r="H563" s="10"/>
    </row>
    <row r="564" spans="1:8" ht="14.25" customHeight="1" x14ac:dyDescent="0.35">
      <c r="A564" s="10"/>
      <c r="B564" s="10"/>
      <c r="C564" s="10"/>
      <c r="D564" s="10"/>
      <c r="E564" s="10"/>
      <c r="F564" s="10"/>
      <c r="G564" s="10"/>
      <c r="H564" s="10"/>
    </row>
    <row r="565" spans="1:8" ht="14.25" customHeight="1" x14ac:dyDescent="0.35">
      <c r="A565" s="10"/>
      <c r="B565" s="10"/>
      <c r="C565" s="10"/>
      <c r="D565" s="10"/>
      <c r="E565" s="10"/>
      <c r="F565" s="10"/>
      <c r="G565" s="10"/>
      <c r="H565" s="10"/>
    </row>
    <row r="566" spans="1:8" ht="14.25" customHeight="1" x14ac:dyDescent="0.35">
      <c r="A566" s="10"/>
      <c r="B566" s="10"/>
      <c r="C566" s="10"/>
      <c r="D566" s="10"/>
      <c r="E566" s="10"/>
      <c r="F566" s="10"/>
      <c r="G566" s="10"/>
      <c r="H566" s="10"/>
    </row>
    <row r="567" spans="1:8" ht="14.25" customHeight="1" x14ac:dyDescent="0.35">
      <c r="A567" s="10"/>
      <c r="B567" s="10"/>
      <c r="C567" s="10"/>
      <c r="D567" s="10"/>
      <c r="E567" s="10"/>
      <c r="F567" s="10"/>
      <c r="G567" s="10"/>
      <c r="H567" s="10"/>
    </row>
    <row r="568" spans="1:8" ht="14.25" customHeight="1" x14ac:dyDescent="0.35">
      <c r="A568" s="10"/>
      <c r="B568" s="10"/>
      <c r="C568" s="10"/>
      <c r="D568" s="10"/>
      <c r="E568" s="10"/>
      <c r="F568" s="10"/>
      <c r="G568" s="10"/>
      <c r="H568" s="10"/>
    </row>
    <row r="569" spans="1:8" ht="14.25" customHeight="1" x14ac:dyDescent="0.35">
      <c r="A569" s="10"/>
      <c r="B569" s="10"/>
      <c r="C569" s="10"/>
      <c r="D569" s="10"/>
      <c r="E569" s="10"/>
      <c r="F569" s="10"/>
      <c r="G569" s="10"/>
      <c r="H569" s="10"/>
    </row>
    <row r="570" spans="1:8" ht="14.25" customHeight="1" x14ac:dyDescent="0.35">
      <c r="A570" s="10"/>
      <c r="B570" s="10"/>
      <c r="C570" s="10"/>
      <c r="D570" s="10"/>
      <c r="E570" s="10"/>
      <c r="F570" s="10"/>
      <c r="G570" s="10"/>
      <c r="H570" s="10"/>
    </row>
    <row r="571" spans="1:8" ht="14.25" customHeight="1" x14ac:dyDescent="0.35">
      <c r="A571" s="10"/>
      <c r="B571" s="10"/>
      <c r="C571" s="10"/>
      <c r="D571" s="10"/>
      <c r="E571" s="10"/>
      <c r="F571" s="10"/>
      <c r="G571" s="10"/>
      <c r="H571" s="10"/>
    </row>
    <row r="572" spans="1:8" ht="14.25" customHeight="1" x14ac:dyDescent="0.35">
      <c r="A572" s="10"/>
      <c r="B572" s="10"/>
      <c r="C572" s="10"/>
      <c r="D572" s="10"/>
      <c r="E572" s="10"/>
      <c r="F572" s="10"/>
      <c r="G572" s="10"/>
      <c r="H572" s="10"/>
    </row>
    <row r="573" spans="1:8" ht="14.25" customHeight="1" x14ac:dyDescent="0.35">
      <c r="A573" s="10"/>
      <c r="B573" s="10"/>
      <c r="C573" s="10"/>
      <c r="D573" s="10"/>
      <c r="E573" s="10"/>
      <c r="F573" s="10"/>
      <c r="G573" s="10"/>
      <c r="H573" s="10"/>
    </row>
    <row r="574" spans="1:8" ht="14.25" customHeight="1" x14ac:dyDescent="0.35">
      <c r="A574" s="10"/>
      <c r="B574" s="10"/>
      <c r="C574" s="10"/>
      <c r="D574" s="10"/>
      <c r="E574" s="10"/>
      <c r="F574" s="10"/>
      <c r="G574" s="10"/>
      <c r="H574" s="10"/>
    </row>
    <row r="575" spans="1:8" ht="14.25" customHeight="1" x14ac:dyDescent="0.35">
      <c r="A575" s="10"/>
      <c r="B575" s="10"/>
      <c r="C575" s="10"/>
      <c r="D575" s="10"/>
      <c r="E575" s="10"/>
      <c r="F575" s="10"/>
      <c r="G575" s="10"/>
      <c r="H575" s="10"/>
    </row>
    <row r="576" spans="1:8" ht="14.25" customHeight="1" x14ac:dyDescent="0.35">
      <c r="A576" s="10"/>
      <c r="B576" s="10"/>
      <c r="C576" s="10"/>
      <c r="D576" s="10"/>
      <c r="E576" s="10"/>
      <c r="F576" s="10"/>
      <c r="G576" s="10"/>
      <c r="H576" s="10"/>
    </row>
    <row r="577" spans="1:8" ht="14.25" customHeight="1" x14ac:dyDescent="0.35">
      <c r="A577" s="10"/>
      <c r="B577" s="10"/>
      <c r="C577" s="10"/>
      <c r="D577" s="10"/>
      <c r="E577" s="10"/>
      <c r="F577" s="10"/>
      <c r="G577" s="10"/>
      <c r="H577" s="10"/>
    </row>
    <row r="578" spans="1:8" ht="14.25" customHeight="1" x14ac:dyDescent="0.35">
      <c r="A578" s="10"/>
      <c r="B578" s="10"/>
      <c r="C578" s="10"/>
      <c r="D578" s="10"/>
      <c r="E578" s="10"/>
      <c r="F578" s="10"/>
      <c r="G578" s="10"/>
      <c r="H578" s="10"/>
    </row>
    <row r="579" spans="1:8" ht="14.25" customHeight="1" x14ac:dyDescent="0.35">
      <c r="A579" s="10"/>
      <c r="B579" s="10"/>
      <c r="C579" s="10"/>
      <c r="D579" s="10"/>
      <c r="E579" s="10"/>
      <c r="F579" s="10"/>
      <c r="G579" s="10"/>
      <c r="H579" s="10"/>
    </row>
    <row r="580" spans="1:8" ht="14.25" customHeight="1" x14ac:dyDescent="0.35">
      <c r="A580" s="10"/>
      <c r="B580" s="10"/>
      <c r="C580" s="10"/>
      <c r="D580" s="10"/>
      <c r="E580" s="10"/>
      <c r="F580" s="10"/>
      <c r="G580" s="10"/>
      <c r="H580" s="10"/>
    </row>
    <row r="581" spans="1:8" ht="14.25" customHeight="1" x14ac:dyDescent="0.35">
      <c r="A581" s="10"/>
      <c r="B581" s="10"/>
      <c r="C581" s="10"/>
      <c r="D581" s="10"/>
      <c r="E581" s="10"/>
      <c r="F581" s="10"/>
      <c r="G581" s="10"/>
      <c r="H581" s="10"/>
    </row>
    <row r="582" spans="1:8" ht="14.25" customHeight="1" x14ac:dyDescent="0.35">
      <c r="A582" s="10"/>
      <c r="B582" s="10"/>
      <c r="C582" s="10"/>
      <c r="D582" s="10"/>
      <c r="E582" s="10"/>
      <c r="F582" s="10"/>
      <c r="G582" s="10"/>
      <c r="H582" s="10"/>
    </row>
    <row r="583" spans="1:8" ht="14.25" customHeight="1" x14ac:dyDescent="0.35">
      <c r="A583" s="10"/>
      <c r="B583" s="10"/>
      <c r="C583" s="10"/>
      <c r="D583" s="10"/>
      <c r="E583" s="10"/>
      <c r="F583" s="10"/>
      <c r="G583" s="10"/>
      <c r="H583" s="10"/>
    </row>
    <row r="584" spans="1:8" ht="14.25" customHeight="1" x14ac:dyDescent="0.35">
      <c r="A584" s="10"/>
      <c r="B584" s="10"/>
      <c r="C584" s="10"/>
      <c r="D584" s="10"/>
      <c r="E584" s="10"/>
      <c r="F584" s="10"/>
      <c r="G584" s="10"/>
      <c r="H584" s="10"/>
    </row>
    <row r="585" spans="1:8" ht="14.25" customHeight="1" x14ac:dyDescent="0.35">
      <c r="A585" s="10"/>
      <c r="B585" s="10"/>
      <c r="C585" s="10"/>
      <c r="D585" s="10"/>
      <c r="E585" s="10"/>
      <c r="F585" s="10"/>
      <c r="G585" s="10"/>
      <c r="H585" s="10"/>
    </row>
    <row r="586" spans="1:8" ht="14.25" customHeight="1" x14ac:dyDescent="0.35">
      <c r="A586" s="10"/>
      <c r="B586" s="10"/>
      <c r="C586" s="10"/>
      <c r="D586" s="10"/>
      <c r="E586" s="10"/>
      <c r="F586" s="10"/>
      <c r="G586" s="10"/>
      <c r="H586" s="10"/>
    </row>
    <row r="587" spans="1:8" ht="14.25" customHeight="1" x14ac:dyDescent="0.35">
      <c r="A587" s="10"/>
      <c r="B587" s="10"/>
      <c r="C587" s="10"/>
      <c r="D587" s="10"/>
      <c r="E587" s="10"/>
      <c r="F587" s="10"/>
      <c r="G587" s="10"/>
      <c r="H587" s="10"/>
    </row>
    <row r="588" spans="1:8" ht="14.25" customHeight="1" x14ac:dyDescent="0.35">
      <c r="A588" s="10"/>
      <c r="B588" s="10"/>
      <c r="C588" s="10"/>
      <c r="D588" s="10"/>
      <c r="E588" s="10"/>
      <c r="F588" s="10"/>
      <c r="G588" s="10"/>
      <c r="H588" s="10"/>
    </row>
    <row r="589" spans="1:8" ht="14.25" customHeight="1" x14ac:dyDescent="0.35">
      <c r="A589" s="10"/>
      <c r="B589" s="10"/>
      <c r="C589" s="10"/>
      <c r="D589" s="10"/>
      <c r="E589" s="10"/>
      <c r="F589" s="10"/>
      <c r="G589" s="10"/>
      <c r="H589" s="10"/>
    </row>
    <row r="590" spans="1:8" ht="14.25" customHeight="1" x14ac:dyDescent="0.35">
      <c r="A590" s="10"/>
      <c r="B590" s="10"/>
      <c r="C590" s="10"/>
      <c r="D590" s="10"/>
      <c r="E590" s="10"/>
      <c r="F590" s="10"/>
      <c r="G590" s="10"/>
      <c r="H590" s="10"/>
    </row>
    <row r="591" spans="1:8" ht="14.25" customHeight="1" x14ac:dyDescent="0.35">
      <c r="A591" s="10"/>
      <c r="B591" s="10"/>
      <c r="C591" s="10"/>
      <c r="D591" s="10"/>
      <c r="E591" s="10"/>
      <c r="F591" s="10"/>
      <c r="G591" s="10"/>
      <c r="H591" s="10"/>
    </row>
    <row r="592" spans="1:8" ht="14.25" customHeight="1" x14ac:dyDescent="0.35">
      <c r="A592" s="10"/>
      <c r="B592" s="10"/>
      <c r="C592" s="10"/>
      <c r="D592" s="10"/>
      <c r="E592" s="10"/>
      <c r="F592" s="10"/>
      <c r="G592" s="10"/>
      <c r="H592" s="10"/>
    </row>
    <row r="593" spans="1:8" ht="14.25" customHeight="1" x14ac:dyDescent="0.35">
      <c r="A593" s="10"/>
      <c r="B593" s="10"/>
      <c r="C593" s="10"/>
      <c r="D593" s="10"/>
      <c r="E593" s="10"/>
      <c r="F593" s="10"/>
      <c r="G593" s="10"/>
      <c r="H593" s="10"/>
    </row>
    <row r="594" spans="1:8" ht="14.25" customHeight="1" x14ac:dyDescent="0.35">
      <c r="A594" s="10"/>
      <c r="B594" s="10"/>
      <c r="C594" s="10"/>
      <c r="D594" s="10"/>
      <c r="E594" s="10"/>
      <c r="F594" s="10"/>
      <c r="G594" s="10"/>
      <c r="H594" s="10"/>
    </row>
    <row r="595" spans="1:8" ht="14.25" customHeight="1" x14ac:dyDescent="0.35">
      <c r="A595" s="10"/>
      <c r="B595" s="10"/>
      <c r="C595" s="10"/>
      <c r="D595" s="10"/>
      <c r="E595" s="10"/>
      <c r="F595" s="10"/>
      <c r="G595" s="10"/>
      <c r="H595" s="10"/>
    </row>
    <row r="596" spans="1:8" ht="14.25" customHeight="1" x14ac:dyDescent="0.35">
      <c r="A596" s="10"/>
      <c r="B596" s="10"/>
      <c r="C596" s="10"/>
      <c r="D596" s="10"/>
      <c r="E596" s="10"/>
      <c r="F596" s="10"/>
      <c r="G596" s="10"/>
      <c r="H596" s="10"/>
    </row>
    <row r="597" spans="1:8" ht="14.25" customHeight="1" x14ac:dyDescent="0.35">
      <c r="A597" s="10"/>
      <c r="B597" s="10"/>
      <c r="C597" s="10"/>
      <c r="D597" s="10"/>
      <c r="E597" s="10"/>
      <c r="F597" s="10"/>
      <c r="G597" s="10"/>
      <c r="H597" s="10"/>
    </row>
    <row r="598" spans="1:8" ht="14.25" customHeight="1" x14ac:dyDescent="0.35">
      <c r="A598" s="10"/>
      <c r="B598" s="10"/>
      <c r="C598" s="10"/>
      <c r="D598" s="10"/>
      <c r="E598" s="10"/>
      <c r="F598" s="10"/>
      <c r="G598" s="10"/>
      <c r="H598" s="10"/>
    </row>
    <row r="599" spans="1:8" ht="14.25" customHeight="1" x14ac:dyDescent="0.35">
      <c r="A599" s="10"/>
      <c r="B599" s="10"/>
      <c r="C599" s="10"/>
      <c r="D599" s="10"/>
      <c r="E599" s="10"/>
      <c r="F599" s="10"/>
      <c r="G599" s="10"/>
      <c r="H599" s="10"/>
    </row>
    <row r="600" spans="1:8" ht="14.25" customHeight="1" x14ac:dyDescent="0.35">
      <c r="A600" s="10"/>
      <c r="B600" s="10"/>
      <c r="C600" s="10"/>
      <c r="D600" s="10"/>
      <c r="E600" s="10"/>
      <c r="F600" s="10"/>
      <c r="G600" s="10"/>
      <c r="H600" s="10"/>
    </row>
    <row r="601" spans="1:8" ht="14.25" customHeight="1" x14ac:dyDescent="0.35">
      <c r="A601" s="10"/>
      <c r="B601" s="10"/>
      <c r="C601" s="10"/>
      <c r="D601" s="10"/>
      <c r="E601" s="10"/>
      <c r="F601" s="10"/>
      <c r="G601" s="10"/>
      <c r="H601" s="10"/>
    </row>
    <row r="602" spans="1:8" ht="14.25" customHeight="1" x14ac:dyDescent="0.35">
      <c r="A602" s="10"/>
      <c r="B602" s="10"/>
      <c r="C602" s="10"/>
      <c r="D602" s="10"/>
      <c r="E602" s="10"/>
      <c r="F602" s="10"/>
      <c r="G602" s="10"/>
      <c r="H602" s="10"/>
    </row>
    <row r="603" spans="1:8" ht="14.25" customHeight="1" x14ac:dyDescent="0.35">
      <c r="A603" s="10"/>
      <c r="B603" s="10"/>
      <c r="C603" s="10"/>
      <c r="D603" s="10"/>
      <c r="E603" s="10"/>
      <c r="F603" s="10"/>
      <c r="G603" s="10"/>
      <c r="H603" s="10"/>
    </row>
    <row r="604" spans="1:8" ht="14.25" customHeight="1" x14ac:dyDescent="0.35">
      <c r="A604" s="10"/>
      <c r="B604" s="10"/>
      <c r="C604" s="10"/>
      <c r="D604" s="10"/>
      <c r="E604" s="10"/>
      <c r="F604" s="10"/>
      <c r="G604" s="10"/>
      <c r="H604" s="10"/>
    </row>
    <row r="605" spans="1:8" ht="14.25" customHeight="1" x14ac:dyDescent="0.35">
      <c r="A605" s="10"/>
      <c r="B605" s="10"/>
      <c r="C605" s="10"/>
      <c r="D605" s="10"/>
      <c r="E605" s="10"/>
      <c r="F605" s="10"/>
      <c r="G605" s="10"/>
      <c r="H605" s="10"/>
    </row>
    <row r="606" spans="1:8" ht="14.25" customHeight="1" x14ac:dyDescent="0.35">
      <c r="A606" s="10"/>
      <c r="B606" s="10"/>
      <c r="C606" s="10"/>
      <c r="D606" s="10"/>
      <c r="E606" s="10"/>
      <c r="F606" s="10"/>
      <c r="G606" s="10"/>
      <c r="H606" s="10"/>
    </row>
    <row r="607" spans="1:8" ht="14.25" customHeight="1" x14ac:dyDescent="0.35">
      <c r="A607" s="10"/>
      <c r="B607" s="10"/>
      <c r="C607" s="10"/>
      <c r="D607" s="10"/>
      <c r="E607" s="10"/>
      <c r="F607" s="10"/>
      <c r="G607" s="10"/>
      <c r="H607" s="10"/>
    </row>
    <row r="608" spans="1:8" ht="14.25" customHeight="1" x14ac:dyDescent="0.35">
      <c r="A608" s="10"/>
      <c r="B608" s="10"/>
      <c r="C608" s="10"/>
      <c r="D608" s="10"/>
      <c r="E608" s="10"/>
      <c r="F608" s="10"/>
      <c r="G608" s="10"/>
      <c r="H608" s="10"/>
    </row>
    <row r="609" spans="1:8" ht="14.25" customHeight="1" x14ac:dyDescent="0.35">
      <c r="A609" s="10"/>
      <c r="B609" s="10"/>
      <c r="C609" s="10"/>
      <c r="D609" s="10"/>
      <c r="E609" s="10"/>
      <c r="F609" s="10"/>
      <c r="G609" s="10"/>
      <c r="H609" s="10"/>
    </row>
    <row r="610" spans="1:8" ht="14.25" customHeight="1" x14ac:dyDescent="0.35">
      <c r="A610" s="10"/>
      <c r="B610" s="10"/>
      <c r="C610" s="10"/>
      <c r="D610" s="10"/>
      <c r="E610" s="10"/>
      <c r="F610" s="10"/>
      <c r="G610" s="10"/>
      <c r="H610" s="10"/>
    </row>
    <row r="611" spans="1:8" ht="14.25" customHeight="1" x14ac:dyDescent="0.35">
      <c r="A611" s="10"/>
      <c r="B611" s="10"/>
      <c r="C611" s="10"/>
      <c r="D611" s="10"/>
      <c r="E611" s="10"/>
      <c r="F611" s="10"/>
      <c r="G611" s="10"/>
      <c r="H611" s="10"/>
    </row>
    <row r="612" spans="1:8" ht="14.25" customHeight="1" x14ac:dyDescent="0.35">
      <c r="A612" s="10"/>
      <c r="B612" s="10"/>
      <c r="C612" s="10"/>
      <c r="D612" s="10"/>
      <c r="E612" s="10"/>
      <c r="F612" s="10"/>
      <c r="G612" s="10"/>
      <c r="H612" s="10"/>
    </row>
    <row r="613" spans="1:8" ht="14.25" customHeight="1" x14ac:dyDescent="0.35">
      <c r="A613" s="10"/>
      <c r="B613" s="10"/>
      <c r="C613" s="10"/>
      <c r="D613" s="10"/>
      <c r="E613" s="10"/>
      <c r="F613" s="10"/>
      <c r="G613" s="10"/>
      <c r="H613" s="10"/>
    </row>
    <row r="614" spans="1:8" ht="14.25" customHeight="1" x14ac:dyDescent="0.35">
      <c r="A614" s="10"/>
      <c r="B614" s="10"/>
      <c r="C614" s="10"/>
      <c r="D614" s="10"/>
      <c r="E614" s="10"/>
      <c r="F614" s="10"/>
      <c r="G614" s="10"/>
      <c r="H614" s="10"/>
    </row>
    <row r="615" spans="1:8" ht="14.25" customHeight="1" x14ac:dyDescent="0.35">
      <c r="A615" s="10"/>
      <c r="B615" s="10"/>
      <c r="C615" s="10"/>
      <c r="D615" s="10"/>
      <c r="E615" s="10"/>
      <c r="F615" s="10"/>
      <c r="G615" s="10"/>
      <c r="H615" s="10"/>
    </row>
    <row r="616" spans="1:8" ht="14.25" customHeight="1" x14ac:dyDescent="0.35">
      <c r="A616" s="10"/>
      <c r="B616" s="10"/>
      <c r="C616" s="10"/>
      <c r="D616" s="10"/>
      <c r="E616" s="10"/>
      <c r="F616" s="10"/>
      <c r="G616" s="10"/>
      <c r="H616" s="10"/>
    </row>
    <row r="617" spans="1:8" ht="14.25" customHeight="1" x14ac:dyDescent="0.35">
      <c r="A617" s="10"/>
      <c r="B617" s="10"/>
      <c r="C617" s="10"/>
      <c r="D617" s="10"/>
      <c r="E617" s="10"/>
      <c r="F617" s="10"/>
      <c r="G617" s="10"/>
      <c r="H617" s="10"/>
    </row>
    <row r="618" spans="1:8" ht="14.25" customHeight="1" x14ac:dyDescent="0.35">
      <c r="A618" s="10"/>
      <c r="B618" s="10"/>
      <c r="C618" s="10"/>
      <c r="D618" s="10"/>
      <c r="E618" s="10"/>
      <c r="F618" s="10"/>
      <c r="G618" s="10"/>
      <c r="H618" s="10"/>
    </row>
    <row r="619" spans="1:8" ht="14.25" customHeight="1" x14ac:dyDescent="0.35">
      <c r="A619" s="10"/>
      <c r="B619" s="10"/>
      <c r="C619" s="10"/>
      <c r="D619" s="10"/>
      <c r="E619" s="10"/>
      <c r="F619" s="10"/>
      <c r="G619" s="10"/>
      <c r="H619" s="10"/>
    </row>
    <row r="620" spans="1:8" ht="14.25" customHeight="1" x14ac:dyDescent="0.35">
      <c r="A620" s="10"/>
      <c r="B620" s="10"/>
      <c r="C620" s="10"/>
      <c r="D620" s="10"/>
      <c r="E620" s="10"/>
      <c r="F620" s="10"/>
      <c r="G620" s="10"/>
      <c r="H620" s="10"/>
    </row>
    <row r="621" spans="1:8" ht="14.25" customHeight="1" x14ac:dyDescent="0.35">
      <c r="A621" s="10"/>
      <c r="B621" s="10"/>
      <c r="C621" s="10"/>
      <c r="D621" s="10"/>
      <c r="E621" s="10"/>
      <c r="F621" s="10"/>
      <c r="G621" s="10"/>
      <c r="H621" s="10"/>
    </row>
    <row r="622" spans="1:8" ht="14.25" customHeight="1" x14ac:dyDescent="0.35">
      <c r="A622" s="10"/>
      <c r="B622" s="10"/>
      <c r="C622" s="10"/>
      <c r="D622" s="10"/>
      <c r="E622" s="10"/>
      <c r="F622" s="10"/>
      <c r="G622" s="10"/>
      <c r="H622" s="10"/>
    </row>
    <row r="623" spans="1:8" ht="14.25" customHeight="1" x14ac:dyDescent="0.35">
      <c r="A623" s="10"/>
      <c r="B623" s="10"/>
      <c r="C623" s="10"/>
      <c r="D623" s="10"/>
      <c r="E623" s="10"/>
      <c r="F623" s="10"/>
      <c r="G623" s="10"/>
      <c r="H623" s="10"/>
    </row>
    <row r="624" spans="1:8" ht="14.25" customHeight="1" x14ac:dyDescent="0.35">
      <c r="A624" s="10"/>
      <c r="B624" s="10"/>
      <c r="C624" s="10"/>
      <c r="D624" s="10"/>
      <c r="E624" s="10"/>
      <c r="F624" s="10"/>
      <c r="G624" s="10"/>
      <c r="H624" s="10"/>
    </row>
    <row r="625" spans="1:8" ht="14.25" customHeight="1" x14ac:dyDescent="0.35">
      <c r="A625" s="10"/>
      <c r="B625" s="10"/>
      <c r="C625" s="10"/>
      <c r="D625" s="10"/>
      <c r="E625" s="10"/>
      <c r="F625" s="10"/>
      <c r="G625" s="10"/>
      <c r="H625" s="10"/>
    </row>
    <row r="626" spans="1:8" ht="14.25" customHeight="1" x14ac:dyDescent="0.35">
      <c r="A626" s="10"/>
      <c r="B626" s="10"/>
      <c r="C626" s="10"/>
      <c r="D626" s="10"/>
      <c r="E626" s="10"/>
      <c r="F626" s="10"/>
      <c r="G626" s="10"/>
      <c r="H626" s="10"/>
    </row>
    <row r="627" spans="1:8" ht="14.25" customHeight="1" x14ac:dyDescent="0.35">
      <c r="A627" s="10"/>
      <c r="B627" s="10"/>
      <c r="C627" s="10"/>
      <c r="D627" s="10"/>
      <c r="E627" s="10"/>
      <c r="F627" s="10"/>
      <c r="G627" s="10"/>
      <c r="H627" s="10"/>
    </row>
    <row r="628" spans="1:8" ht="14.25" customHeight="1" x14ac:dyDescent="0.35">
      <c r="A628" s="10"/>
      <c r="B628" s="10"/>
      <c r="C628" s="10"/>
      <c r="D628" s="10"/>
      <c r="E628" s="10"/>
      <c r="F628" s="10"/>
      <c r="G628" s="10"/>
      <c r="H628" s="10"/>
    </row>
    <row r="629" spans="1:8" ht="14.25" customHeight="1" x14ac:dyDescent="0.35">
      <c r="A629" s="10"/>
      <c r="B629" s="10"/>
      <c r="C629" s="10"/>
      <c r="D629" s="10"/>
      <c r="E629" s="10"/>
      <c r="F629" s="10"/>
      <c r="G629" s="10"/>
      <c r="H629" s="10"/>
    </row>
    <row r="630" spans="1:8" ht="14.25" customHeight="1" x14ac:dyDescent="0.35">
      <c r="A630" s="10"/>
      <c r="B630" s="10"/>
      <c r="C630" s="10"/>
      <c r="D630" s="10"/>
      <c r="E630" s="10"/>
      <c r="F630" s="10"/>
      <c r="G630" s="10"/>
      <c r="H630" s="10"/>
    </row>
    <row r="631" spans="1:8" ht="14.25" customHeight="1" x14ac:dyDescent="0.35">
      <c r="A631" s="10"/>
      <c r="B631" s="10"/>
      <c r="C631" s="10"/>
      <c r="D631" s="10"/>
      <c r="E631" s="10"/>
      <c r="F631" s="10"/>
      <c r="G631" s="10"/>
      <c r="H631" s="10"/>
    </row>
    <row r="632" spans="1:8" ht="14.25" customHeight="1" x14ac:dyDescent="0.35">
      <c r="A632" s="10"/>
      <c r="B632" s="10"/>
      <c r="C632" s="10"/>
      <c r="D632" s="10"/>
      <c r="E632" s="10"/>
      <c r="F632" s="10"/>
      <c r="G632" s="10"/>
      <c r="H632" s="10"/>
    </row>
    <row r="633" spans="1:8" ht="14.25" customHeight="1" x14ac:dyDescent="0.35">
      <c r="A633" s="10"/>
      <c r="B633" s="10"/>
      <c r="C633" s="10"/>
      <c r="D633" s="10"/>
      <c r="E633" s="10"/>
      <c r="F633" s="10"/>
      <c r="G633" s="10"/>
      <c r="H633" s="10"/>
    </row>
    <row r="634" spans="1:8" ht="14.25" customHeight="1" x14ac:dyDescent="0.35">
      <c r="A634" s="10"/>
      <c r="B634" s="10"/>
      <c r="C634" s="10"/>
      <c r="D634" s="10"/>
      <c r="E634" s="10"/>
      <c r="F634" s="10"/>
      <c r="G634" s="10"/>
      <c r="H634" s="10"/>
    </row>
    <row r="635" spans="1:8" ht="14.25" customHeight="1" x14ac:dyDescent="0.35">
      <c r="A635" s="10"/>
      <c r="B635" s="10"/>
      <c r="C635" s="10"/>
      <c r="D635" s="10"/>
      <c r="E635" s="10"/>
      <c r="F635" s="10"/>
      <c r="G635" s="10"/>
      <c r="H635" s="10"/>
    </row>
    <row r="636" spans="1:8" ht="14.25" customHeight="1" x14ac:dyDescent="0.35">
      <c r="A636" s="10"/>
      <c r="B636" s="10"/>
      <c r="C636" s="10"/>
      <c r="D636" s="10"/>
      <c r="E636" s="10"/>
      <c r="F636" s="10"/>
      <c r="G636" s="10"/>
      <c r="H636" s="10"/>
    </row>
    <row r="637" spans="1:8" ht="14.25" customHeight="1" x14ac:dyDescent="0.35">
      <c r="A637" s="10"/>
      <c r="B637" s="10"/>
      <c r="C637" s="10"/>
      <c r="D637" s="10"/>
      <c r="E637" s="10"/>
      <c r="F637" s="10"/>
      <c r="G637" s="10"/>
      <c r="H637" s="10"/>
    </row>
    <row r="638" spans="1:8" ht="14.25" customHeight="1" x14ac:dyDescent="0.35">
      <c r="A638" s="10"/>
      <c r="B638" s="10"/>
      <c r="C638" s="10"/>
      <c r="D638" s="10"/>
      <c r="E638" s="10"/>
      <c r="F638" s="10"/>
      <c r="G638" s="10"/>
      <c r="H638" s="10"/>
    </row>
    <row r="639" spans="1:8" ht="14.25" customHeight="1" x14ac:dyDescent="0.35">
      <c r="A639" s="10"/>
      <c r="B639" s="10"/>
      <c r="C639" s="10"/>
      <c r="D639" s="10"/>
      <c r="E639" s="10"/>
      <c r="F639" s="10"/>
      <c r="G639" s="10"/>
      <c r="H639" s="10"/>
    </row>
    <row r="640" spans="1:8" ht="14.25" customHeight="1" x14ac:dyDescent="0.35">
      <c r="A640" s="10"/>
      <c r="B640" s="10"/>
      <c r="C640" s="10"/>
      <c r="D640" s="10"/>
      <c r="E640" s="10"/>
      <c r="F640" s="10"/>
      <c r="G640" s="10"/>
      <c r="H640" s="10"/>
    </row>
    <row r="641" spans="1:8" ht="14.25" customHeight="1" x14ac:dyDescent="0.35">
      <c r="A641" s="10"/>
      <c r="B641" s="10"/>
      <c r="C641" s="10"/>
      <c r="D641" s="10"/>
      <c r="E641" s="10"/>
      <c r="F641" s="10"/>
      <c r="G641" s="10"/>
      <c r="H641" s="10"/>
    </row>
    <row r="642" spans="1:8" ht="14.25" customHeight="1" x14ac:dyDescent="0.35">
      <c r="A642" s="10"/>
      <c r="B642" s="10"/>
      <c r="C642" s="10"/>
      <c r="D642" s="10"/>
      <c r="E642" s="10"/>
      <c r="F642" s="10"/>
      <c r="G642" s="10"/>
      <c r="H642" s="10"/>
    </row>
    <row r="643" spans="1:8" ht="14.25" customHeight="1" x14ac:dyDescent="0.35">
      <c r="A643" s="10"/>
      <c r="B643" s="10"/>
      <c r="C643" s="10"/>
      <c r="D643" s="10"/>
      <c r="E643" s="10"/>
      <c r="F643" s="10"/>
      <c r="G643" s="10"/>
      <c r="H643" s="10"/>
    </row>
    <row r="644" spans="1:8" ht="14.25" customHeight="1" x14ac:dyDescent="0.35">
      <c r="A644" s="10"/>
      <c r="B644" s="10"/>
      <c r="C644" s="10"/>
      <c r="D644" s="10"/>
      <c r="E644" s="10"/>
      <c r="F644" s="10"/>
      <c r="G644" s="10"/>
      <c r="H644" s="10"/>
    </row>
    <row r="645" spans="1:8" ht="14.25" customHeight="1" x14ac:dyDescent="0.35">
      <c r="A645" s="10"/>
      <c r="B645" s="10"/>
      <c r="C645" s="10"/>
      <c r="D645" s="10"/>
      <c r="E645" s="10"/>
      <c r="F645" s="10"/>
      <c r="G645" s="10"/>
      <c r="H645" s="10"/>
    </row>
    <row r="646" spans="1:8" ht="14.25" customHeight="1" x14ac:dyDescent="0.35">
      <c r="A646" s="10"/>
      <c r="B646" s="10"/>
      <c r="C646" s="10"/>
      <c r="D646" s="10"/>
      <c r="E646" s="10"/>
      <c r="F646" s="10"/>
      <c r="G646" s="10"/>
      <c r="H646" s="10"/>
    </row>
    <row r="647" spans="1:8" ht="14.25" customHeight="1" x14ac:dyDescent="0.35">
      <c r="A647" s="10"/>
      <c r="B647" s="10"/>
      <c r="C647" s="10"/>
      <c r="D647" s="10"/>
      <c r="E647" s="10"/>
      <c r="F647" s="10"/>
      <c r="G647" s="10"/>
      <c r="H647" s="10"/>
    </row>
    <row r="648" spans="1:8" ht="14.25" customHeight="1" x14ac:dyDescent="0.35">
      <c r="A648" s="10"/>
      <c r="B648" s="10"/>
      <c r="C648" s="10"/>
      <c r="D648" s="10"/>
      <c r="E648" s="10"/>
      <c r="F648" s="10"/>
      <c r="G648" s="10"/>
      <c r="H648" s="10"/>
    </row>
    <row r="649" spans="1:8" ht="14.25" customHeight="1" x14ac:dyDescent="0.35">
      <c r="A649" s="10"/>
      <c r="B649" s="10"/>
      <c r="C649" s="10"/>
      <c r="D649" s="10"/>
      <c r="E649" s="10"/>
      <c r="F649" s="10"/>
      <c r="G649" s="10"/>
      <c r="H649" s="10"/>
    </row>
    <row r="650" spans="1:8" ht="14.25" customHeight="1" x14ac:dyDescent="0.35">
      <c r="A650" s="10"/>
      <c r="B650" s="10"/>
      <c r="C650" s="10"/>
      <c r="D650" s="10"/>
      <c r="E650" s="10"/>
      <c r="F650" s="10"/>
      <c r="G650" s="10"/>
      <c r="H650" s="10"/>
    </row>
    <row r="651" spans="1:8" ht="14.25" customHeight="1" x14ac:dyDescent="0.35">
      <c r="A651" s="10"/>
      <c r="B651" s="10"/>
      <c r="C651" s="10"/>
      <c r="D651" s="10"/>
      <c r="E651" s="10"/>
      <c r="F651" s="10"/>
      <c r="G651" s="10"/>
      <c r="H651" s="10"/>
    </row>
    <row r="652" spans="1:8" ht="14.25" customHeight="1" x14ac:dyDescent="0.35">
      <c r="A652" s="10"/>
      <c r="B652" s="10"/>
      <c r="C652" s="10"/>
      <c r="D652" s="10"/>
      <c r="E652" s="10"/>
      <c r="F652" s="10"/>
      <c r="G652" s="10"/>
      <c r="H652" s="10"/>
    </row>
    <row r="653" spans="1:8" ht="14.25" customHeight="1" x14ac:dyDescent="0.35">
      <c r="A653" s="10"/>
      <c r="B653" s="10"/>
      <c r="C653" s="10"/>
      <c r="D653" s="10"/>
      <c r="E653" s="10"/>
      <c r="F653" s="10"/>
      <c r="G653" s="10"/>
      <c r="H653" s="10"/>
    </row>
    <row r="654" spans="1:8" ht="14.25" customHeight="1" x14ac:dyDescent="0.35">
      <c r="A654" s="10"/>
      <c r="B654" s="10"/>
      <c r="C654" s="10"/>
      <c r="D654" s="10"/>
      <c r="E654" s="10"/>
      <c r="F654" s="10"/>
      <c r="G654" s="10"/>
      <c r="H654" s="10"/>
    </row>
    <row r="655" spans="1:8" ht="14.25" customHeight="1" x14ac:dyDescent="0.35">
      <c r="A655" s="10"/>
      <c r="B655" s="10"/>
      <c r="C655" s="10"/>
      <c r="D655" s="10"/>
      <c r="E655" s="10"/>
      <c r="F655" s="10"/>
      <c r="G655" s="10"/>
      <c r="H655" s="10"/>
    </row>
    <row r="656" spans="1:8" ht="14.25" customHeight="1" x14ac:dyDescent="0.35">
      <c r="A656" s="10"/>
      <c r="B656" s="10"/>
      <c r="C656" s="10"/>
      <c r="D656" s="10"/>
      <c r="E656" s="10"/>
      <c r="F656" s="10"/>
      <c r="G656" s="10"/>
      <c r="H656" s="10"/>
    </row>
    <row r="657" spans="1:8" ht="14.25" customHeight="1" x14ac:dyDescent="0.35">
      <c r="A657" s="10"/>
      <c r="B657" s="10"/>
      <c r="C657" s="10"/>
      <c r="D657" s="10"/>
      <c r="E657" s="10"/>
      <c r="F657" s="10"/>
      <c r="G657" s="10"/>
      <c r="H657" s="10"/>
    </row>
    <row r="658" spans="1:8" ht="14.25" customHeight="1" x14ac:dyDescent="0.35">
      <c r="A658" s="10"/>
      <c r="B658" s="10"/>
      <c r="C658" s="10"/>
      <c r="D658" s="10"/>
      <c r="E658" s="10"/>
      <c r="F658" s="10"/>
      <c r="G658" s="10"/>
      <c r="H658" s="10"/>
    </row>
    <row r="659" spans="1:8" ht="14.25" customHeight="1" x14ac:dyDescent="0.35">
      <c r="A659" s="10"/>
      <c r="B659" s="10"/>
      <c r="C659" s="10"/>
      <c r="D659" s="10"/>
      <c r="E659" s="10"/>
      <c r="F659" s="10"/>
      <c r="G659" s="10"/>
      <c r="H659" s="10"/>
    </row>
    <row r="660" spans="1:8" ht="14.25" customHeight="1" x14ac:dyDescent="0.35">
      <c r="A660" s="10"/>
      <c r="B660" s="10"/>
      <c r="C660" s="10"/>
      <c r="D660" s="10"/>
      <c r="E660" s="10"/>
      <c r="F660" s="10"/>
      <c r="G660" s="10"/>
      <c r="H660" s="10"/>
    </row>
    <row r="661" spans="1:8" ht="14.25" customHeight="1" x14ac:dyDescent="0.35">
      <c r="A661" s="10"/>
      <c r="B661" s="10"/>
      <c r="C661" s="10"/>
      <c r="D661" s="10"/>
      <c r="E661" s="10"/>
      <c r="F661" s="10"/>
      <c r="G661" s="10"/>
      <c r="H661" s="10"/>
    </row>
    <row r="662" spans="1:8" ht="14.25" customHeight="1" x14ac:dyDescent="0.35">
      <c r="A662" s="10"/>
      <c r="B662" s="10"/>
      <c r="C662" s="10"/>
      <c r="D662" s="10"/>
      <c r="E662" s="10"/>
      <c r="F662" s="10"/>
      <c r="G662" s="10"/>
      <c r="H662" s="10"/>
    </row>
    <row r="663" spans="1:8" ht="14.25" customHeight="1" x14ac:dyDescent="0.35">
      <c r="A663" s="10"/>
      <c r="B663" s="10"/>
      <c r="C663" s="10"/>
      <c r="D663" s="10"/>
      <c r="E663" s="10"/>
      <c r="F663" s="10"/>
      <c r="G663" s="10"/>
      <c r="H663" s="10"/>
    </row>
    <row r="664" spans="1:8" ht="14.25" customHeight="1" x14ac:dyDescent="0.35">
      <c r="A664" s="10"/>
      <c r="B664" s="10"/>
      <c r="C664" s="10"/>
      <c r="D664" s="10"/>
      <c r="E664" s="10"/>
      <c r="F664" s="10"/>
      <c r="G664" s="10"/>
      <c r="H664" s="10"/>
    </row>
    <row r="665" spans="1:8" ht="14.25" customHeight="1" x14ac:dyDescent="0.35">
      <c r="A665" s="10"/>
      <c r="B665" s="10"/>
      <c r="C665" s="10"/>
      <c r="D665" s="10"/>
      <c r="E665" s="10"/>
      <c r="F665" s="10"/>
      <c r="G665" s="10"/>
      <c r="H665" s="10"/>
    </row>
    <row r="666" spans="1:8" ht="14.25" customHeight="1" x14ac:dyDescent="0.35">
      <c r="A666" s="10"/>
      <c r="B666" s="10"/>
      <c r="C666" s="10"/>
      <c r="D666" s="10"/>
      <c r="E666" s="10"/>
      <c r="F666" s="10"/>
      <c r="G666" s="10"/>
      <c r="H666" s="10"/>
    </row>
    <row r="667" spans="1:8" ht="14.25" customHeight="1" x14ac:dyDescent="0.35">
      <c r="A667" s="10"/>
      <c r="B667" s="10"/>
      <c r="C667" s="10"/>
      <c r="D667" s="10"/>
      <c r="E667" s="10"/>
      <c r="F667" s="10"/>
      <c r="G667" s="10"/>
      <c r="H667" s="10"/>
    </row>
    <row r="668" spans="1:8" ht="14.25" customHeight="1" x14ac:dyDescent="0.35">
      <c r="A668" s="10"/>
      <c r="B668" s="10"/>
      <c r="C668" s="10"/>
      <c r="D668" s="10"/>
      <c r="E668" s="10"/>
      <c r="F668" s="10"/>
      <c r="G668" s="10"/>
      <c r="H668" s="10"/>
    </row>
    <row r="669" spans="1:8" ht="14.25" customHeight="1" x14ac:dyDescent="0.35">
      <c r="A669" s="10"/>
      <c r="B669" s="10"/>
      <c r="C669" s="10"/>
      <c r="D669" s="10"/>
      <c r="E669" s="10"/>
      <c r="F669" s="10"/>
      <c r="G669" s="10"/>
      <c r="H669" s="10"/>
    </row>
    <row r="670" spans="1:8" ht="14.25" customHeight="1" x14ac:dyDescent="0.35">
      <c r="A670" s="10"/>
      <c r="B670" s="10"/>
      <c r="C670" s="10"/>
      <c r="D670" s="10"/>
      <c r="E670" s="10"/>
      <c r="F670" s="10"/>
      <c r="G670" s="10"/>
      <c r="H670" s="10"/>
    </row>
    <row r="671" spans="1:8" ht="14.25" customHeight="1" x14ac:dyDescent="0.35">
      <c r="A671" s="10"/>
      <c r="B671" s="10"/>
      <c r="C671" s="10"/>
      <c r="D671" s="10"/>
      <c r="E671" s="10"/>
      <c r="F671" s="10"/>
      <c r="G671" s="10"/>
      <c r="H671" s="10"/>
    </row>
    <row r="672" spans="1:8" ht="14.25" customHeight="1" x14ac:dyDescent="0.35">
      <c r="A672" s="10"/>
      <c r="B672" s="10"/>
      <c r="C672" s="10"/>
      <c r="D672" s="10"/>
      <c r="E672" s="10"/>
      <c r="F672" s="10"/>
      <c r="G672" s="10"/>
      <c r="H672" s="10"/>
    </row>
    <row r="673" spans="1:8" ht="14.25" customHeight="1" x14ac:dyDescent="0.35">
      <c r="A673" s="10"/>
      <c r="B673" s="10"/>
      <c r="C673" s="10"/>
      <c r="D673" s="10"/>
      <c r="E673" s="10"/>
      <c r="F673" s="10"/>
      <c r="G673" s="10"/>
      <c r="H673" s="10"/>
    </row>
    <row r="674" spans="1:8" ht="14.25" customHeight="1" x14ac:dyDescent="0.35">
      <c r="A674" s="10"/>
      <c r="B674" s="10"/>
      <c r="C674" s="10"/>
      <c r="D674" s="10"/>
      <c r="E674" s="10"/>
      <c r="F674" s="10"/>
      <c r="G674" s="10"/>
      <c r="H674" s="10"/>
    </row>
    <row r="675" spans="1:8" ht="14.25" customHeight="1" x14ac:dyDescent="0.35">
      <c r="A675" s="10"/>
      <c r="B675" s="10"/>
      <c r="C675" s="10"/>
      <c r="D675" s="10"/>
      <c r="E675" s="10"/>
      <c r="F675" s="10"/>
      <c r="G675" s="10"/>
      <c r="H675" s="10"/>
    </row>
    <row r="676" spans="1:8" ht="14.25" customHeight="1" x14ac:dyDescent="0.35">
      <c r="A676" s="10"/>
      <c r="B676" s="10"/>
      <c r="C676" s="10"/>
      <c r="D676" s="10"/>
      <c r="E676" s="10"/>
      <c r="F676" s="10"/>
      <c r="G676" s="10"/>
      <c r="H676" s="10"/>
    </row>
    <row r="677" spans="1:8" ht="14.25" customHeight="1" x14ac:dyDescent="0.35">
      <c r="A677" s="10"/>
      <c r="B677" s="10"/>
      <c r="C677" s="10"/>
      <c r="D677" s="10"/>
      <c r="E677" s="10"/>
      <c r="F677" s="10"/>
      <c r="G677" s="10"/>
      <c r="H677" s="10"/>
    </row>
    <row r="678" spans="1:8" ht="14.25" customHeight="1" x14ac:dyDescent="0.35">
      <c r="A678" s="10"/>
      <c r="B678" s="10"/>
      <c r="C678" s="10"/>
      <c r="D678" s="10"/>
      <c r="E678" s="10"/>
      <c r="F678" s="10"/>
      <c r="G678" s="10"/>
      <c r="H678" s="10"/>
    </row>
    <row r="679" spans="1:8" ht="14.25" customHeight="1" x14ac:dyDescent="0.35">
      <c r="A679" s="10"/>
      <c r="B679" s="10"/>
      <c r="C679" s="10"/>
      <c r="D679" s="10"/>
      <c r="E679" s="10"/>
      <c r="F679" s="10"/>
      <c r="G679" s="10"/>
      <c r="H679" s="10"/>
    </row>
    <row r="680" spans="1:8" ht="14.25" customHeight="1" x14ac:dyDescent="0.35">
      <c r="A680" s="10"/>
      <c r="B680" s="10"/>
      <c r="C680" s="10"/>
      <c r="D680" s="10"/>
      <c r="E680" s="10"/>
      <c r="F680" s="10"/>
      <c r="G680" s="10"/>
      <c r="H680" s="10"/>
    </row>
    <row r="681" spans="1:8" ht="14.25" customHeight="1" x14ac:dyDescent="0.35">
      <c r="A681" s="10"/>
      <c r="B681" s="10"/>
      <c r="C681" s="10"/>
      <c r="D681" s="10"/>
      <c r="E681" s="10"/>
      <c r="F681" s="10"/>
      <c r="G681" s="10"/>
      <c r="H681" s="10"/>
    </row>
    <row r="682" spans="1:8" ht="14.25" customHeight="1" x14ac:dyDescent="0.35">
      <c r="A682" s="10"/>
      <c r="B682" s="10"/>
      <c r="C682" s="10"/>
      <c r="D682" s="10"/>
      <c r="E682" s="10"/>
      <c r="F682" s="10"/>
      <c r="G682" s="10"/>
      <c r="H682" s="10"/>
    </row>
    <row r="683" spans="1:8" ht="14.25" customHeight="1" x14ac:dyDescent="0.35">
      <c r="A683" s="10"/>
      <c r="B683" s="10"/>
      <c r="C683" s="10"/>
      <c r="D683" s="10"/>
      <c r="E683" s="10"/>
      <c r="F683" s="10"/>
      <c r="G683" s="10"/>
      <c r="H683" s="10"/>
    </row>
    <row r="684" spans="1:8" ht="14.25" customHeight="1" x14ac:dyDescent="0.35">
      <c r="A684" s="10"/>
      <c r="B684" s="10"/>
      <c r="C684" s="10"/>
      <c r="D684" s="10"/>
      <c r="E684" s="10"/>
      <c r="F684" s="10"/>
      <c r="G684" s="10"/>
      <c r="H684" s="10"/>
    </row>
    <row r="685" spans="1:8" ht="14.25" customHeight="1" x14ac:dyDescent="0.35">
      <c r="A685" s="10"/>
      <c r="B685" s="10"/>
      <c r="C685" s="10"/>
      <c r="D685" s="10"/>
      <c r="E685" s="10"/>
      <c r="F685" s="10"/>
      <c r="G685" s="10"/>
      <c r="H685" s="10"/>
    </row>
    <row r="686" spans="1:8" ht="14.25" customHeight="1" x14ac:dyDescent="0.35">
      <c r="A686" s="10"/>
      <c r="B686" s="10"/>
      <c r="C686" s="10"/>
      <c r="D686" s="10"/>
      <c r="E686" s="10"/>
      <c r="F686" s="10"/>
      <c r="G686" s="10"/>
      <c r="H686" s="10"/>
    </row>
    <row r="687" spans="1:8" ht="14.25" customHeight="1" x14ac:dyDescent="0.35">
      <c r="A687" s="10"/>
      <c r="B687" s="10"/>
      <c r="C687" s="10"/>
      <c r="D687" s="10"/>
      <c r="E687" s="10"/>
      <c r="F687" s="10"/>
      <c r="G687" s="10"/>
      <c r="H687" s="10"/>
    </row>
    <row r="688" spans="1:8" ht="14.25" customHeight="1" x14ac:dyDescent="0.35">
      <c r="A688" s="10"/>
      <c r="B688" s="10"/>
      <c r="C688" s="10"/>
      <c r="D688" s="10"/>
      <c r="E688" s="10"/>
      <c r="F688" s="10"/>
      <c r="G688" s="10"/>
      <c r="H688" s="10"/>
    </row>
    <row r="689" spans="1:8" ht="14.25" customHeight="1" x14ac:dyDescent="0.35">
      <c r="A689" s="10"/>
      <c r="B689" s="10"/>
      <c r="C689" s="10"/>
      <c r="D689" s="10"/>
      <c r="E689" s="10"/>
      <c r="F689" s="10"/>
      <c r="G689" s="10"/>
      <c r="H689" s="10"/>
    </row>
    <row r="690" spans="1:8" ht="14.25" customHeight="1" x14ac:dyDescent="0.35">
      <c r="A690" s="10"/>
      <c r="B690" s="10"/>
      <c r="C690" s="10"/>
      <c r="D690" s="10"/>
      <c r="E690" s="10"/>
      <c r="F690" s="10"/>
      <c r="G690" s="10"/>
      <c r="H690" s="10"/>
    </row>
    <row r="691" spans="1:8" ht="14.25" customHeight="1" x14ac:dyDescent="0.35">
      <c r="A691" s="10"/>
      <c r="B691" s="10"/>
      <c r="C691" s="10"/>
      <c r="D691" s="10"/>
      <c r="E691" s="10"/>
      <c r="F691" s="10"/>
      <c r="G691" s="10"/>
      <c r="H691" s="10"/>
    </row>
    <row r="692" spans="1:8" ht="14.25" customHeight="1" x14ac:dyDescent="0.35">
      <c r="A692" s="10"/>
      <c r="B692" s="10"/>
      <c r="C692" s="10"/>
      <c r="D692" s="10"/>
      <c r="E692" s="10"/>
      <c r="F692" s="10"/>
      <c r="G692" s="10"/>
      <c r="H692" s="10"/>
    </row>
    <row r="693" spans="1:8" ht="14.25" customHeight="1" x14ac:dyDescent="0.35">
      <c r="A693" s="10"/>
      <c r="B693" s="10"/>
      <c r="C693" s="10"/>
      <c r="D693" s="10"/>
      <c r="E693" s="10"/>
      <c r="F693" s="10"/>
      <c r="G693" s="10"/>
      <c r="H693" s="10"/>
    </row>
    <row r="694" spans="1:8" ht="14.25" customHeight="1" x14ac:dyDescent="0.35">
      <c r="A694" s="10"/>
      <c r="B694" s="10"/>
      <c r="C694" s="10"/>
      <c r="D694" s="10"/>
      <c r="E694" s="10"/>
      <c r="F694" s="10"/>
      <c r="G694" s="10"/>
      <c r="H694" s="10"/>
    </row>
    <row r="695" spans="1:8" ht="14.25" customHeight="1" x14ac:dyDescent="0.35">
      <c r="A695" s="10"/>
      <c r="B695" s="10"/>
      <c r="C695" s="10"/>
      <c r="D695" s="10"/>
      <c r="E695" s="10"/>
      <c r="F695" s="10"/>
      <c r="G695" s="10"/>
      <c r="H695" s="10"/>
    </row>
    <row r="696" spans="1:8" ht="14.25" customHeight="1" x14ac:dyDescent="0.35">
      <c r="A696" s="10"/>
      <c r="B696" s="10"/>
      <c r="C696" s="10"/>
      <c r="D696" s="10"/>
      <c r="E696" s="10"/>
      <c r="F696" s="10"/>
      <c r="G696" s="10"/>
      <c r="H696" s="10"/>
    </row>
    <row r="697" spans="1:8" ht="14.25" customHeight="1" x14ac:dyDescent="0.35">
      <c r="A697" s="10"/>
      <c r="B697" s="10"/>
      <c r="C697" s="10"/>
      <c r="D697" s="10"/>
      <c r="E697" s="10"/>
      <c r="F697" s="10"/>
      <c r="G697" s="10"/>
      <c r="H697" s="10"/>
    </row>
    <row r="698" spans="1:8" ht="14.25" customHeight="1" x14ac:dyDescent="0.35">
      <c r="A698" s="10"/>
      <c r="B698" s="10"/>
      <c r="C698" s="10"/>
      <c r="D698" s="10"/>
      <c r="E698" s="10"/>
      <c r="F698" s="10"/>
      <c r="G698" s="10"/>
      <c r="H698" s="10"/>
    </row>
    <row r="699" spans="1:8" ht="14.25" customHeight="1" x14ac:dyDescent="0.35">
      <c r="A699" s="10"/>
      <c r="B699" s="10"/>
      <c r="C699" s="10"/>
      <c r="D699" s="10"/>
      <c r="E699" s="10"/>
      <c r="F699" s="10"/>
      <c r="G699" s="10"/>
      <c r="H699" s="10"/>
    </row>
    <row r="700" spans="1:8" ht="14.25" customHeight="1" x14ac:dyDescent="0.35">
      <c r="A700" s="10"/>
      <c r="B700" s="10"/>
      <c r="C700" s="10"/>
      <c r="D700" s="10"/>
      <c r="E700" s="10"/>
      <c r="F700" s="10"/>
      <c r="G700" s="10"/>
      <c r="H700" s="10"/>
    </row>
    <row r="701" spans="1:8" ht="14.25" customHeight="1" x14ac:dyDescent="0.35">
      <c r="A701" s="10"/>
      <c r="B701" s="10"/>
      <c r="C701" s="10"/>
      <c r="D701" s="10"/>
      <c r="E701" s="10"/>
      <c r="F701" s="10"/>
      <c r="G701" s="10"/>
      <c r="H701" s="10"/>
    </row>
    <row r="702" spans="1:8" ht="14.25" customHeight="1" x14ac:dyDescent="0.35">
      <c r="A702" s="10"/>
      <c r="B702" s="10"/>
      <c r="C702" s="10"/>
      <c r="D702" s="10"/>
      <c r="E702" s="10"/>
      <c r="F702" s="10"/>
      <c r="G702" s="10"/>
      <c r="H702" s="10"/>
    </row>
    <row r="703" spans="1:8" ht="14.25" customHeight="1" x14ac:dyDescent="0.35">
      <c r="A703" s="10"/>
      <c r="B703" s="10"/>
      <c r="C703" s="10"/>
      <c r="D703" s="10"/>
      <c r="E703" s="10"/>
      <c r="F703" s="10"/>
      <c r="G703" s="10"/>
      <c r="H703" s="10"/>
    </row>
    <row r="704" spans="1:8" ht="14.25" customHeight="1" x14ac:dyDescent="0.35">
      <c r="A704" s="10"/>
      <c r="B704" s="10"/>
      <c r="C704" s="10"/>
      <c r="D704" s="10"/>
      <c r="E704" s="10"/>
      <c r="F704" s="10"/>
      <c r="G704" s="10"/>
      <c r="H704" s="10"/>
    </row>
    <row r="705" spans="1:8" ht="14.25" customHeight="1" x14ac:dyDescent="0.35">
      <c r="A705" s="10"/>
      <c r="B705" s="10"/>
      <c r="C705" s="10"/>
      <c r="D705" s="10"/>
      <c r="E705" s="10"/>
      <c r="F705" s="10"/>
      <c r="G705" s="10"/>
      <c r="H705" s="10"/>
    </row>
    <row r="706" spans="1:8" ht="14.25" customHeight="1" x14ac:dyDescent="0.35">
      <c r="A706" s="10"/>
      <c r="B706" s="10"/>
      <c r="C706" s="10"/>
      <c r="D706" s="10"/>
      <c r="E706" s="10"/>
      <c r="F706" s="10"/>
      <c r="G706" s="10"/>
      <c r="H706" s="10"/>
    </row>
    <row r="707" spans="1:8" ht="14.25" customHeight="1" x14ac:dyDescent="0.35">
      <c r="A707" s="10"/>
      <c r="B707" s="10"/>
      <c r="C707" s="10"/>
      <c r="D707" s="10"/>
      <c r="E707" s="10"/>
      <c r="F707" s="10"/>
      <c r="G707" s="10"/>
      <c r="H707" s="10"/>
    </row>
    <row r="708" spans="1:8" ht="14.25" customHeight="1" x14ac:dyDescent="0.35">
      <c r="A708" s="10"/>
      <c r="B708" s="10"/>
      <c r="C708" s="10"/>
      <c r="D708" s="10"/>
      <c r="E708" s="10"/>
      <c r="F708" s="10"/>
      <c r="G708" s="10"/>
      <c r="H708" s="10"/>
    </row>
    <row r="709" spans="1:8" ht="14.25" customHeight="1" x14ac:dyDescent="0.35">
      <c r="A709" s="10"/>
      <c r="B709" s="10"/>
      <c r="C709" s="10"/>
      <c r="D709" s="10"/>
      <c r="E709" s="10"/>
      <c r="F709" s="10"/>
      <c r="G709" s="10"/>
      <c r="H709" s="10"/>
    </row>
    <row r="710" spans="1:8" ht="14.25" customHeight="1" x14ac:dyDescent="0.35">
      <c r="A710" s="10"/>
      <c r="B710" s="10"/>
      <c r="C710" s="10"/>
      <c r="D710" s="10"/>
      <c r="E710" s="10"/>
      <c r="F710" s="10"/>
      <c r="G710" s="10"/>
      <c r="H710" s="10"/>
    </row>
    <row r="711" spans="1:8" ht="14.25" customHeight="1" x14ac:dyDescent="0.35">
      <c r="A711" s="10"/>
      <c r="B711" s="10"/>
      <c r="C711" s="10"/>
      <c r="D711" s="10"/>
      <c r="E711" s="10"/>
      <c r="F711" s="10"/>
      <c r="G711" s="10"/>
      <c r="H711" s="10"/>
    </row>
    <row r="712" spans="1:8" ht="14.25" customHeight="1" x14ac:dyDescent="0.35">
      <c r="A712" s="10"/>
      <c r="B712" s="10"/>
      <c r="C712" s="10"/>
      <c r="D712" s="10"/>
      <c r="E712" s="10"/>
      <c r="F712" s="10"/>
      <c r="G712" s="10"/>
      <c r="H712" s="10"/>
    </row>
    <row r="713" spans="1:8" ht="14.25" customHeight="1" x14ac:dyDescent="0.35">
      <c r="A713" s="10"/>
      <c r="B713" s="10"/>
      <c r="C713" s="10"/>
      <c r="D713" s="10"/>
      <c r="E713" s="10"/>
      <c r="F713" s="10"/>
      <c r="G713" s="10"/>
      <c r="H713" s="10"/>
    </row>
    <row r="714" spans="1:8" ht="14.25" customHeight="1" x14ac:dyDescent="0.35">
      <c r="A714" s="10"/>
      <c r="B714" s="10"/>
      <c r="C714" s="10"/>
      <c r="D714" s="10"/>
      <c r="E714" s="10"/>
      <c r="F714" s="10"/>
      <c r="G714" s="10"/>
      <c r="H714" s="10"/>
    </row>
    <row r="715" spans="1:8" ht="14.25" customHeight="1" x14ac:dyDescent="0.35">
      <c r="A715" s="10"/>
      <c r="B715" s="10"/>
      <c r="C715" s="10"/>
      <c r="D715" s="10"/>
      <c r="E715" s="10"/>
      <c r="F715" s="10"/>
      <c r="G715" s="10"/>
      <c r="H715" s="10"/>
    </row>
    <row r="716" spans="1:8" ht="14.25" customHeight="1" x14ac:dyDescent="0.35">
      <c r="A716" s="10"/>
      <c r="B716" s="10"/>
      <c r="C716" s="10"/>
      <c r="D716" s="10"/>
      <c r="E716" s="10"/>
      <c r="F716" s="10"/>
      <c r="G716" s="10"/>
      <c r="H716" s="10"/>
    </row>
    <row r="717" spans="1:8" ht="14.25" customHeight="1" x14ac:dyDescent="0.35">
      <c r="A717" s="10"/>
      <c r="B717" s="10"/>
      <c r="C717" s="10"/>
      <c r="D717" s="10"/>
      <c r="E717" s="10"/>
      <c r="F717" s="10"/>
      <c r="G717" s="10"/>
      <c r="H717" s="10"/>
    </row>
    <row r="718" spans="1:8" ht="14.25" customHeight="1" x14ac:dyDescent="0.35">
      <c r="A718" s="10"/>
      <c r="B718" s="10"/>
      <c r="C718" s="10"/>
      <c r="D718" s="10"/>
      <c r="E718" s="10"/>
      <c r="F718" s="10"/>
      <c r="G718" s="10"/>
      <c r="H718" s="10"/>
    </row>
    <row r="719" spans="1:8" ht="14.25" customHeight="1" x14ac:dyDescent="0.35">
      <c r="A719" s="10"/>
      <c r="B719" s="10"/>
      <c r="C719" s="10"/>
      <c r="D719" s="10"/>
      <c r="E719" s="10"/>
      <c r="F719" s="10"/>
      <c r="G719" s="10"/>
      <c r="H719" s="10"/>
    </row>
    <row r="720" spans="1:8" ht="14.25" customHeight="1" x14ac:dyDescent="0.35">
      <c r="A720" s="10"/>
      <c r="B720" s="10"/>
      <c r="C720" s="10"/>
      <c r="D720" s="10"/>
      <c r="E720" s="10"/>
      <c r="F720" s="10"/>
      <c r="G720" s="10"/>
      <c r="H720" s="10"/>
    </row>
    <row r="721" spans="1:8" ht="14.25" customHeight="1" x14ac:dyDescent="0.35">
      <c r="A721" s="10"/>
      <c r="B721" s="10"/>
      <c r="C721" s="10"/>
      <c r="D721" s="10"/>
      <c r="E721" s="10"/>
      <c r="F721" s="10"/>
      <c r="G721" s="10"/>
      <c r="H721" s="10"/>
    </row>
    <row r="722" spans="1:8" ht="14.25" customHeight="1" x14ac:dyDescent="0.35">
      <c r="A722" s="10"/>
      <c r="B722" s="10"/>
      <c r="C722" s="10"/>
      <c r="D722" s="10"/>
      <c r="E722" s="10"/>
      <c r="F722" s="10"/>
      <c r="G722" s="10"/>
      <c r="H722" s="10"/>
    </row>
    <row r="723" spans="1:8" ht="14.25" customHeight="1" x14ac:dyDescent="0.35">
      <c r="A723" s="10"/>
      <c r="B723" s="10"/>
      <c r="C723" s="10"/>
      <c r="D723" s="10"/>
      <c r="E723" s="10"/>
      <c r="F723" s="10"/>
      <c r="G723" s="10"/>
      <c r="H723" s="10"/>
    </row>
    <row r="724" spans="1:8" ht="14.25" customHeight="1" x14ac:dyDescent="0.35">
      <c r="A724" s="10"/>
      <c r="B724" s="10"/>
      <c r="C724" s="10"/>
      <c r="D724" s="10"/>
      <c r="E724" s="10"/>
      <c r="F724" s="10"/>
      <c r="G724" s="10"/>
      <c r="H724" s="10"/>
    </row>
    <row r="725" spans="1:8" ht="14.25" customHeight="1" x14ac:dyDescent="0.35">
      <c r="A725" s="10"/>
      <c r="B725" s="10"/>
      <c r="C725" s="10"/>
      <c r="D725" s="10"/>
      <c r="E725" s="10"/>
      <c r="F725" s="10"/>
      <c r="G725" s="10"/>
      <c r="H725" s="10"/>
    </row>
    <row r="726" spans="1:8" ht="14.25" customHeight="1" x14ac:dyDescent="0.35">
      <c r="A726" s="10"/>
      <c r="B726" s="10"/>
      <c r="C726" s="10"/>
      <c r="D726" s="10"/>
      <c r="E726" s="10"/>
      <c r="F726" s="10"/>
      <c r="G726" s="10"/>
      <c r="H726" s="10"/>
    </row>
    <row r="727" spans="1:8" ht="14.25" customHeight="1" x14ac:dyDescent="0.35">
      <c r="A727" s="10"/>
      <c r="B727" s="10"/>
      <c r="C727" s="10"/>
      <c r="D727" s="10"/>
      <c r="E727" s="10"/>
      <c r="F727" s="10"/>
      <c r="G727" s="10"/>
      <c r="H727" s="10"/>
    </row>
    <row r="728" spans="1:8" ht="14.25" customHeight="1" x14ac:dyDescent="0.35">
      <c r="A728" s="10"/>
      <c r="B728" s="10"/>
      <c r="C728" s="10"/>
      <c r="D728" s="10"/>
      <c r="E728" s="10"/>
      <c r="F728" s="10"/>
      <c r="G728" s="10"/>
      <c r="H728" s="10"/>
    </row>
    <row r="729" spans="1:8" ht="14.25" customHeight="1" x14ac:dyDescent="0.35">
      <c r="A729" s="10"/>
      <c r="B729" s="10"/>
      <c r="C729" s="10"/>
      <c r="D729" s="10"/>
      <c r="E729" s="10"/>
      <c r="F729" s="10"/>
      <c r="G729" s="10"/>
      <c r="H729" s="10"/>
    </row>
    <row r="730" spans="1:8" ht="14.25" customHeight="1" x14ac:dyDescent="0.35">
      <c r="A730" s="10"/>
      <c r="B730" s="10"/>
      <c r="C730" s="10"/>
      <c r="D730" s="10"/>
      <c r="E730" s="10"/>
      <c r="F730" s="10"/>
      <c r="G730" s="10"/>
      <c r="H730" s="10"/>
    </row>
    <row r="731" spans="1:8" ht="14.25" customHeight="1" x14ac:dyDescent="0.35">
      <c r="A731" s="10"/>
      <c r="B731" s="10"/>
      <c r="C731" s="10"/>
      <c r="D731" s="10"/>
      <c r="E731" s="10"/>
      <c r="F731" s="10"/>
      <c r="G731" s="10"/>
      <c r="H731" s="10"/>
    </row>
    <row r="732" spans="1:8" ht="14.25" customHeight="1" x14ac:dyDescent="0.35">
      <c r="A732" s="10"/>
      <c r="B732" s="10"/>
      <c r="C732" s="10"/>
      <c r="D732" s="10"/>
      <c r="E732" s="10"/>
      <c r="F732" s="10"/>
      <c r="G732" s="10"/>
      <c r="H732" s="10"/>
    </row>
    <row r="733" spans="1:8" ht="14.25" customHeight="1" x14ac:dyDescent="0.35">
      <c r="A733" s="10"/>
      <c r="B733" s="10"/>
      <c r="C733" s="10"/>
      <c r="D733" s="10"/>
      <c r="E733" s="10"/>
      <c r="F733" s="10"/>
      <c r="G733" s="10"/>
      <c r="H733" s="10"/>
    </row>
    <row r="734" spans="1:8" ht="14.25" customHeight="1" x14ac:dyDescent="0.35">
      <c r="A734" s="10"/>
      <c r="B734" s="10"/>
      <c r="C734" s="10"/>
      <c r="D734" s="10"/>
      <c r="E734" s="10"/>
      <c r="F734" s="10"/>
      <c r="G734" s="10"/>
      <c r="H734" s="10"/>
    </row>
    <row r="735" spans="1:8" ht="14.25" customHeight="1" x14ac:dyDescent="0.35">
      <c r="A735" s="10"/>
      <c r="B735" s="10"/>
      <c r="C735" s="10"/>
      <c r="D735" s="10"/>
      <c r="E735" s="10"/>
      <c r="F735" s="10"/>
      <c r="G735" s="10"/>
      <c r="H735" s="10"/>
    </row>
    <row r="736" spans="1:8" ht="14.25" customHeight="1" x14ac:dyDescent="0.35">
      <c r="A736" s="10"/>
      <c r="B736" s="10"/>
      <c r="C736" s="10"/>
      <c r="D736" s="10"/>
      <c r="E736" s="10"/>
      <c r="F736" s="10"/>
      <c r="G736" s="10"/>
      <c r="H736" s="10"/>
    </row>
    <row r="737" spans="1:8" ht="14.25" customHeight="1" x14ac:dyDescent="0.35">
      <c r="A737" s="10"/>
      <c r="B737" s="10"/>
      <c r="C737" s="10"/>
      <c r="D737" s="10"/>
      <c r="E737" s="10"/>
      <c r="F737" s="10"/>
      <c r="G737" s="10"/>
      <c r="H737" s="10"/>
    </row>
    <row r="738" spans="1:8" ht="14.25" customHeight="1" x14ac:dyDescent="0.35">
      <c r="A738" s="10"/>
      <c r="B738" s="10"/>
      <c r="C738" s="10"/>
      <c r="D738" s="10"/>
      <c r="E738" s="10"/>
      <c r="F738" s="10"/>
      <c r="G738" s="10"/>
      <c r="H738" s="10"/>
    </row>
    <row r="739" spans="1:8" ht="14.25" customHeight="1" x14ac:dyDescent="0.35">
      <c r="A739" s="10"/>
      <c r="B739" s="10"/>
      <c r="C739" s="10"/>
      <c r="D739" s="10"/>
      <c r="E739" s="10"/>
      <c r="F739" s="10"/>
      <c r="G739" s="10"/>
      <c r="H739" s="10"/>
    </row>
    <row r="740" spans="1:8" ht="14.25" customHeight="1" x14ac:dyDescent="0.35">
      <c r="A740" s="10"/>
      <c r="B740" s="10"/>
      <c r="C740" s="10"/>
      <c r="D740" s="10"/>
      <c r="E740" s="10"/>
      <c r="F740" s="10"/>
      <c r="G740" s="10"/>
      <c r="H740" s="10"/>
    </row>
    <row r="741" spans="1:8" ht="14.25" customHeight="1" x14ac:dyDescent="0.35">
      <c r="A741" s="10"/>
      <c r="B741" s="10"/>
      <c r="C741" s="10"/>
      <c r="D741" s="10"/>
      <c r="E741" s="10"/>
      <c r="F741" s="10"/>
      <c r="G741" s="10"/>
      <c r="H741" s="10"/>
    </row>
    <row r="742" spans="1:8" ht="14.25" customHeight="1" x14ac:dyDescent="0.35">
      <c r="A742" s="10"/>
      <c r="B742" s="10"/>
      <c r="C742" s="10"/>
      <c r="D742" s="10"/>
      <c r="E742" s="10"/>
      <c r="F742" s="10"/>
      <c r="G742" s="10"/>
      <c r="H742" s="10"/>
    </row>
    <row r="743" spans="1:8" ht="14.25" customHeight="1" x14ac:dyDescent="0.35">
      <c r="A743" s="10"/>
      <c r="B743" s="10"/>
      <c r="C743" s="10"/>
      <c r="D743" s="10"/>
      <c r="E743" s="10"/>
      <c r="F743" s="10"/>
      <c r="G743" s="10"/>
      <c r="H743" s="10"/>
    </row>
    <row r="744" spans="1:8" ht="14.25" customHeight="1" x14ac:dyDescent="0.35">
      <c r="A744" s="10"/>
      <c r="B744" s="10"/>
      <c r="C744" s="10"/>
      <c r="D744" s="10"/>
      <c r="E744" s="10"/>
      <c r="F744" s="10"/>
      <c r="G744" s="10"/>
      <c r="H744" s="10"/>
    </row>
    <row r="745" spans="1:8" ht="14.25" customHeight="1" x14ac:dyDescent="0.35">
      <c r="A745" s="10"/>
      <c r="B745" s="10"/>
      <c r="C745" s="10"/>
      <c r="D745" s="10"/>
      <c r="E745" s="10"/>
      <c r="F745" s="10"/>
      <c r="G745" s="10"/>
      <c r="H745" s="10"/>
    </row>
    <row r="746" spans="1:8" ht="14.25" customHeight="1" x14ac:dyDescent="0.35">
      <c r="A746" s="10"/>
      <c r="B746" s="10"/>
      <c r="C746" s="10"/>
      <c r="D746" s="10"/>
      <c r="E746" s="10"/>
      <c r="F746" s="10"/>
      <c r="G746" s="10"/>
      <c r="H746" s="10"/>
    </row>
    <row r="747" spans="1:8" ht="14.25" customHeight="1" x14ac:dyDescent="0.35">
      <c r="A747" s="10"/>
      <c r="B747" s="10"/>
      <c r="C747" s="10"/>
      <c r="D747" s="10"/>
      <c r="E747" s="10"/>
      <c r="F747" s="10"/>
      <c r="G747" s="10"/>
      <c r="H747" s="10"/>
    </row>
    <row r="748" spans="1:8" ht="14.25" customHeight="1" x14ac:dyDescent="0.35">
      <c r="A748" s="10"/>
      <c r="B748" s="10"/>
      <c r="C748" s="10"/>
      <c r="D748" s="10"/>
      <c r="E748" s="10"/>
      <c r="F748" s="10"/>
      <c r="G748" s="10"/>
      <c r="H748" s="10"/>
    </row>
    <row r="749" spans="1:8" ht="14.25" customHeight="1" x14ac:dyDescent="0.35">
      <c r="A749" s="10"/>
      <c r="B749" s="10"/>
      <c r="C749" s="10"/>
      <c r="D749" s="10"/>
      <c r="E749" s="10"/>
      <c r="F749" s="10"/>
      <c r="G749" s="10"/>
      <c r="H749" s="10"/>
    </row>
    <row r="750" spans="1:8" ht="14.25" customHeight="1" x14ac:dyDescent="0.35">
      <c r="A750" s="10"/>
      <c r="B750" s="10"/>
      <c r="C750" s="10"/>
      <c r="D750" s="10"/>
      <c r="E750" s="10"/>
      <c r="F750" s="10"/>
      <c r="G750" s="10"/>
      <c r="H750" s="10"/>
    </row>
    <row r="751" spans="1:8" ht="14.25" customHeight="1" x14ac:dyDescent="0.35">
      <c r="A751" s="10"/>
      <c r="B751" s="10"/>
      <c r="C751" s="10"/>
      <c r="D751" s="10"/>
      <c r="E751" s="10"/>
      <c r="F751" s="10"/>
      <c r="G751" s="10"/>
      <c r="H751" s="10"/>
    </row>
    <row r="752" spans="1:8" ht="14.25" customHeight="1" x14ac:dyDescent="0.35">
      <c r="A752" s="10"/>
      <c r="B752" s="10"/>
      <c r="C752" s="10"/>
      <c r="D752" s="10"/>
      <c r="E752" s="10"/>
      <c r="F752" s="10"/>
      <c r="G752" s="10"/>
      <c r="H752" s="10"/>
    </row>
    <row r="753" spans="1:8" ht="14.25" customHeight="1" x14ac:dyDescent="0.35">
      <c r="A753" s="10"/>
      <c r="B753" s="10"/>
      <c r="C753" s="10"/>
      <c r="D753" s="10"/>
      <c r="E753" s="10"/>
      <c r="F753" s="10"/>
      <c r="G753" s="10"/>
      <c r="H753" s="10"/>
    </row>
    <row r="754" spans="1:8" ht="14.25" customHeight="1" x14ac:dyDescent="0.35">
      <c r="A754" s="10"/>
      <c r="B754" s="10"/>
      <c r="C754" s="10"/>
      <c r="D754" s="10"/>
      <c r="E754" s="10"/>
      <c r="F754" s="10"/>
      <c r="G754" s="10"/>
      <c r="H754" s="10"/>
    </row>
    <row r="755" spans="1:8" ht="14.25" customHeight="1" x14ac:dyDescent="0.35">
      <c r="A755" s="10"/>
      <c r="B755" s="10"/>
      <c r="C755" s="10"/>
      <c r="D755" s="10"/>
      <c r="E755" s="10"/>
      <c r="F755" s="10"/>
      <c r="G755" s="10"/>
      <c r="H755" s="10"/>
    </row>
    <row r="756" spans="1:8" ht="14.25" customHeight="1" x14ac:dyDescent="0.35">
      <c r="A756" s="10"/>
      <c r="B756" s="10"/>
      <c r="C756" s="10"/>
      <c r="D756" s="10"/>
      <c r="E756" s="10"/>
      <c r="F756" s="10"/>
      <c r="G756" s="10"/>
      <c r="H756" s="10"/>
    </row>
    <row r="757" spans="1:8" ht="14.25" customHeight="1" x14ac:dyDescent="0.35">
      <c r="A757" s="10"/>
      <c r="B757" s="10"/>
      <c r="C757" s="10"/>
      <c r="D757" s="10"/>
      <c r="E757" s="10"/>
      <c r="F757" s="10"/>
      <c r="G757" s="10"/>
      <c r="H757" s="10"/>
    </row>
    <row r="758" spans="1:8" ht="14.25" customHeight="1" x14ac:dyDescent="0.35">
      <c r="A758" s="10"/>
      <c r="B758" s="10"/>
      <c r="C758" s="10"/>
      <c r="D758" s="10"/>
      <c r="E758" s="10"/>
      <c r="F758" s="10"/>
      <c r="G758" s="10"/>
      <c r="H758" s="10"/>
    </row>
    <row r="759" spans="1:8" ht="14.25" customHeight="1" x14ac:dyDescent="0.35">
      <c r="A759" s="10"/>
      <c r="B759" s="10"/>
      <c r="C759" s="10"/>
      <c r="D759" s="10"/>
      <c r="E759" s="10"/>
      <c r="F759" s="10"/>
      <c r="G759" s="10"/>
      <c r="H759" s="10"/>
    </row>
    <row r="760" spans="1:8" ht="14.25" customHeight="1" x14ac:dyDescent="0.35">
      <c r="A760" s="10"/>
      <c r="B760" s="10"/>
      <c r="C760" s="10"/>
      <c r="D760" s="10"/>
      <c r="E760" s="10"/>
      <c r="F760" s="10"/>
      <c r="G760" s="10"/>
      <c r="H760" s="10"/>
    </row>
    <row r="761" spans="1:8" ht="14.25" customHeight="1" x14ac:dyDescent="0.35">
      <c r="A761" s="10"/>
      <c r="B761" s="10"/>
      <c r="C761" s="10"/>
      <c r="D761" s="10"/>
      <c r="E761" s="10"/>
      <c r="F761" s="10"/>
      <c r="G761" s="10"/>
      <c r="H761" s="10"/>
    </row>
    <row r="762" spans="1:8" ht="14.25" customHeight="1" x14ac:dyDescent="0.35">
      <c r="A762" s="10"/>
      <c r="B762" s="10"/>
      <c r="C762" s="10"/>
      <c r="D762" s="10"/>
      <c r="E762" s="10"/>
      <c r="F762" s="10"/>
      <c r="G762" s="10"/>
      <c r="H762" s="10"/>
    </row>
    <row r="763" spans="1:8" ht="14.25" customHeight="1" x14ac:dyDescent="0.35">
      <c r="A763" s="10"/>
      <c r="B763" s="10"/>
      <c r="C763" s="10"/>
      <c r="D763" s="10"/>
      <c r="E763" s="10"/>
      <c r="F763" s="10"/>
      <c r="G763" s="10"/>
      <c r="H763" s="10"/>
    </row>
    <row r="764" spans="1:8" ht="14.25" customHeight="1" x14ac:dyDescent="0.35">
      <c r="A764" s="10"/>
      <c r="B764" s="10"/>
      <c r="C764" s="10"/>
      <c r="D764" s="10"/>
      <c r="E764" s="10"/>
      <c r="F764" s="10"/>
      <c r="G764" s="10"/>
      <c r="H764" s="10"/>
    </row>
    <row r="765" spans="1:8" ht="14.25" customHeight="1" x14ac:dyDescent="0.35">
      <c r="A765" s="10"/>
      <c r="B765" s="10"/>
      <c r="C765" s="10"/>
      <c r="D765" s="10"/>
      <c r="E765" s="10"/>
      <c r="F765" s="10"/>
      <c r="G765" s="10"/>
      <c r="H765" s="10"/>
    </row>
    <row r="766" spans="1:8" ht="14.25" customHeight="1" x14ac:dyDescent="0.35">
      <c r="A766" s="10"/>
      <c r="B766" s="10"/>
      <c r="C766" s="10"/>
      <c r="D766" s="10"/>
      <c r="E766" s="10"/>
      <c r="F766" s="10"/>
      <c r="G766" s="10"/>
      <c r="H766" s="10"/>
    </row>
    <row r="767" spans="1:8" ht="14.25" customHeight="1" x14ac:dyDescent="0.35">
      <c r="A767" s="10"/>
      <c r="B767" s="10"/>
      <c r="C767" s="10"/>
      <c r="D767" s="10"/>
      <c r="E767" s="10"/>
      <c r="F767" s="10"/>
      <c r="G767" s="10"/>
      <c r="H767" s="10"/>
    </row>
    <row r="768" spans="1:8" ht="14.25" customHeight="1" x14ac:dyDescent="0.35">
      <c r="A768" s="10"/>
      <c r="B768" s="10"/>
      <c r="C768" s="10"/>
      <c r="D768" s="10"/>
      <c r="E768" s="10"/>
      <c r="F768" s="10"/>
      <c r="G768" s="10"/>
      <c r="H768" s="10"/>
    </row>
    <row r="769" spans="1:8" ht="14.25" customHeight="1" x14ac:dyDescent="0.35">
      <c r="A769" s="10"/>
      <c r="B769" s="10"/>
      <c r="C769" s="10"/>
      <c r="D769" s="10"/>
      <c r="E769" s="10"/>
      <c r="F769" s="10"/>
      <c r="G769" s="10"/>
      <c r="H769" s="10"/>
    </row>
    <row r="770" spans="1:8" ht="14.25" customHeight="1" x14ac:dyDescent="0.35">
      <c r="A770" s="10"/>
      <c r="B770" s="10"/>
      <c r="C770" s="10"/>
      <c r="D770" s="10"/>
      <c r="E770" s="10"/>
      <c r="F770" s="10"/>
      <c r="G770" s="10"/>
      <c r="H770" s="10"/>
    </row>
    <row r="771" spans="1:8" ht="14.25" customHeight="1" x14ac:dyDescent="0.35">
      <c r="A771" s="10"/>
      <c r="B771" s="10"/>
      <c r="C771" s="10"/>
      <c r="D771" s="10"/>
      <c r="E771" s="10"/>
      <c r="F771" s="10"/>
      <c r="G771" s="10"/>
      <c r="H771" s="10"/>
    </row>
    <row r="772" spans="1:8" ht="14.25" customHeight="1" x14ac:dyDescent="0.35">
      <c r="A772" s="10"/>
      <c r="B772" s="10"/>
      <c r="C772" s="10"/>
      <c r="D772" s="10"/>
      <c r="E772" s="10"/>
      <c r="F772" s="10"/>
      <c r="G772" s="10"/>
      <c r="H772" s="10"/>
    </row>
    <row r="773" spans="1:8" ht="14.25" customHeight="1" x14ac:dyDescent="0.35">
      <c r="A773" s="10"/>
      <c r="B773" s="10"/>
      <c r="C773" s="10"/>
      <c r="D773" s="10"/>
      <c r="E773" s="10"/>
      <c r="F773" s="10"/>
      <c r="G773" s="10"/>
      <c r="H773" s="10"/>
    </row>
    <row r="774" spans="1:8" ht="14.25" customHeight="1" x14ac:dyDescent="0.35">
      <c r="A774" s="10"/>
      <c r="B774" s="10"/>
      <c r="C774" s="10"/>
      <c r="D774" s="10"/>
      <c r="E774" s="10"/>
      <c r="F774" s="10"/>
      <c r="G774" s="10"/>
      <c r="H774" s="10"/>
    </row>
    <row r="775" spans="1:8" ht="14.25" customHeight="1" x14ac:dyDescent="0.35">
      <c r="A775" s="10"/>
      <c r="B775" s="10"/>
      <c r="C775" s="10"/>
      <c r="D775" s="10"/>
      <c r="E775" s="10"/>
      <c r="F775" s="10"/>
      <c r="G775" s="10"/>
      <c r="H775" s="10"/>
    </row>
    <row r="776" spans="1:8" ht="14.25" customHeight="1" x14ac:dyDescent="0.35">
      <c r="A776" s="10"/>
      <c r="B776" s="10"/>
      <c r="C776" s="10"/>
      <c r="D776" s="10"/>
      <c r="E776" s="10"/>
      <c r="F776" s="10"/>
      <c r="G776" s="10"/>
      <c r="H776" s="10"/>
    </row>
    <row r="777" spans="1:8" ht="14.25" customHeight="1" x14ac:dyDescent="0.35">
      <c r="A777" s="10"/>
      <c r="B777" s="10"/>
      <c r="C777" s="10"/>
      <c r="D777" s="10"/>
      <c r="E777" s="10"/>
      <c r="F777" s="10"/>
      <c r="G777" s="10"/>
      <c r="H777" s="10"/>
    </row>
    <row r="778" spans="1:8" ht="14.25" customHeight="1" x14ac:dyDescent="0.35">
      <c r="A778" s="10"/>
      <c r="B778" s="10"/>
      <c r="C778" s="10"/>
      <c r="D778" s="10"/>
      <c r="E778" s="10"/>
      <c r="F778" s="10"/>
      <c r="G778" s="10"/>
      <c r="H778" s="10"/>
    </row>
    <row r="779" spans="1:8" ht="14.25" customHeight="1" x14ac:dyDescent="0.35">
      <c r="A779" s="10"/>
      <c r="B779" s="10"/>
      <c r="C779" s="10"/>
      <c r="D779" s="10"/>
      <c r="E779" s="10"/>
      <c r="F779" s="10"/>
      <c r="G779" s="10"/>
      <c r="H779" s="10"/>
    </row>
    <row r="780" spans="1:8" ht="14.25" customHeight="1" x14ac:dyDescent="0.35">
      <c r="A780" s="10"/>
      <c r="B780" s="10"/>
      <c r="C780" s="10"/>
      <c r="D780" s="10"/>
      <c r="E780" s="10"/>
      <c r="F780" s="10"/>
      <c r="G780" s="10"/>
      <c r="H780" s="10"/>
    </row>
    <row r="781" spans="1:8" ht="14.25" customHeight="1" x14ac:dyDescent="0.35">
      <c r="A781" s="10"/>
      <c r="B781" s="10"/>
      <c r="C781" s="10"/>
      <c r="D781" s="10"/>
      <c r="E781" s="10"/>
      <c r="F781" s="10"/>
      <c r="G781" s="10"/>
      <c r="H781" s="10"/>
    </row>
    <row r="782" spans="1:8" ht="14.25" customHeight="1" x14ac:dyDescent="0.35">
      <c r="A782" s="10"/>
      <c r="B782" s="10"/>
      <c r="C782" s="10"/>
      <c r="D782" s="10"/>
      <c r="E782" s="10"/>
      <c r="F782" s="10"/>
      <c r="G782" s="10"/>
      <c r="H782" s="10"/>
    </row>
    <row r="783" spans="1:8" ht="14.25" customHeight="1" x14ac:dyDescent="0.35">
      <c r="A783" s="10"/>
      <c r="B783" s="10"/>
      <c r="C783" s="10"/>
      <c r="D783" s="10"/>
      <c r="E783" s="10"/>
      <c r="F783" s="10"/>
      <c r="G783" s="10"/>
      <c r="H783" s="10"/>
    </row>
    <row r="784" spans="1:8" ht="14.25" customHeight="1" x14ac:dyDescent="0.35">
      <c r="A784" s="10"/>
      <c r="B784" s="10"/>
      <c r="C784" s="10"/>
      <c r="D784" s="10"/>
      <c r="E784" s="10"/>
      <c r="F784" s="10"/>
      <c r="G784" s="10"/>
      <c r="H784" s="10"/>
    </row>
    <row r="785" spans="1:8" ht="14.25" customHeight="1" x14ac:dyDescent="0.35">
      <c r="A785" s="10"/>
      <c r="B785" s="10"/>
      <c r="C785" s="10"/>
      <c r="D785" s="10"/>
      <c r="E785" s="10"/>
      <c r="F785" s="10"/>
      <c r="G785" s="10"/>
      <c r="H785" s="10"/>
    </row>
    <row r="786" spans="1:8" ht="14.25" customHeight="1" x14ac:dyDescent="0.35">
      <c r="A786" s="10"/>
      <c r="B786" s="10"/>
      <c r="C786" s="10"/>
      <c r="D786" s="10"/>
      <c r="E786" s="10"/>
      <c r="F786" s="10"/>
      <c r="G786" s="10"/>
      <c r="H786" s="10"/>
    </row>
    <row r="787" spans="1:8" ht="14.25" customHeight="1" x14ac:dyDescent="0.35">
      <c r="A787" s="10"/>
      <c r="B787" s="10"/>
      <c r="C787" s="10"/>
      <c r="D787" s="10"/>
      <c r="E787" s="10"/>
      <c r="F787" s="10"/>
      <c r="G787" s="10"/>
      <c r="H787" s="10"/>
    </row>
    <row r="788" spans="1:8" ht="14.25" customHeight="1" x14ac:dyDescent="0.35">
      <c r="A788" s="10"/>
      <c r="B788" s="10"/>
      <c r="C788" s="10"/>
      <c r="D788" s="10"/>
      <c r="E788" s="10"/>
      <c r="F788" s="10"/>
      <c r="G788" s="10"/>
      <c r="H788" s="10"/>
    </row>
    <row r="789" spans="1:8" ht="14.25" customHeight="1" x14ac:dyDescent="0.35">
      <c r="A789" s="10"/>
      <c r="B789" s="10"/>
      <c r="C789" s="10"/>
      <c r="D789" s="10"/>
      <c r="E789" s="10"/>
      <c r="F789" s="10"/>
      <c r="G789" s="10"/>
      <c r="H789" s="10"/>
    </row>
    <row r="790" spans="1:8" ht="14.25" customHeight="1" x14ac:dyDescent="0.35">
      <c r="A790" s="10"/>
      <c r="B790" s="10"/>
      <c r="C790" s="10"/>
      <c r="D790" s="10"/>
      <c r="E790" s="10"/>
      <c r="F790" s="10"/>
      <c r="G790" s="10"/>
      <c r="H790" s="10"/>
    </row>
    <row r="791" spans="1:8" ht="14.25" customHeight="1" x14ac:dyDescent="0.35">
      <c r="A791" s="10"/>
      <c r="B791" s="10"/>
      <c r="C791" s="10"/>
      <c r="D791" s="10"/>
      <c r="E791" s="10"/>
      <c r="F791" s="10"/>
      <c r="G791" s="10"/>
      <c r="H791" s="10"/>
    </row>
    <row r="792" spans="1:8" ht="14.25" customHeight="1" x14ac:dyDescent="0.35">
      <c r="A792" s="10"/>
      <c r="B792" s="10"/>
      <c r="C792" s="10"/>
      <c r="D792" s="10"/>
      <c r="E792" s="10"/>
      <c r="F792" s="10"/>
      <c r="G792" s="10"/>
      <c r="H792" s="10"/>
    </row>
    <row r="793" spans="1:8" ht="14.25" customHeight="1" x14ac:dyDescent="0.35">
      <c r="A793" s="10"/>
      <c r="B793" s="10"/>
      <c r="C793" s="10"/>
      <c r="D793" s="10"/>
      <c r="E793" s="10"/>
      <c r="F793" s="10"/>
      <c r="G793" s="10"/>
      <c r="H793" s="10"/>
    </row>
    <row r="794" spans="1:8" ht="14.25" customHeight="1" x14ac:dyDescent="0.35">
      <c r="A794" s="10"/>
      <c r="B794" s="10"/>
      <c r="C794" s="10"/>
      <c r="D794" s="10"/>
      <c r="E794" s="10"/>
      <c r="F794" s="10"/>
      <c r="G794" s="10"/>
      <c r="H794" s="10"/>
    </row>
    <row r="795" spans="1:8" ht="14.25" customHeight="1" x14ac:dyDescent="0.35">
      <c r="A795" s="10"/>
      <c r="B795" s="10"/>
      <c r="C795" s="10"/>
      <c r="D795" s="10"/>
      <c r="E795" s="10"/>
      <c r="F795" s="10"/>
      <c r="G795" s="10"/>
      <c r="H795" s="10"/>
    </row>
    <row r="796" spans="1:8" ht="14.25" customHeight="1" x14ac:dyDescent="0.35">
      <c r="A796" s="10"/>
      <c r="B796" s="10"/>
      <c r="C796" s="10"/>
      <c r="D796" s="10"/>
      <c r="E796" s="10"/>
      <c r="F796" s="10"/>
      <c r="G796" s="10"/>
      <c r="H796" s="10"/>
    </row>
    <row r="797" spans="1:8" ht="14.25" customHeight="1" x14ac:dyDescent="0.35">
      <c r="A797" s="10"/>
      <c r="B797" s="10"/>
      <c r="C797" s="10"/>
      <c r="D797" s="10"/>
      <c r="E797" s="10"/>
      <c r="F797" s="10"/>
      <c r="G797" s="10"/>
      <c r="H797" s="10"/>
    </row>
    <row r="798" spans="1:8" ht="14.25" customHeight="1" x14ac:dyDescent="0.35">
      <c r="A798" s="10"/>
      <c r="B798" s="10"/>
      <c r="C798" s="10"/>
      <c r="D798" s="10"/>
      <c r="E798" s="10"/>
      <c r="F798" s="10"/>
      <c r="G798" s="10"/>
      <c r="H798" s="10"/>
    </row>
    <row r="799" spans="1:8" ht="14.25" customHeight="1" x14ac:dyDescent="0.35">
      <c r="A799" s="10"/>
      <c r="B799" s="10"/>
      <c r="C799" s="10"/>
      <c r="D799" s="10"/>
      <c r="E799" s="10"/>
      <c r="F799" s="10"/>
      <c r="G799" s="10"/>
      <c r="H799" s="10"/>
    </row>
    <row r="800" spans="1:8" ht="14.25" customHeight="1" x14ac:dyDescent="0.35">
      <c r="A800" s="10"/>
      <c r="B800" s="10"/>
      <c r="C800" s="10"/>
      <c r="D800" s="10"/>
      <c r="E800" s="10"/>
      <c r="F800" s="10"/>
      <c r="G800" s="10"/>
      <c r="H800" s="10"/>
    </row>
    <row r="801" spans="1:8" ht="14.25" customHeight="1" x14ac:dyDescent="0.35">
      <c r="A801" s="10"/>
      <c r="B801" s="10"/>
      <c r="C801" s="10"/>
      <c r="D801" s="10"/>
      <c r="E801" s="10"/>
      <c r="F801" s="10"/>
      <c r="G801" s="10"/>
      <c r="H801" s="10"/>
    </row>
    <row r="802" spans="1:8" ht="14.25" customHeight="1" x14ac:dyDescent="0.35">
      <c r="A802" s="10"/>
      <c r="B802" s="10"/>
      <c r="C802" s="10"/>
      <c r="D802" s="10"/>
      <c r="E802" s="10"/>
      <c r="F802" s="10"/>
      <c r="G802" s="10"/>
      <c r="H802" s="10"/>
    </row>
    <row r="803" spans="1:8" ht="14.25" customHeight="1" x14ac:dyDescent="0.35">
      <c r="A803" s="10"/>
      <c r="B803" s="10"/>
      <c r="C803" s="10"/>
      <c r="D803" s="10"/>
      <c r="E803" s="10"/>
      <c r="F803" s="10"/>
      <c r="G803" s="10"/>
      <c r="H803" s="10"/>
    </row>
    <row r="804" spans="1:8" ht="14.25" customHeight="1" x14ac:dyDescent="0.35">
      <c r="A804" s="10"/>
      <c r="B804" s="10"/>
      <c r="C804" s="10"/>
      <c r="D804" s="10"/>
      <c r="E804" s="10"/>
      <c r="F804" s="10"/>
      <c r="G804" s="10"/>
      <c r="H804" s="10"/>
    </row>
    <row r="805" spans="1:8" ht="14.25" customHeight="1" x14ac:dyDescent="0.35">
      <c r="A805" s="10"/>
      <c r="B805" s="10"/>
      <c r="C805" s="10"/>
      <c r="D805" s="10"/>
      <c r="E805" s="10"/>
      <c r="F805" s="10"/>
      <c r="G805" s="10"/>
      <c r="H805" s="10"/>
    </row>
    <row r="806" spans="1:8" ht="14.25" customHeight="1" x14ac:dyDescent="0.35">
      <c r="A806" s="10"/>
      <c r="B806" s="10"/>
      <c r="C806" s="10"/>
      <c r="D806" s="10"/>
      <c r="E806" s="10"/>
      <c r="F806" s="10"/>
      <c r="G806" s="10"/>
      <c r="H806" s="10"/>
    </row>
    <row r="807" spans="1:8" ht="14.25" customHeight="1" x14ac:dyDescent="0.35">
      <c r="A807" s="10"/>
      <c r="B807" s="10"/>
      <c r="C807" s="10"/>
      <c r="D807" s="10"/>
      <c r="E807" s="10"/>
      <c r="F807" s="10"/>
      <c r="G807" s="10"/>
      <c r="H807" s="10"/>
    </row>
    <row r="808" spans="1:8" ht="14.25" customHeight="1" x14ac:dyDescent="0.35">
      <c r="A808" s="10"/>
      <c r="B808" s="10"/>
      <c r="C808" s="10"/>
      <c r="D808" s="10"/>
      <c r="E808" s="10"/>
      <c r="F808" s="10"/>
      <c r="G808" s="10"/>
      <c r="H808" s="10"/>
    </row>
    <row r="809" spans="1:8" ht="14.25" customHeight="1" x14ac:dyDescent="0.35">
      <c r="A809" s="10"/>
      <c r="B809" s="10"/>
      <c r="C809" s="10"/>
      <c r="D809" s="10"/>
      <c r="E809" s="10"/>
      <c r="F809" s="10"/>
      <c r="G809" s="10"/>
      <c r="H809" s="10"/>
    </row>
    <row r="810" spans="1:8" ht="14.25" customHeight="1" x14ac:dyDescent="0.35">
      <c r="A810" s="10"/>
      <c r="B810" s="10"/>
      <c r="C810" s="10"/>
      <c r="D810" s="10"/>
      <c r="E810" s="10"/>
      <c r="F810" s="10"/>
      <c r="G810" s="10"/>
      <c r="H810" s="10"/>
    </row>
    <row r="811" spans="1:8" ht="14.25" customHeight="1" x14ac:dyDescent="0.35">
      <c r="A811" s="10"/>
      <c r="B811" s="10"/>
      <c r="C811" s="10"/>
      <c r="D811" s="10"/>
      <c r="E811" s="10"/>
      <c r="F811" s="10"/>
      <c r="G811" s="10"/>
      <c r="H811" s="10"/>
    </row>
    <row r="812" spans="1:8" ht="14.25" customHeight="1" x14ac:dyDescent="0.35">
      <c r="A812" s="10"/>
      <c r="B812" s="10"/>
      <c r="C812" s="10"/>
      <c r="D812" s="10"/>
      <c r="E812" s="10"/>
      <c r="F812" s="10"/>
      <c r="G812" s="10"/>
      <c r="H812" s="10"/>
    </row>
    <row r="813" spans="1:8" ht="14.25" customHeight="1" x14ac:dyDescent="0.35">
      <c r="A813" s="10"/>
      <c r="B813" s="10"/>
      <c r="C813" s="10"/>
      <c r="D813" s="10"/>
      <c r="E813" s="10"/>
      <c r="F813" s="10"/>
      <c r="G813" s="10"/>
      <c r="H813" s="10"/>
    </row>
    <row r="814" spans="1:8" ht="14.25" customHeight="1" x14ac:dyDescent="0.35">
      <c r="A814" s="10"/>
      <c r="B814" s="10"/>
      <c r="C814" s="10"/>
      <c r="D814" s="10"/>
      <c r="E814" s="10"/>
      <c r="F814" s="10"/>
      <c r="G814" s="10"/>
      <c r="H814" s="10"/>
    </row>
    <row r="815" spans="1:8" ht="14.25" customHeight="1" x14ac:dyDescent="0.35">
      <c r="A815" s="10"/>
      <c r="B815" s="10"/>
      <c r="C815" s="10"/>
      <c r="D815" s="10"/>
      <c r="E815" s="10"/>
      <c r="F815" s="10"/>
      <c r="G815" s="10"/>
      <c r="H815" s="10"/>
    </row>
    <row r="816" spans="1:8" ht="14.25" customHeight="1" x14ac:dyDescent="0.35">
      <c r="A816" s="10"/>
      <c r="B816" s="10"/>
      <c r="C816" s="10"/>
      <c r="D816" s="10"/>
      <c r="E816" s="10"/>
      <c r="F816" s="10"/>
      <c r="G816" s="10"/>
      <c r="H816" s="10"/>
    </row>
    <row r="817" spans="1:8" ht="14.25" customHeight="1" x14ac:dyDescent="0.35">
      <c r="A817" s="10"/>
      <c r="B817" s="10"/>
      <c r="C817" s="10"/>
      <c r="D817" s="10"/>
      <c r="E817" s="10"/>
      <c r="F817" s="10"/>
      <c r="G817" s="10"/>
      <c r="H817" s="10"/>
    </row>
    <row r="818" spans="1:8" ht="14.25" customHeight="1" x14ac:dyDescent="0.35">
      <c r="A818" s="10"/>
      <c r="B818" s="10"/>
      <c r="C818" s="10"/>
      <c r="D818" s="10"/>
      <c r="E818" s="10"/>
      <c r="F818" s="10"/>
      <c r="G818" s="10"/>
      <c r="H818" s="10"/>
    </row>
    <row r="819" spans="1:8" ht="14.25" customHeight="1" x14ac:dyDescent="0.35">
      <c r="A819" s="10"/>
      <c r="B819" s="10"/>
      <c r="C819" s="10"/>
      <c r="D819" s="10"/>
      <c r="E819" s="10"/>
      <c r="F819" s="10"/>
      <c r="G819" s="10"/>
      <c r="H819" s="10"/>
    </row>
    <row r="820" spans="1:8" ht="14.25" customHeight="1" x14ac:dyDescent="0.35">
      <c r="A820" s="10"/>
      <c r="B820" s="10"/>
      <c r="C820" s="10"/>
      <c r="D820" s="10"/>
      <c r="E820" s="10"/>
      <c r="F820" s="10"/>
      <c r="G820" s="10"/>
      <c r="H820" s="10"/>
    </row>
    <row r="821" spans="1:8" ht="14.25" customHeight="1" x14ac:dyDescent="0.35">
      <c r="A821" s="10"/>
      <c r="B821" s="10"/>
      <c r="C821" s="10"/>
      <c r="D821" s="10"/>
      <c r="E821" s="10"/>
      <c r="F821" s="10"/>
      <c r="G821" s="10"/>
      <c r="H821" s="10"/>
    </row>
    <row r="822" spans="1:8" ht="14.25" customHeight="1" x14ac:dyDescent="0.35">
      <c r="A822" s="10"/>
      <c r="B822" s="10"/>
      <c r="C822" s="10"/>
      <c r="D822" s="10"/>
      <c r="E822" s="10"/>
      <c r="F822" s="10"/>
      <c r="G822" s="10"/>
      <c r="H822" s="10"/>
    </row>
    <row r="823" spans="1:8" ht="14.25" customHeight="1" x14ac:dyDescent="0.35">
      <c r="A823" s="10"/>
      <c r="B823" s="10"/>
      <c r="C823" s="10"/>
      <c r="D823" s="10"/>
      <c r="E823" s="10"/>
      <c r="F823" s="10"/>
      <c r="G823" s="10"/>
      <c r="H823" s="10"/>
    </row>
    <row r="824" spans="1:8" ht="14.25" customHeight="1" x14ac:dyDescent="0.35">
      <c r="A824" s="10"/>
      <c r="B824" s="10"/>
      <c r="C824" s="10"/>
      <c r="D824" s="10"/>
      <c r="E824" s="10"/>
      <c r="F824" s="10"/>
      <c r="G824" s="10"/>
      <c r="H824" s="10"/>
    </row>
    <row r="825" spans="1:8" ht="14.25" customHeight="1" x14ac:dyDescent="0.35">
      <c r="A825" s="10"/>
      <c r="B825" s="10"/>
      <c r="C825" s="10"/>
      <c r="D825" s="10"/>
      <c r="E825" s="10"/>
      <c r="F825" s="10"/>
      <c r="G825" s="10"/>
      <c r="H825" s="10"/>
    </row>
    <row r="826" spans="1:8" ht="14.25" customHeight="1" x14ac:dyDescent="0.35">
      <c r="A826" s="10"/>
      <c r="B826" s="10"/>
      <c r="C826" s="10"/>
      <c r="D826" s="10"/>
      <c r="E826" s="10"/>
      <c r="F826" s="10"/>
      <c r="G826" s="10"/>
      <c r="H826" s="10"/>
    </row>
    <row r="827" spans="1:8" ht="14.25" customHeight="1" x14ac:dyDescent="0.35">
      <c r="A827" s="10"/>
      <c r="B827" s="10"/>
      <c r="C827" s="10"/>
      <c r="D827" s="10"/>
      <c r="E827" s="10"/>
      <c r="F827" s="10"/>
      <c r="G827" s="10"/>
      <c r="H827" s="10"/>
    </row>
    <row r="828" spans="1:8" ht="14.25" customHeight="1" x14ac:dyDescent="0.35">
      <c r="A828" s="10"/>
      <c r="B828" s="10"/>
      <c r="C828" s="10"/>
      <c r="D828" s="10"/>
      <c r="E828" s="10"/>
      <c r="F828" s="10"/>
      <c r="G828" s="10"/>
      <c r="H828" s="10"/>
    </row>
    <row r="829" spans="1:8" ht="14.25" customHeight="1" x14ac:dyDescent="0.35">
      <c r="A829" s="10"/>
      <c r="B829" s="10"/>
      <c r="C829" s="10"/>
      <c r="D829" s="10"/>
      <c r="E829" s="10"/>
      <c r="F829" s="10"/>
      <c r="G829" s="10"/>
      <c r="H829" s="10"/>
    </row>
    <row r="830" spans="1:8" ht="14.25" customHeight="1" x14ac:dyDescent="0.35">
      <c r="A830" s="10"/>
      <c r="B830" s="10"/>
      <c r="C830" s="10"/>
      <c r="D830" s="10"/>
      <c r="E830" s="10"/>
      <c r="F830" s="10"/>
      <c r="G830" s="10"/>
      <c r="H830" s="10"/>
    </row>
    <row r="831" spans="1:8" ht="14.25" customHeight="1" x14ac:dyDescent="0.35">
      <c r="A831" s="10"/>
      <c r="B831" s="10"/>
      <c r="C831" s="10"/>
      <c r="D831" s="10"/>
      <c r="E831" s="10"/>
      <c r="F831" s="10"/>
      <c r="G831" s="10"/>
      <c r="H831" s="10"/>
    </row>
    <row r="832" spans="1:8" ht="14.25" customHeight="1" x14ac:dyDescent="0.35">
      <c r="A832" s="10"/>
      <c r="B832" s="10"/>
      <c r="C832" s="10"/>
      <c r="D832" s="10"/>
      <c r="E832" s="10"/>
      <c r="F832" s="10"/>
      <c r="G832" s="10"/>
      <c r="H832" s="10"/>
    </row>
    <row r="833" spans="1:8" ht="14.25" customHeight="1" x14ac:dyDescent="0.35">
      <c r="A833" s="10"/>
      <c r="B833" s="10"/>
      <c r="C833" s="10"/>
      <c r="D833" s="10"/>
      <c r="E833" s="10"/>
      <c r="F833" s="10"/>
      <c r="G833" s="10"/>
      <c r="H833" s="10"/>
    </row>
    <row r="834" spans="1:8" ht="14.25" customHeight="1" x14ac:dyDescent="0.35">
      <c r="A834" s="10"/>
      <c r="B834" s="10"/>
      <c r="C834" s="10"/>
      <c r="D834" s="10"/>
      <c r="E834" s="10"/>
      <c r="F834" s="10"/>
      <c r="G834" s="10"/>
      <c r="H834" s="10"/>
    </row>
    <row r="835" spans="1:8" ht="14.25" customHeight="1" x14ac:dyDescent="0.35">
      <c r="A835" s="10"/>
      <c r="B835" s="10"/>
      <c r="C835" s="10"/>
      <c r="D835" s="10"/>
      <c r="E835" s="10"/>
      <c r="F835" s="10"/>
      <c r="G835" s="10"/>
      <c r="H835" s="10"/>
    </row>
    <row r="836" spans="1:8" ht="14.25" customHeight="1" x14ac:dyDescent="0.35">
      <c r="A836" s="10"/>
      <c r="B836" s="10"/>
      <c r="C836" s="10"/>
      <c r="D836" s="10"/>
      <c r="E836" s="10"/>
      <c r="F836" s="10"/>
      <c r="G836" s="10"/>
      <c r="H836" s="10"/>
    </row>
    <row r="837" spans="1:8" ht="14.25" customHeight="1" x14ac:dyDescent="0.35">
      <c r="A837" s="10"/>
      <c r="B837" s="10"/>
      <c r="C837" s="10"/>
      <c r="D837" s="10"/>
      <c r="E837" s="10"/>
      <c r="F837" s="10"/>
      <c r="G837" s="10"/>
      <c r="H837" s="10"/>
    </row>
    <row r="838" spans="1:8" ht="14.25" customHeight="1" x14ac:dyDescent="0.35">
      <c r="A838" s="10"/>
      <c r="B838" s="10"/>
      <c r="C838" s="10"/>
      <c r="D838" s="10"/>
      <c r="E838" s="10"/>
      <c r="F838" s="10"/>
      <c r="G838" s="10"/>
      <c r="H838" s="10"/>
    </row>
    <row r="839" spans="1:8" ht="14.25" customHeight="1" x14ac:dyDescent="0.35">
      <c r="A839" s="10"/>
      <c r="B839" s="10"/>
      <c r="C839" s="10"/>
      <c r="D839" s="10"/>
      <c r="E839" s="10"/>
      <c r="F839" s="10"/>
      <c r="G839" s="10"/>
      <c r="H839" s="10"/>
    </row>
    <row r="840" spans="1:8" ht="14.25" customHeight="1" x14ac:dyDescent="0.35">
      <c r="A840" s="10"/>
      <c r="B840" s="10"/>
      <c r="C840" s="10"/>
      <c r="D840" s="10"/>
      <c r="E840" s="10"/>
      <c r="F840" s="10"/>
      <c r="G840" s="10"/>
      <c r="H840" s="10"/>
    </row>
    <row r="841" spans="1:8" ht="14.25" customHeight="1" x14ac:dyDescent="0.35">
      <c r="A841" s="10"/>
      <c r="B841" s="10"/>
      <c r="C841" s="10"/>
      <c r="D841" s="10"/>
      <c r="E841" s="10"/>
      <c r="F841" s="10"/>
      <c r="G841" s="10"/>
      <c r="H841" s="10"/>
    </row>
    <row r="842" spans="1:8" ht="14.25" customHeight="1" x14ac:dyDescent="0.35">
      <c r="A842" s="10"/>
      <c r="B842" s="10"/>
      <c r="C842" s="10"/>
      <c r="D842" s="10"/>
      <c r="E842" s="10"/>
      <c r="F842" s="10"/>
      <c r="G842" s="10"/>
      <c r="H842" s="10"/>
    </row>
    <row r="843" spans="1:8" ht="14.25" customHeight="1" x14ac:dyDescent="0.35">
      <c r="A843" s="10"/>
      <c r="B843" s="10"/>
      <c r="C843" s="10"/>
      <c r="D843" s="10"/>
      <c r="E843" s="10"/>
      <c r="F843" s="10"/>
      <c r="G843" s="10"/>
      <c r="H843" s="10"/>
    </row>
    <row r="844" spans="1:8" ht="14.25" customHeight="1" x14ac:dyDescent="0.35">
      <c r="A844" s="10"/>
      <c r="B844" s="10"/>
      <c r="C844" s="10"/>
      <c r="D844" s="10"/>
      <c r="E844" s="10"/>
      <c r="F844" s="10"/>
      <c r="G844" s="10"/>
      <c r="H844" s="10"/>
    </row>
    <row r="845" spans="1:8" ht="14.25" customHeight="1" x14ac:dyDescent="0.35">
      <c r="A845" s="10"/>
      <c r="B845" s="10"/>
      <c r="C845" s="10"/>
      <c r="D845" s="10"/>
      <c r="E845" s="10"/>
      <c r="F845" s="10"/>
      <c r="G845" s="10"/>
      <c r="H845" s="10"/>
    </row>
    <row r="846" spans="1:8" ht="14.25" customHeight="1" x14ac:dyDescent="0.35">
      <c r="A846" s="10"/>
      <c r="B846" s="10"/>
      <c r="C846" s="10"/>
      <c r="D846" s="10"/>
      <c r="E846" s="10"/>
      <c r="F846" s="10"/>
      <c r="G846" s="10"/>
      <c r="H846" s="10"/>
    </row>
    <row r="847" spans="1:8" ht="14.25" customHeight="1" x14ac:dyDescent="0.35">
      <c r="A847" s="10"/>
      <c r="B847" s="10"/>
      <c r="C847" s="10"/>
      <c r="D847" s="10"/>
      <c r="E847" s="10"/>
      <c r="F847" s="10"/>
      <c r="G847" s="10"/>
      <c r="H847" s="10"/>
    </row>
    <row r="848" spans="1:8" ht="14.25" customHeight="1" x14ac:dyDescent="0.35">
      <c r="A848" s="10"/>
      <c r="B848" s="10"/>
      <c r="C848" s="10"/>
      <c r="D848" s="10"/>
      <c r="E848" s="10"/>
      <c r="F848" s="10"/>
      <c r="G848" s="10"/>
      <c r="H848" s="10"/>
    </row>
    <row r="849" spans="1:8" ht="14.25" customHeight="1" x14ac:dyDescent="0.35">
      <c r="A849" s="10"/>
      <c r="B849" s="10"/>
      <c r="C849" s="10"/>
      <c r="D849" s="10"/>
      <c r="E849" s="10"/>
      <c r="F849" s="10"/>
      <c r="G849" s="10"/>
      <c r="H849" s="10"/>
    </row>
    <row r="850" spans="1:8" ht="14.25" customHeight="1" x14ac:dyDescent="0.35">
      <c r="A850" s="10"/>
      <c r="B850" s="10"/>
      <c r="C850" s="10"/>
      <c r="D850" s="10"/>
      <c r="E850" s="10"/>
      <c r="F850" s="10"/>
      <c r="G850" s="10"/>
      <c r="H850" s="10"/>
    </row>
    <row r="851" spans="1:8" ht="14.25" customHeight="1" x14ac:dyDescent="0.35">
      <c r="A851" s="10"/>
      <c r="B851" s="10"/>
      <c r="C851" s="10"/>
      <c r="D851" s="10"/>
      <c r="E851" s="10"/>
      <c r="F851" s="10"/>
      <c r="G851" s="10"/>
      <c r="H851" s="10"/>
    </row>
    <row r="852" spans="1:8" ht="14.25" customHeight="1" x14ac:dyDescent="0.35">
      <c r="A852" s="10"/>
      <c r="B852" s="10"/>
      <c r="C852" s="10"/>
      <c r="D852" s="10"/>
      <c r="E852" s="10"/>
      <c r="F852" s="10"/>
      <c r="G852" s="10"/>
      <c r="H852" s="10"/>
    </row>
    <row r="853" spans="1:8" ht="14.25" customHeight="1" x14ac:dyDescent="0.35">
      <c r="A853" s="10"/>
      <c r="B853" s="10"/>
      <c r="C853" s="10"/>
      <c r="D853" s="10"/>
      <c r="E853" s="10"/>
      <c r="F853" s="10"/>
      <c r="G853" s="10"/>
      <c r="H853" s="10"/>
    </row>
    <row r="854" spans="1:8" ht="14.25" customHeight="1" x14ac:dyDescent="0.35">
      <c r="A854" s="10"/>
      <c r="B854" s="10"/>
      <c r="C854" s="10"/>
      <c r="D854" s="10"/>
      <c r="E854" s="10"/>
      <c r="F854" s="10"/>
      <c r="G854" s="10"/>
      <c r="H854" s="10"/>
    </row>
    <row r="855" spans="1:8" ht="14.25" customHeight="1" x14ac:dyDescent="0.35">
      <c r="A855" s="10"/>
      <c r="B855" s="10"/>
      <c r="C855" s="10"/>
      <c r="D855" s="10"/>
      <c r="E855" s="10"/>
      <c r="F855" s="10"/>
      <c r="G855" s="10"/>
      <c r="H855" s="10"/>
    </row>
    <row r="856" spans="1:8" ht="14.25" customHeight="1" x14ac:dyDescent="0.35">
      <c r="A856" s="10"/>
      <c r="B856" s="10"/>
      <c r="C856" s="10"/>
      <c r="D856" s="10"/>
      <c r="E856" s="10"/>
      <c r="F856" s="10"/>
      <c r="G856" s="10"/>
      <c r="H856" s="10"/>
    </row>
    <row r="857" spans="1:8" ht="14.25" customHeight="1" x14ac:dyDescent="0.35">
      <c r="A857" s="10"/>
      <c r="B857" s="10"/>
      <c r="C857" s="10"/>
      <c r="D857" s="10"/>
      <c r="E857" s="10"/>
      <c r="F857" s="10"/>
      <c r="G857" s="10"/>
      <c r="H857" s="10"/>
    </row>
    <row r="858" spans="1:8" ht="14.25" customHeight="1" x14ac:dyDescent="0.35">
      <c r="A858" s="10"/>
      <c r="B858" s="10"/>
      <c r="C858" s="10"/>
      <c r="D858" s="10"/>
      <c r="E858" s="10"/>
      <c r="F858" s="10"/>
      <c r="G858" s="10"/>
      <c r="H858" s="10"/>
    </row>
    <row r="859" spans="1:8" ht="14.25" customHeight="1" x14ac:dyDescent="0.35">
      <c r="A859" s="10"/>
      <c r="B859" s="10"/>
      <c r="C859" s="10"/>
      <c r="D859" s="10"/>
      <c r="E859" s="10"/>
      <c r="F859" s="10"/>
      <c r="G859" s="10"/>
      <c r="H859" s="10"/>
    </row>
    <row r="860" spans="1:8" ht="14.25" customHeight="1" x14ac:dyDescent="0.35">
      <c r="A860" s="10"/>
      <c r="B860" s="10"/>
      <c r="C860" s="10"/>
      <c r="D860" s="10"/>
      <c r="E860" s="10"/>
      <c r="F860" s="10"/>
      <c r="G860" s="10"/>
      <c r="H860" s="10"/>
    </row>
    <row r="861" spans="1:8" ht="14.25" customHeight="1" x14ac:dyDescent="0.35">
      <c r="A861" s="10"/>
      <c r="B861" s="10"/>
      <c r="C861" s="10"/>
      <c r="D861" s="10"/>
      <c r="E861" s="10"/>
      <c r="F861" s="10"/>
      <c r="G861" s="10"/>
      <c r="H861" s="10"/>
    </row>
    <row r="862" spans="1:8" ht="14.25" customHeight="1" x14ac:dyDescent="0.35">
      <c r="A862" s="10"/>
      <c r="B862" s="10"/>
      <c r="C862" s="10"/>
      <c r="D862" s="10"/>
      <c r="E862" s="10"/>
      <c r="F862" s="10"/>
      <c r="G862" s="10"/>
      <c r="H862" s="10"/>
    </row>
    <row r="863" spans="1:8" ht="14.25" customHeight="1" x14ac:dyDescent="0.35">
      <c r="A863" s="10"/>
      <c r="B863" s="10"/>
      <c r="C863" s="10"/>
      <c r="D863" s="10"/>
      <c r="E863" s="10"/>
      <c r="F863" s="10"/>
      <c r="G863" s="10"/>
      <c r="H863" s="10"/>
    </row>
    <row r="864" spans="1:8" ht="14.25" customHeight="1" x14ac:dyDescent="0.35">
      <c r="A864" s="10"/>
      <c r="B864" s="10"/>
      <c r="C864" s="10"/>
      <c r="D864" s="10"/>
      <c r="E864" s="10"/>
      <c r="F864" s="10"/>
      <c r="G864" s="10"/>
      <c r="H864" s="10"/>
    </row>
    <row r="865" spans="1:8" ht="14.25" customHeight="1" x14ac:dyDescent="0.35">
      <c r="A865" s="10"/>
      <c r="B865" s="10"/>
      <c r="C865" s="10"/>
      <c r="D865" s="10"/>
      <c r="E865" s="10"/>
      <c r="F865" s="10"/>
      <c r="G865" s="10"/>
      <c r="H865" s="10"/>
    </row>
    <row r="866" spans="1:8" ht="14.25" customHeight="1" x14ac:dyDescent="0.35">
      <c r="A866" s="10"/>
      <c r="B866" s="10"/>
      <c r="C866" s="10"/>
      <c r="D866" s="10"/>
      <c r="E866" s="10"/>
      <c r="F866" s="10"/>
      <c r="G866" s="10"/>
      <c r="H866" s="10"/>
    </row>
    <row r="867" spans="1:8" ht="14.25" customHeight="1" x14ac:dyDescent="0.35">
      <c r="A867" s="10"/>
      <c r="B867" s="10"/>
      <c r="C867" s="10"/>
      <c r="D867" s="10"/>
      <c r="E867" s="10"/>
      <c r="F867" s="10"/>
      <c r="G867" s="10"/>
      <c r="H867" s="10"/>
    </row>
    <row r="868" spans="1:8" ht="14.25" customHeight="1" x14ac:dyDescent="0.35">
      <c r="A868" s="10"/>
      <c r="B868" s="10"/>
      <c r="C868" s="10"/>
      <c r="D868" s="10"/>
      <c r="E868" s="10"/>
      <c r="F868" s="10"/>
      <c r="G868" s="10"/>
      <c r="H868" s="10"/>
    </row>
    <row r="869" spans="1:8" ht="14.25" customHeight="1" x14ac:dyDescent="0.35">
      <c r="A869" s="10"/>
      <c r="B869" s="10"/>
      <c r="C869" s="10"/>
      <c r="D869" s="10"/>
      <c r="E869" s="10"/>
      <c r="F869" s="10"/>
      <c r="G869" s="10"/>
      <c r="H869" s="10"/>
    </row>
    <row r="870" spans="1:8" ht="14.25" customHeight="1" x14ac:dyDescent="0.35">
      <c r="A870" s="10"/>
      <c r="B870" s="10"/>
      <c r="C870" s="10"/>
      <c r="D870" s="10"/>
      <c r="E870" s="10"/>
      <c r="F870" s="10"/>
      <c r="G870" s="10"/>
      <c r="H870" s="10"/>
    </row>
    <row r="871" spans="1:8" ht="14.25" customHeight="1" x14ac:dyDescent="0.35">
      <c r="A871" s="10"/>
      <c r="B871" s="10"/>
      <c r="C871" s="10"/>
      <c r="D871" s="10"/>
      <c r="E871" s="10"/>
      <c r="F871" s="10"/>
      <c r="G871" s="10"/>
      <c r="H871" s="10"/>
    </row>
    <row r="872" spans="1:8" ht="14.25" customHeight="1" x14ac:dyDescent="0.35">
      <c r="A872" s="10"/>
      <c r="B872" s="10"/>
      <c r="C872" s="10"/>
      <c r="D872" s="10"/>
      <c r="E872" s="10"/>
      <c r="F872" s="10"/>
      <c r="G872" s="10"/>
      <c r="H872" s="10"/>
    </row>
    <row r="873" spans="1:8" ht="14.25" customHeight="1" x14ac:dyDescent="0.35">
      <c r="A873" s="10"/>
      <c r="B873" s="10"/>
      <c r="C873" s="10"/>
      <c r="D873" s="10"/>
      <c r="E873" s="10"/>
      <c r="F873" s="10"/>
      <c r="G873" s="10"/>
      <c r="H873" s="10"/>
    </row>
    <row r="874" spans="1:8" ht="14.25" customHeight="1" x14ac:dyDescent="0.35">
      <c r="A874" s="10"/>
      <c r="B874" s="10"/>
      <c r="C874" s="10"/>
      <c r="D874" s="10"/>
      <c r="E874" s="10"/>
      <c r="F874" s="10"/>
      <c r="G874" s="10"/>
      <c r="H874" s="10"/>
    </row>
    <row r="875" spans="1:8" ht="14.25" customHeight="1" x14ac:dyDescent="0.35">
      <c r="A875" s="10"/>
      <c r="B875" s="10"/>
      <c r="C875" s="10"/>
      <c r="D875" s="10"/>
      <c r="E875" s="10"/>
      <c r="F875" s="10"/>
      <c r="G875" s="10"/>
      <c r="H875" s="10"/>
    </row>
    <row r="876" spans="1:8" ht="14.25" customHeight="1" x14ac:dyDescent="0.35">
      <c r="A876" s="10"/>
      <c r="B876" s="10"/>
      <c r="C876" s="10"/>
      <c r="D876" s="10"/>
      <c r="E876" s="10"/>
      <c r="F876" s="10"/>
      <c r="G876" s="10"/>
      <c r="H876" s="10"/>
    </row>
    <row r="877" spans="1:8" ht="14.25" customHeight="1" x14ac:dyDescent="0.35">
      <c r="A877" s="10"/>
      <c r="B877" s="10"/>
      <c r="C877" s="10"/>
      <c r="D877" s="10"/>
      <c r="E877" s="10"/>
      <c r="F877" s="10"/>
      <c r="G877" s="10"/>
      <c r="H877" s="10"/>
    </row>
    <row r="878" spans="1:8" ht="14.25" customHeight="1" x14ac:dyDescent="0.35">
      <c r="A878" s="10"/>
      <c r="B878" s="10"/>
      <c r="C878" s="10"/>
      <c r="D878" s="10"/>
      <c r="E878" s="10"/>
      <c r="F878" s="10"/>
      <c r="G878" s="10"/>
      <c r="H878" s="10"/>
    </row>
    <row r="879" spans="1:8" ht="14.25" customHeight="1" x14ac:dyDescent="0.35">
      <c r="A879" s="10"/>
      <c r="B879" s="10"/>
      <c r="C879" s="10"/>
      <c r="D879" s="10"/>
      <c r="E879" s="10"/>
      <c r="F879" s="10"/>
      <c r="G879" s="10"/>
      <c r="H879" s="10"/>
    </row>
    <row r="880" spans="1:8" ht="14.25" customHeight="1" x14ac:dyDescent="0.35">
      <c r="A880" s="10"/>
      <c r="B880" s="10"/>
      <c r="C880" s="10"/>
      <c r="D880" s="10"/>
      <c r="E880" s="10"/>
      <c r="F880" s="10"/>
      <c r="G880" s="10"/>
      <c r="H880" s="10"/>
    </row>
    <row r="881" spans="1:8" ht="14.25" customHeight="1" x14ac:dyDescent="0.35">
      <c r="A881" s="10"/>
      <c r="B881" s="10"/>
      <c r="C881" s="10"/>
      <c r="D881" s="10"/>
      <c r="E881" s="10"/>
      <c r="F881" s="10"/>
      <c r="G881" s="10"/>
      <c r="H881" s="10"/>
    </row>
    <row r="882" spans="1:8" ht="14.25" customHeight="1" x14ac:dyDescent="0.35">
      <c r="A882" s="10"/>
      <c r="B882" s="10"/>
      <c r="C882" s="10"/>
      <c r="D882" s="10"/>
      <c r="E882" s="10"/>
      <c r="F882" s="10"/>
      <c r="G882" s="10"/>
      <c r="H882" s="10"/>
    </row>
    <row r="883" spans="1:8" ht="14.25" customHeight="1" x14ac:dyDescent="0.35">
      <c r="A883" s="10"/>
      <c r="B883" s="10"/>
      <c r="C883" s="10"/>
      <c r="D883" s="10"/>
      <c r="E883" s="10"/>
      <c r="F883" s="10"/>
      <c r="G883" s="10"/>
      <c r="H883" s="10"/>
    </row>
    <row r="884" spans="1:8" ht="14.25" customHeight="1" x14ac:dyDescent="0.35">
      <c r="A884" s="10"/>
      <c r="B884" s="10"/>
      <c r="C884" s="10"/>
      <c r="D884" s="10"/>
      <c r="E884" s="10"/>
      <c r="F884" s="10"/>
      <c r="G884" s="10"/>
      <c r="H884" s="10"/>
    </row>
    <row r="885" spans="1:8" ht="14.25" customHeight="1" x14ac:dyDescent="0.35">
      <c r="A885" s="10"/>
      <c r="B885" s="10"/>
      <c r="C885" s="10"/>
      <c r="D885" s="10"/>
      <c r="E885" s="10"/>
      <c r="F885" s="10"/>
      <c r="G885" s="10"/>
      <c r="H885" s="10"/>
    </row>
    <row r="886" spans="1:8" ht="14.25" customHeight="1" x14ac:dyDescent="0.35">
      <c r="A886" s="10"/>
      <c r="B886" s="10"/>
      <c r="C886" s="10"/>
      <c r="D886" s="10"/>
      <c r="E886" s="10"/>
      <c r="F886" s="10"/>
      <c r="G886" s="10"/>
      <c r="H886" s="10"/>
    </row>
    <row r="887" spans="1:8" ht="14.25" customHeight="1" x14ac:dyDescent="0.35">
      <c r="A887" s="10"/>
      <c r="B887" s="10"/>
      <c r="C887" s="10"/>
      <c r="D887" s="10"/>
      <c r="E887" s="10"/>
      <c r="F887" s="10"/>
      <c r="G887" s="10"/>
      <c r="H887" s="10"/>
    </row>
    <row r="888" spans="1:8" ht="14.25" customHeight="1" x14ac:dyDescent="0.35">
      <c r="A888" s="10"/>
      <c r="B888" s="10"/>
      <c r="C888" s="10"/>
      <c r="D888" s="10"/>
      <c r="E888" s="10"/>
      <c r="F888" s="10"/>
      <c r="G888" s="10"/>
      <c r="H888" s="10"/>
    </row>
    <row r="889" spans="1:8" ht="14.25" customHeight="1" x14ac:dyDescent="0.35">
      <c r="A889" s="10"/>
      <c r="B889" s="10"/>
      <c r="C889" s="10"/>
      <c r="D889" s="10"/>
      <c r="E889" s="10"/>
      <c r="F889" s="10"/>
      <c r="G889" s="10"/>
      <c r="H889" s="10"/>
    </row>
    <row r="890" spans="1:8" ht="14.25" customHeight="1" x14ac:dyDescent="0.35">
      <c r="A890" s="10"/>
      <c r="B890" s="10"/>
      <c r="C890" s="10"/>
      <c r="D890" s="10"/>
      <c r="E890" s="10"/>
      <c r="F890" s="10"/>
      <c r="G890" s="10"/>
      <c r="H890" s="10"/>
    </row>
    <row r="891" spans="1:8" ht="14.25" customHeight="1" x14ac:dyDescent="0.35">
      <c r="A891" s="10"/>
      <c r="B891" s="10"/>
      <c r="C891" s="10"/>
      <c r="D891" s="10"/>
      <c r="E891" s="10"/>
      <c r="F891" s="10"/>
      <c r="G891" s="10"/>
      <c r="H891" s="10"/>
    </row>
    <row r="892" spans="1:8" ht="14.25" customHeight="1" x14ac:dyDescent="0.35">
      <c r="A892" s="10"/>
      <c r="B892" s="10"/>
      <c r="C892" s="10"/>
      <c r="D892" s="10"/>
      <c r="E892" s="10"/>
      <c r="F892" s="10"/>
      <c r="G892" s="10"/>
      <c r="H892" s="10"/>
    </row>
    <row r="893" spans="1:8" ht="14.25" customHeight="1" x14ac:dyDescent="0.35">
      <c r="A893" s="10"/>
      <c r="B893" s="10"/>
      <c r="C893" s="10"/>
      <c r="D893" s="10"/>
      <c r="E893" s="10"/>
      <c r="F893" s="10"/>
      <c r="G893" s="10"/>
      <c r="H893" s="10"/>
    </row>
    <row r="894" spans="1:8" ht="14.25" customHeight="1" x14ac:dyDescent="0.35">
      <c r="A894" s="10"/>
      <c r="B894" s="10"/>
      <c r="C894" s="10"/>
      <c r="D894" s="10"/>
      <c r="E894" s="10"/>
      <c r="F894" s="10"/>
      <c r="G894" s="10"/>
      <c r="H894" s="10"/>
    </row>
    <row r="895" spans="1:8" ht="14.25" customHeight="1" x14ac:dyDescent="0.35">
      <c r="A895" s="10"/>
      <c r="B895" s="10"/>
      <c r="C895" s="10"/>
      <c r="D895" s="10"/>
      <c r="E895" s="10"/>
      <c r="F895" s="10"/>
      <c r="G895" s="10"/>
      <c r="H895" s="10"/>
    </row>
    <row r="896" spans="1:8" ht="14.25" customHeight="1" x14ac:dyDescent="0.35">
      <c r="A896" s="10"/>
      <c r="B896" s="10"/>
      <c r="C896" s="10"/>
      <c r="D896" s="10"/>
      <c r="E896" s="10"/>
      <c r="F896" s="10"/>
      <c r="G896" s="10"/>
      <c r="H896" s="10"/>
    </row>
    <row r="897" spans="1:8" ht="14.25" customHeight="1" x14ac:dyDescent="0.35">
      <c r="A897" s="10"/>
      <c r="B897" s="10"/>
      <c r="C897" s="10"/>
      <c r="D897" s="10"/>
      <c r="E897" s="10"/>
      <c r="F897" s="10"/>
      <c r="G897" s="10"/>
      <c r="H897" s="10"/>
    </row>
    <row r="898" spans="1:8" ht="14.25" customHeight="1" x14ac:dyDescent="0.35">
      <c r="A898" s="10"/>
      <c r="B898" s="10"/>
      <c r="C898" s="10"/>
      <c r="D898" s="10"/>
      <c r="E898" s="10"/>
      <c r="F898" s="10"/>
      <c r="G898" s="10"/>
      <c r="H898" s="10"/>
    </row>
    <row r="899" spans="1:8" ht="14.25" customHeight="1" x14ac:dyDescent="0.35">
      <c r="A899" s="10"/>
      <c r="B899" s="10"/>
      <c r="C899" s="10"/>
      <c r="D899" s="10"/>
      <c r="E899" s="10"/>
      <c r="F899" s="10"/>
      <c r="G899" s="10"/>
      <c r="H899" s="10"/>
    </row>
    <row r="900" spans="1:8" ht="14.25" customHeight="1" x14ac:dyDescent="0.35">
      <c r="A900" s="10"/>
      <c r="B900" s="10"/>
      <c r="C900" s="10"/>
      <c r="D900" s="10"/>
      <c r="E900" s="10"/>
      <c r="F900" s="10"/>
      <c r="G900" s="10"/>
      <c r="H900" s="10"/>
    </row>
    <row r="901" spans="1:8" ht="14.25" customHeight="1" x14ac:dyDescent="0.35">
      <c r="A901" s="10"/>
      <c r="B901" s="10"/>
      <c r="C901" s="10"/>
      <c r="D901" s="10"/>
      <c r="E901" s="10"/>
      <c r="F901" s="10"/>
      <c r="G901" s="10"/>
      <c r="H901" s="10"/>
    </row>
    <row r="902" spans="1:8" ht="14.25" customHeight="1" x14ac:dyDescent="0.35">
      <c r="A902" s="10"/>
      <c r="B902" s="10"/>
      <c r="C902" s="10"/>
      <c r="D902" s="10"/>
      <c r="E902" s="10"/>
      <c r="F902" s="10"/>
      <c r="G902" s="10"/>
      <c r="H902" s="10"/>
    </row>
    <row r="903" spans="1:8" ht="14.25" customHeight="1" x14ac:dyDescent="0.35">
      <c r="A903" s="10"/>
      <c r="B903" s="10"/>
      <c r="C903" s="10"/>
      <c r="D903" s="10"/>
      <c r="E903" s="10"/>
      <c r="F903" s="10"/>
      <c r="G903" s="10"/>
      <c r="H903" s="10"/>
    </row>
    <row r="904" spans="1:8" ht="14.25" customHeight="1" x14ac:dyDescent="0.35">
      <c r="A904" s="10"/>
      <c r="B904" s="10"/>
      <c r="C904" s="10"/>
      <c r="D904" s="10"/>
      <c r="E904" s="10"/>
      <c r="F904" s="10"/>
      <c r="G904" s="10"/>
      <c r="H904" s="10"/>
    </row>
    <row r="905" spans="1:8" ht="14.25" customHeight="1" x14ac:dyDescent="0.35">
      <c r="A905" s="10"/>
      <c r="B905" s="10"/>
      <c r="C905" s="10"/>
      <c r="D905" s="10"/>
      <c r="E905" s="10"/>
      <c r="F905" s="10"/>
      <c r="G905" s="10"/>
      <c r="H905" s="10"/>
    </row>
    <row r="906" spans="1:8" ht="14.25" customHeight="1" x14ac:dyDescent="0.35">
      <c r="A906" s="10"/>
      <c r="B906" s="10"/>
      <c r="C906" s="10"/>
      <c r="D906" s="10"/>
      <c r="E906" s="10"/>
      <c r="F906" s="10"/>
      <c r="G906" s="10"/>
      <c r="H906" s="10"/>
    </row>
    <row r="907" spans="1:8" ht="14.25" customHeight="1" x14ac:dyDescent="0.35">
      <c r="A907" s="10"/>
      <c r="B907" s="10"/>
      <c r="C907" s="10"/>
      <c r="D907" s="10"/>
      <c r="E907" s="10"/>
      <c r="F907" s="10"/>
      <c r="G907" s="10"/>
      <c r="H907" s="10"/>
    </row>
    <row r="908" spans="1:8" ht="14.25" customHeight="1" x14ac:dyDescent="0.35">
      <c r="A908" s="10"/>
      <c r="B908" s="10"/>
      <c r="C908" s="10"/>
      <c r="D908" s="10"/>
      <c r="E908" s="10"/>
      <c r="F908" s="10"/>
      <c r="G908" s="10"/>
      <c r="H908" s="10"/>
    </row>
    <row r="909" spans="1:8" ht="14.25" customHeight="1" x14ac:dyDescent="0.35">
      <c r="A909" s="10"/>
      <c r="B909" s="10"/>
      <c r="C909" s="10"/>
      <c r="D909" s="10"/>
      <c r="E909" s="10"/>
      <c r="F909" s="10"/>
      <c r="G909" s="10"/>
      <c r="H909" s="10"/>
    </row>
    <row r="910" spans="1:8" ht="14.25" customHeight="1" x14ac:dyDescent="0.35">
      <c r="A910" s="10"/>
      <c r="B910" s="10"/>
      <c r="C910" s="10"/>
      <c r="D910" s="10"/>
      <c r="E910" s="10"/>
      <c r="F910" s="10"/>
      <c r="G910" s="10"/>
      <c r="H910" s="10"/>
    </row>
    <row r="911" spans="1:8" ht="14.25" customHeight="1" x14ac:dyDescent="0.35">
      <c r="A911" s="10"/>
      <c r="B911" s="10"/>
      <c r="C911" s="10"/>
      <c r="D911" s="10"/>
      <c r="E911" s="10"/>
      <c r="F911" s="10"/>
      <c r="G911" s="10"/>
      <c r="H911" s="10"/>
    </row>
    <row r="912" spans="1:8" ht="14.25" customHeight="1" x14ac:dyDescent="0.35">
      <c r="A912" s="10"/>
      <c r="B912" s="10"/>
      <c r="C912" s="10"/>
      <c r="D912" s="10"/>
      <c r="E912" s="10"/>
      <c r="F912" s="10"/>
      <c r="G912" s="10"/>
      <c r="H912" s="10"/>
    </row>
    <row r="913" spans="1:8" ht="14.25" customHeight="1" x14ac:dyDescent="0.35">
      <c r="A913" s="10"/>
      <c r="B913" s="10"/>
      <c r="C913" s="10"/>
      <c r="D913" s="10"/>
      <c r="E913" s="10"/>
      <c r="F913" s="10"/>
      <c r="G913" s="10"/>
      <c r="H913" s="10"/>
    </row>
    <row r="914" spans="1:8" ht="14.25" customHeight="1" x14ac:dyDescent="0.35">
      <c r="A914" s="10"/>
      <c r="B914" s="10"/>
      <c r="C914" s="10"/>
      <c r="D914" s="10"/>
      <c r="E914" s="10"/>
      <c r="F914" s="10"/>
      <c r="G914" s="10"/>
      <c r="H914" s="10"/>
    </row>
    <row r="915" spans="1:8" ht="14.25" customHeight="1" x14ac:dyDescent="0.35">
      <c r="A915" s="10"/>
      <c r="B915" s="10"/>
      <c r="C915" s="10"/>
      <c r="D915" s="10"/>
      <c r="E915" s="10"/>
      <c r="F915" s="10"/>
      <c r="G915" s="10"/>
      <c r="H915" s="10"/>
    </row>
    <row r="916" spans="1:8" ht="14.25" customHeight="1" x14ac:dyDescent="0.35">
      <c r="A916" s="10"/>
      <c r="B916" s="10"/>
      <c r="C916" s="10"/>
      <c r="D916" s="10"/>
      <c r="E916" s="10"/>
      <c r="F916" s="10"/>
      <c r="G916" s="10"/>
      <c r="H916" s="10"/>
    </row>
    <row r="917" spans="1:8" ht="14.25" customHeight="1" x14ac:dyDescent="0.35">
      <c r="A917" s="10"/>
      <c r="B917" s="10"/>
      <c r="C917" s="10"/>
      <c r="D917" s="10"/>
      <c r="E917" s="10"/>
      <c r="F917" s="10"/>
      <c r="G917" s="10"/>
      <c r="H917" s="10"/>
    </row>
    <row r="918" spans="1:8" ht="14.25" customHeight="1" x14ac:dyDescent="0.35">
      <c r="A918" s="10"/>
      <c r="B918" s="10"/>
      <c r="C918" s="10"/>
      <c r="D918" s="10"/>
      <c r="E918" s="10"/>
      <c r="F918" s="10"/>
      <c r="G918" s="10"/>
      <c r="H918" s="10"/>
    </row>
    <row r="919" spans="1:8" ht="14.25" customHeight="1" x14ac:dyDescent="0.35">
      <c r="A919" s="10"/>
      <c r="B919" s="10"/>
      <c r="C919" s="10"/>
      <c r="D919" s="10"/>
      <c r="E919" s="10"/>
      <c r="F919" s="10"/>
      <c r="G919" s="10"/>
      <c r="H919" s="10"/>
    </row>
    <row r="920" spans="1:8" ht="14.25" customHeight="1" x14ac:dyDescent="0.35">
      <c r="A920" s="10"/>
      <c r="B920" s="10"/>
      <c r="C920" s="10"/>
      <c r="D920" s="10"/>
      <c r="E920" s="10"/>
      <c r="F920" s="10"/>
      <c r="G920" s="10"/>
      <c r="H920" s="10"/>
    </row>
    <row r="921" spans="1:8" ht="14.25" customHeight="1" x14ac:dyDescent="0.35">
      <c r="A921" s="10"/>
      <c r="B921" s="10"/>
      <c r="C921" s="10"/>
      <c r="D921" s="10"/>
      <c r="E921" s="10"/>
      <c r="F921" s="10"/>
      <c r="G921" s="10"/>
      <c r="H921" s="10"/>
    </row>
    <row r="922" spans="1:8" ht="14.25" customHeight="1" x14ac:dyDescent="0.35">
      <c r="A922" s="10"/>
      <c r="B922" s="10"/>
      <c r="C922" s="10"/>
      <c r="D922" s="10"/>
      <c r="E922" s="10"/>
      <c r="F922" s="10"/>
      <c r="G922" s="10"/>
      <c r="H922" s="10"/>
    </row>
    <row r="923" spans="1:8" ht="14.25" customHeight="1" x14ac:dyDescent="0.35">
      <c r="A923" s="10"/>
      <c r="B923" s="10"/>
      <c r="C923" s="10"/>
      <c r="D923" s="10"/>
      <c r="E923" s="10"/>
      <c r="F923" s="10"/>
      <c r="G923" s="10"/>
      <c r="H923" s="10"/>
    </row>
    <row r="924" spans="1:8" ht="14.25" customHeight="1" x14ac:dyDescent="0.35">
      <c r="A924" s="10"/>
      <c r="B924" s="10"/>
      <c r="C924" s="10"/>
      <c r="D924" s="10"/>
      <c r="E924" s="10"/>
      <c r="F924" s="10"/>
      <c r="G924" s="10"/>
      <c r="H924" s="10"/>
    </row>
    <row r="925" spans="1:8" ht="14.25" customHeight="1" x14ac:dyDescent="0.35">
      <c r="A925" s="10"/>
      <c r="B925" s="10"/>
      <c r="C925" s="10"/>
      <c r="D925" s="10"/>
      <c r="E925" s="10"/>
      <c r="F925" s="10"/>
      <c r="G925" s="10"/>
      <c r="H925" s="10"/>
    </row>
    <row r="926" spans="1:8" ht="14.25" customHeight="1" x14ac:dyDescent="0.35">
      <c r="A926" s="10"/>
      <c r="B926" s="10"/>
      <c r="C926" s="10"/>
      <c r="D926" s="10"/>
      <c r="E926" s="10"/>
      <c r="F926" s="10"/>
      <c r="G926" s="10"/>
      <c r="H926" s="10"/>
    </row>
    <row r="927" spans="1:8" ht="14.25" customHeight="1" x14ac:dyDescent="0.35">
      <c r="A927" s="10"/>
      <c r="B927" s="10"/>
      <c r="C927" s="10"/>
      <c r="D927" s="10"/>
      <c r="E927" s="10"/>
      <c r="F927" s="10"/>
      <c r="G927" s="10"/>
      <c r="H927" s="10"/>
    </row>
    <row r="928" spans="1:8" ht="14.25" customHeight="1" x14ac:dyDescent="0.35">
      <c r="A928" s="10"/>
      <c r="B928" s="10"/>
      <c r="C928" s="10"/>
      <c r="D928" s="10"/>
      <c r="E928" s="10"/>
      <c r="F928" s="10"/>
      <c r="G928" s="10"/>
      <c r="H928" s="10"/>
    </row>
    <row r="929" spans="1:8" ht="14.25" customHeight="1" x14ac:dyDescent="0.35">
      <c r="A929" s="10"/>
      <c r="B929" s="10"/>
      <c r="C929" s="10"/>
      <c r="D929" s="10"/>
      <c r="E929" s="10"/>
      <c r="F929" s="10"/>
      <c r="G929" s="10"/>
      <c r="H929" s="10"/>
    </row>
    <row r="930" spans="1:8" ht="14.25" customHeight="1" x14ac:dyDescent="0.35">
      <c r="A930" s="10"/>
      <c r="B930" s="10"/>
      <c r="C930" s="10"/>
      <c r="D930" s="10"/>
      <c r="E930" s="10"/>
      <c r="F930" s="10"/>
      <c r="G930" s="10"/>
      <c r="H930" s="10"/>
    </row>
    <row r="931" spans="1:8" ht="14.25" customHeight="1" x14ac:dyDescent="0.35">
      <c r="A931" s="10"/>
      <c r="B931" s="10"/>
      <c r="C931" s="10"/>
      <c r="D931" s="10"/>
      <c r="E931" s="10"/>
      <c r="F931" s="10"/>
      <c r="G931" s="10"/>
      <c r="H931" s="10"/>
    </row>
    <row r="932" spans="1:8" ht="14.25" customHeight="1" x14ac:dyDescent="0.35">
      <c r="A932" s="10"/>
      <c r="B932" s="10"/>
      <c r="C932" s="10"/>
      <c r="D932" s="10"/>
      <c r="E932" s="10"/>
      <c r="F932" s="10"/>
      <c r="G932" s="10"/>
      <c r="H932" s="10"/>
    </row>
    <row r="933" spans="1:8" ht="14.25" customHeight="1" x14ac:dyDescent="0.35">
      <c r="A933" s="10"/>
      <c r="B933" s="10"/>
      <c r="C933" s="10"/>
      <c r="D933" s="10"/>
      <c r="E933" s="10"/>
      <c r="F933" s="10"/>
      <c r="G933" s="10"/>
      <c r="H933" s="10"/>
    </row>
    <row r="934" spans="1:8" ht="14.25" customHeight="1" x14ac:dyDescent="0.35">
      <c r="A934" s="10"/>
      <c r="B934" s="10"/>
      <c r="C934" s="10"/>
      <c r="D934" s="10"/>
      <c r="E934" s="10"/>
      <c r="F934" s="10"/>
      <c r="G934" s="10"/>
      <c r="H934" s="10"/>
    </row>
    <row r="935" spans="1:8" ht="14.25" customHeight="1" x14ac:dyDescent="0.35">
      <c r="A935" s="10"/>
      <c r="B935" s="10"/>
      <c r="C935" s="10"/>
      <c r="D935" s="10"/>
      <c r="E935" s="10"/>
      <c r="F935" s="10"/>
      <c r="G935" s="10"/>
      <c r="H935" s="10"/>
    </row>
    <row r="936" spans="1:8" ht="14.25" customHeight="1" x14ac:dyDescent="0.35">
      <c r="A936" s="10"/>
      <c r="B936" s="10"/>
      <c r="C936" s="10"/>
      <c r="D936" s="10"/>
      <c r="E936" s="10"/>
      <c r="F936" s="10"/>
      <c r="G936" s="10"/>
      <c r="H936" s="10"/>
    </row>
    <row r="937" spans="1:8" ht="14.25" customHeight="1" x14ac:dyDescent="0.35">
      <c r="A937" s="10"/>
      <c r="B937" s="10"/>
      <c r="C937" s="10"/>
      <c r="D937" s="10"/>
      <c r="E937" s="10"/>
      <c r="F937" s="10"/>
      <c r="G937" s="10"/>
      <c r="H937" s="10"/>
    </row>
    <row r="938" spans="1:8" ht="14.25" customHeight="1" x14ac:dyDescent="0.35">
      <c r="A938" s="10"/>
      <c r="B938" s="10"/>
      <c r="C938" s="10"/>
      <c r="D938" s="10"/>
      <c r="E938" s="10"/>
      <c r="F938" s="10"/>
      <c r="G938" s="10"/>
      <c r="H938" s="10"/>
    </row>
    <row r="939" spans="1:8" ht="14.25" customHeight="1" x14ac:dyDescent="0.35">
      <c r="A939" s="10"/>
      <c r="B939" s="10"/>
      <c r="C939" s="10"/>
      <c r="D939" s="10"/>
      <c r="E939" s="10"/>
      <c r="F939" s="10"/>
      <c r="G939" s="10"/>
      <c r="H939" s="10"/>
    </row>
    <row r="940" spans="1:8" ht="14.25" customHeight="1" x14ac:dyDescent="0.35">
      <c r="A940" s="10"/>
      <c r="B940" s="10"/>
      <c r="C940" s="10"/>
      <c r="D940" s="10"/>
      <c r="E940" s="10"/>
      <c r="F940" s="10"/>
      <c r="G940" s="10"/>
      <c r="H940" s="10"/>
    </row>
    <row r="941" spans="1:8" ht="14.25" customHeight="1" x14ac:dyDescent="0.35">
      <c r="A941" s="10"/>
      <c r="B941" s="10"/>
      <c r="C941" s="10"/>
      <c r="D941" s="10"/>
      <c r="E941" s="10"/>
      <c r="F941" s="10"/>
      <c r="G941" s="10"/>
      <c r="H941" s="10"/>
    </row>
    <row r="942" spans="1:8" ht="14.25" customHeight="1" x14ac:dyDescent="0.35">
      <c r="A942" s="10"/>
      <c r="B942" s="10"/>
      <c r="C942" s="10"/>
      <c r="D942" s="10"/>
      <c r="E942" s="10"/>
      <c r="F942" s="10"/>
      <c r="G942" s="10"/>
      <c r="H942" s="10"/>
    </row>
    <row r="943" spans="1:8" ht="14.25" customHeight="1" x14ac:dyDescent="0.35">
      <c r="A943" s="10"/>
      <c r="B943" s="10"/>
      <c r="C943" s="10"/>
      <c r="D943" s="10"/>
      <c r="E943" s="10"/>
      <c r="F943" s="10"/>
      <c r="G943" s="10"/>
      <c r="H943" s="10"/>
    </row>
    <row r="944" spans="1:8" ht="14.25" customHeight="1" x14ac:dyDescent="0.35">
      <c r="A944" s="10"/>
      <c r="B944" s="10"/>
      <c r="C944" s="10"/>
      <c r="D944" s="10"/>
      <c r="E944" s="10"/>
      <c r="F944" s="10"/>
      <c r="G944" s="10"/>
      <c r="H944" s="10"/>
    </row>
    <row r="945" spans="1:8" ht="14.25" customHeight="1" x14ac:dyDescent="0.35">
      <c r="A945" s="10"/>
      <c r="B945" s="10"/>
      <c r="C945" s="10"/>
      <c r="D945" s="10"/>
      <c r="E945" s="10"/>
      <c r="F945" s="10"/>
      <c r="G945" s="10"/>
      <c r="H945" s="10"/>
    </row>
    <row r="946" spans="1:8" ht="14.25" customHeight="1" x14ac:dyDescent="0.35">
      <c r="A946" s="10"/>
      <c r="B946" s="10"/>
      <c r="C946" s="10"/>
      <c r="D946" s="10"/>
      <c r="E946" s="10"/>
      <c r="F946" s="10"/>
      <c r="G946" s="10"/>
      <c r="H946" s="10"/>
    </row>
    <row r="947" spans="1:8" ht="14.25" customHeight="1" x14ac:dyDescent="0.35">
      <c r="A947" s="10"/>
      <c r="B947" s="10"/>
      <c r="C947" s="10"/>
      <c r="D947" s="10"/>
      <c r="E947" s="10"/>
      <c r="F947" s="10"/>
      <c r="G947" s="10"/>
      <c r="H947" s="10"/>
    </row>
    <row r="948" spans="1:8" ht="14.25" customHeight="1" x14ac:dyDescent="0.35">
      <c r="A948" s="10"/>
      <c r="B948" s="10"/>
      <c r="C948" s="10"/>
      <c r="D948" s="10"/>
      <c r="E948" s="10"/>
      <c r="F948" s="10"/>
      <c r="G948" s="10"/>
      <c r="H948" s="10"/>
    </row>
    <row r="949" spans="1:8" ht="14.25" customHeight="1" x14ac:dyDescent="0.35">
      <c r="A949" s="10"/>
      <c r="B949" s="10"/>
      <c r="C949" s="10"/>
      <c r="D949" s="10"/>
      <c r="E949" s="10"/>
      <c r="F949" s="10"/>
      <c r="G949" s="10"/>
      <c r="H949" s="10"/>
    </row>
    <row r="950" spans="1:8" ht="14.25" customHeight="1" x14ac:dyDescent="0.35">
      <c r="A950" s="10"/>
      <c r="B950" s="10"/>
      <c r="C950" s="10"/>
      <c r="D950" s="10"/>
      <c r="E950" s="10"/>
      <c r="F950" s="10"/>
      <c r="G950" s="10"/>
      <c r="H950" s="10"/>
    </row>
    <row r="951" spans="1:8" ht="14.25" customHeight="1" x14ac:dyDescent="0.35">
      <c r="A951" s="10"/>
      <c r="B951" s="10"/>
      <c r="C951" s="10"/>
      <c r="D951" s="10"/>
      <c r="E951" s="10"/>
      <c r="F951" s="10"/>
      <c r="G951" s="10"/>
      <c r="H951" s="10"/>
    </row>
    <row r="952" spans="1:8" ht="14.25" customHeight="1" x14ac:dyDescent="0.35">
      <c r="A952" s="10"/>
      <c r="B952" s="10"/>
      <c r="C952" s="10"/>
      <c r="D952" s="10"/>
      <c r="E952" s="10"/>
      <c r="F952" s="10"/>
      <c r="G952" s="10"/>
      <c r="H952" s="10"/>
    </row>
    <row r="953" spans="1:8" ht="14.25" customHeight="1" x14ac:dyDescent="0.35">
      <c r="A953" s="10"/>
      <c r="B953" s="10"/>
      <c r="C953" s="10"/>
      <c r="D953" s="10"/>
      <c r="E953" s="10"/>
      <c r="F953" s="10"/>
      <c r="G953" s="10"/>
      <c r="H953" s="10"/>
    </row>
    <row r="954" spans="1:8" ht="14.25" customHeight="1" x14ac:dyDescent="0.35">
      <c r="A954" s="10"/>
      <c r="B954" s="10"/>
      <c r="C954" s="10"/>
      <c r="D954" s="10"/>
      <c r="E954" s="10"/>
      <c r="F954" s="10"/>
      <c r="G954" s="10"/>
      <c r="H954" s="10"/>
    </row>
    <row r="955" spans="1:8" ht="14.25" customHeight="1" x14ac:dyDescent="0.35">
      <c r="A955" s="10"/>
      <c r="B955" s="10"/>
      <c r="C955" s="10"/>
      <c r="D955" s="10"/>
      <c r="E955" s="10"/>
      <c r="F955" s="10"/>
      <c r="G955" s="10"/>
      <c r="H955" s="10"/>
    </row>
    <row r="956" spans="1:8" ht="14.25" customHeight="1" x14ac:dyDescent="0.35">
      <c r="A956" s="10"/>
      <c r="B956" s="10"/>
      <c r="C956" s="10"/>
      <c r="D956" s="10"/>
      <c r="E956" s="10"/>
      <c r="F956" s="10"/>
      <c r="G956" s="10"/>
      <c r="H956" s="10"/>
    </row>
    <row r="957" spans="1:8" ht="14.25" customHeight="1" x14ac:dyDescent="0.35">
      <c r="A957" s="10"/>
      <c r="B957" s="10"/>
      <c r="C957" s="10"/>
      <c r="D957" s="10"/>
      <c r="E957" s="10"/>
      <c r="F957" s="10"/>
      <c r="G957" s="10"/>
      <c r="H957" s="10"/>
    </row>
    <row r="958" spans="1:8" ht="14.25" customHeight="1" x14ac:dyDescent="0.35">
      <c r="A958" s="10"/>
      <c r="B958" s="10"/>
      <c r="C958" s="10"/>
      <c r="D958" s="10"/>
      <c r="E958" s="10"/>
      <c r="F958" s="10"/>
      <c r="G958" s="10"/>
      <c r="H958" s="10"/>
    </row>
    <row r="959" spans="1:8" ht="14.25" customHeight="1" x14ac:dyDescent="0.35">
      <c r="A959" s="10"/>
      <c r="B959" s="10"/>
      <c r="C959" s="10"/>
      <c r="D959" s="10"/>
      <c r="E959" s="10"/>
      <c r="F959" s="10"/>
      <c r="G959" s="10"/>
      <c r="H959" s="10"/>
    </row>
    <row r="960" spans="1:8" ht="14.25" customHeight="1" x14ac:dyDescent="0.35">
      <c r="A960" s="10"/>
      <c r="B960" s="10"/>
      <c r="C960" s="10"/>
      <c r="D960" s="10"/>
      <c r="E960" s="10"/>
      <c r="F960" s="10"/>
      <c r="G960" s="10"/>
      <c r="H960" s="10"/>
    </row>
    <row r="961" spans="1:8" ht="14.25" customHeight="1" x14ac:dyDescent="0.35">
      <c r="A961" s="10"/>
      <c r="B961" s="10"/>
      <c r="C961" s="10"/>
      <c r="D961" s="10"/>
      <c r="E961" s="10"/>
      <c r="F961" s="10"/>
      <c r="G961" s="10"/>
      <c r="H961" s="10"/>
    </row>
    <row r="962" spans="1:8" ht="14.25" customHeight="1" x14ac:dyDescent="0.35">
      <c r="A962" s="10"/>
      <c r="B962" s="10"/>
      <c r="C962" s="10"/>
      <c r="D962" s="10"/>
      <c r="E962" s="10"/>
      <c r="F962" s="10"/>
      <c r="G962" s="10"/>
      <c r="H962" s="10"/>
    </row>
    <row r="963" spans="1:8" ht="14.25" customHeight="1" x14ac:dyDescent="0.35">
      <c r="A963" s="10"/>
      <c r="B963" s="10"/>
      <c r="C963" s="10"/>
      <c r="D963" s="10"/>
      <c r="E963" s="10"/>
      <c r="F963" s="10"/>
      <c r="G963" s="10"/>
      <c r="H963" s="10"/>
    </row>
    <row r="964" spans="1:8" ht="14.25" customHeight="1" x14ac:dyDescent="0.35">
      <c r="A964" s="10"/>
      <c r="B964" s="10"/>
      <c r="C964" s="10"/>
      <c r="D964" s="10"/>
      <c r="E964" s="10"/>
      <c r="F964" s="10"/>
      <c r="G964" s="10"/>
      <c r="H964" s="10"/>
    </row>
    <row r="965" spans="1:8" ht="14.25" customHeight="1" x14ac:dyDescent="0.35">
      <c r="A965" s="10"/>
      <c r="B965" s="10"/>
      <c r="C965" s="10"/>
      <c r="D965" s="10"/>
      <c r="E965" s="10"/>
      <c r="F965" s="10"/>
      <c r="G965" s="10"/>
      <c r="H965" s="10"/>
    </row>
    <row r="966" spans="1:8" ht="14.25" customHeight="1" x14ac:dyDescent="0.35">
      <c r="A966" s="10"/>
      <c r="B966" s="10"/>
      <c r="C966" s="10"/>
      <c r="D966" s="10"/>
      <c r="E966" s="10"/>
      <c r="F966" s="10"/>
      <c r="G966" s="10"/>
      <c r="H966" s="10"/>
    </row>
    <row r="967" spans="1:8" ht="14.25" customHeight="1" x14ac:dyDescent="0.35">
      <c r="A967" s="10"/>
      <c r="B967" s="10"/>
      <c r="C967" s="10"/>
      <c r="D967" s="10"/>
      <c r="E967" s="10"/>
      <c r="F967" s="10"/>
      <c r="G967" s="10"/>
      <c r="H967" s="10"/>
    </row>
    <row r="968" spans="1:8" ht="14.25" customHeight="1" x14ac:dyDescent="0.35">
      <c r="A968" s="10"/>
      <c r="B968" s="10"/>
      <c r="C968" s="10"/>
      <c r="D968" s="10"/>
      <c r="E968" s="10"/>
      <c r="F968" s="10"/>
      <c r="G968" s="10"/>
      <c r="H968" s="10"/>
    </row>
    <row r="969" spans="1:8" ht="14.25" customHeight="1" x14ac:dyDescent="0.35">
      <c r="A969" s="10"/>
      <c r="B969" s="10"/>
      <c r="C969" s="10"/>
      <c r="D969" s="10"/>
      <c r="E969" s="10"/>
      <c r="F969" s="10"/>
      <c r="G969" s="10"/>
      <c r="H969" s="10"/>
    </row>
    <row r="970" spans="1:8" ht="14.25" customHeight="1" x14ac:dyDescent="0.35">
      <c r="A970" s="10"/>
      <c r="B970" s="10"/>
      <c r="C970" s="10"/>
      <c r="D970" s="10"/>
      <c r="E970" s="10"/>
      <c r="F970" s="10"/>
      <c r="G970" s="10"/>
      <c r="H970" s="10"/>
    </row>
    <row r="971" spans="1:8" ht="14.25" customHeight="1" x14ac:dyDescent="0.35">
      <c r="A971" s="10"/>
      <c r="B971" s="10"/>
      <c r="C971" s="10"/>
      <c r="D971" s="10"/>
      <c r="E971" s="10"/>
      <c r="F971" s="10"/>
      <c r="G971" s="10"/>
      <c r="H971" s="10"/>
    </row>
    <row r="972" spans="1:8" ht="14.25" customHeight="1" x14ac:dyDescent="0.35">
      <c r="A972" s="10"/>
      <c r="B972" s="10"/>
      <c r="C972" s="10"/>
      <c r="D972" s="10"/>
      <c r="E972" s="10"/>
      <c r="F972" s="10"/>
      <c r="G972" s="10"/>
      <c r="H972" s="10"/>
    </row>
    <row r="973" spans="1:8" ht="14.25" customHeight="1" x14ac:dyDescent="0.35">
      <c r="A973" s="10"/>
      <c r="B973" s="10"/>
      <c r="C973" s="10"/>
      <c r="D973" s="10"/>
      <c r="E973" s="10"/>
      <c r="F973" s="10"/>
      <c r="G973" s="10"/>
      <c r="H973" s="10"/>
    </row>
    <row r="974" spans="1:8" ht="14.25" customHeight="1" x14ac:dyDescent="0.35">
      <c r="A974" s="10"/>
      <c r="B974" s="10"/>
      <c r="C974" s="10"/>
      <c r="D974" s="10"/>
      <c r="E974" s="10"/>
      <c r="F974" s="10"/>
      <c r="G974" s="10"/>
      <c r="H974" s="10"/>
    </row>
    <row r="975" spans="1:8" ht="14.25" customHeight="1" x14ac:dyDescent="0.35">
      <c r="A975" s="10"/>
      <c r="B975" s="10"/>
      <c r="C975" s="10"/>
      <c r="D975" s="10"/>
      <c r="E975" s="10"/>
      <c r="F975" s="10"/>
      <c r="G975" s="10"/>
      <c r="H975" s="10"/>
    </row>
    <row r="976" spans="1:8" ht="14.25" customHeight="1" x14ac:dyDescent="0.35">
      <c r="A976" s="10"/>
      <c r="B976" s="10"/>
      <c r="C976" s="10"/>
      <c r="D976" s="10"/>
      <c r="E976" s="10"/>
      <c r="F976" s="10"/>
      <c r="G976" s="10"/>
      <c r="H976" s="10"/>
    </row>
    <row r="977" spans="1:8" ht="14.25" customHeight="1" x14ac:dyDescent="0.35">
      <c r="A977" s="10"/>
      <c r="B977" s="10"/>
      <c r="C977" s="10"/>
      <c r="D977" s="10"/>
      <c r="E977" s="10"/>
      <c r="F977" s="10"/>
      <c r="G977" s="10"/>
      <c r="H977" s="10"/>
    </row>
    <row r="978" spans="1:8" ht="14.25" customHeight="1" x14ac:dyDescent="0.35">
      <c r="A978" s="10"/>
      <c r="B978" s="10"/>
      <c r="C978" s="10"/>
      <c r="D978" s="10"/>
      <c r="E978" s="10"/>
      <c r="F978" s="10"/>
      <c r="G978" s="10"/>
      <c r="H978" s="10"/>
    </row>
    <row r="979" spans="1:8" ht="14.25" customHeight="1" x14ac:dyDescent="0.35">
      <c r="A979" s="10"/>
      <c r="B979" s="10"/>
      <c r="C979" s="10"/>
      <c r="D979" s="10"/>
      <c r="E979" s="10"/>
      <c r="F979" s="10"/>
      <c r="G979" s="10"/>
      <c r="H979" s="10"/>
    </row>
    <row r="980" spans="1:8" ht="14.25" customHeight="1" x14ac:dyDescent="0.35">
      <c r="A980" s="10"/>
      <c r="B980" s="10"/>
      <c r="C980" s="10"/>
      <c r="D980" s="10"/>
      <c r="E980" s="10"/>
      <c r="F980" s="10"/>
      <c r="G980" s="10"/>
      <c r="H980" s="10"/>
    </row>
    <row r="981" spans="1:8" ht="14.25" customHeight="1" x14ac:dyDescent="0.35">
      <c r="A981" s="10"/>
      <c r="B981" s="10"/>
      <c r="C981" s="10"/>
      <c r="D981" s="10"/>
      <c r="E981" s="10"/>
      <c r="F981" s="10"/>
      <c r="G981" s="10"/>
      <c r="H981" s="10"/>
    </row>
    <row r="982" spans="1:8" ht="14.25" customHeight="1" x14ac:dyDescent="0.35">
      <c r="A982" s="10"/>
      <c r="B982" s="10"/>
      <c r="C982" s="10"/>
      <c r="D982" s="10"/>
      <c r="E982" s="10"/>
      <c r="F982" s="10"/>
      <c r="G982" s="10"/>
      <c r="H982" s="10"/>
    </row>
    <row r="983" spans="1:8" ht="14.25" customHeight="1" x14ac:dyDescent="0.35">
      <c r="A983" s="10"/>
      <c r="B983" s="10"/>
      <c r="C983" s="10"/>
      <c r="D983" s="10"/>
      <c r="E983" s="10"/>
      <c r="F983" s="10"/>
      <c r="G983" s="10"/>
      <c r="H983" s="10"/>
    </row>
    <row r="984" spans="1:8" ht="14.25" customHeight="1" x14ac:dyDescent="0.35">
      <c r="A984" s="10"/>
      <c r="B984" s="10"/>
      <c r="C984" s="10"/>
      <c r="D984" s="10"/>
      <c r="E984" s="10"/>
      <c r="F984" s="10"/>
      <c r="G984" s="10"/>
      <c r="H984" s="10"/>
    </row>
    <row r="985" spans="1:8" ht="14.25" customHeight="1" x14ac:dyDescent="0.35">
      <c r="A985" s="10"/>
      <c r="B985" s="10"/>
      <c r="C985" s="10"/>
      <c r="D985" s="10"/>
      <c r="E985" s="10"/>
      <c r="F985" s="10"/>
      <c r="G985" s="10"/>
      <c r="H985" s="10"/>
    </row>
    <row r="986" spans="1:8" ht="14.25" customHeight="1" x14ac:dyDescent="0.35">
      <c r="A986" s="10"/>
      <c r="B986" s="10"/>
      <c r="C986" s="10"/>
      <c r="D986" s="10"/>
      <c r="E986" s="10"/>
      <c r="F986" s="10"/>
      <c r="G986" s="10"/>
      <c r="H986" s="10"/>
    </row>
    <row r="987" spans="1:8" ht="14.25" customHeight="1" x14ac:dyDescent="0.35">
      <c r="A987" s="10"/>
      <c r="B987" s="10"/>
      <c r="C987" s="10"/>
      <c r="D987" s="10"/>
      <c r="E987" s="10"/>
      <c r="F987" s="10"/>
      <c r="G987" s="10"/>
      <c r="H987" s="10"/>
    </row>
    <row r="988" spans="1:8" ht="14.25" customHeight="1" x14ac:dyDescent="0.35">
      <c r="A988" s="10"/>
      <c r="B988" s="10"/>
      <c r="C988" s="10"/>
      <c r="D988" s="10"/>
      <c r="E988" s="10"/>
      <c r="F988" s="10"/>
      <c r="G988" s="10"/>
      <c r="H988" s="10"/>
    </row>
    <row r="989" spans="1:8" ht="14.25" customHeight="1" x14ac:dyDescent="0.35">
      <c r="A989" s="10"/>
      <c r="B989" s="10"/>
      <c r="C989" s="10"/>
      <c r="D989" s="10"/>
      <c r="E989" s="10"/>
      <c r="F989" s="10"/>
      <c r="G989" s="10"/>
      <c r="H989" s="10"/>
    </row>
    <row r="990" spans="1:8" ht="14.25" customHeight="1" x14ac:dyDescent="0.35">
      <c r="A990" s="10"/>
      <c r="B990" s="10"/>
      <c r="C990" s="10"/>
      <c r="D990" s="10"/>
      <c r="E990" s="10"/>
      <c r="F990" s="10"/>
      <c r="G990" s="10"/>
      <c r="H990" s="10"/>
    </row>
    <row r="991" spans="1:8" ht="14.25" customHeight="1" x14ac:dyDescent="0.35">
      <c r="A991" s="10"/>
      <c r="B991" s="10"/>
      <c r="C991" s="10"/>
      <c r="D991" s="10"/>
      <c r="E991" s="10"/>
      <c r="F991" s="10"/>
      <c r="G991" s="10"/>
      <c r="H991" s="10"/>
    </row>
    <row r="992" spans="1:8" ht="14.25" customHeight="1" x14ac:dyDescent="0.35">
      <c r="A992" s="10"/>
      <c r="B992" s="10"/>
      <c r="C992" s="10"/>
      <c r="D992" s="10"/>
      <c r="E992" s="10"/>
      <c r="F992" s="10"/>
      <c r="G992" s="10"/>
      <c r="H992" s="10"/>
    </row>
    <row r="993" spans="1:8" ht="14.25" customHeight="1" x14ac:dyDescent="0.35">
      <c r="A993" s="10"/>
      <c r="B993" s="10"/>
      <c r="C993" s="10"/>
      <c r="D993" s="10"/>
      <c r="E993" s="10"/>
      <c r="F993" s="10"/>
      <c r="G993" s="10"/>
      <c r="H993" s="10"/>
    </row>
    <row r="994" spans="1:8" ht="14.25" customHeight="1" x14ac:dyDescent="0.35">
      <c r="A994" s="10"/>
      <c r="B994" s="10"/>
      <c r="C994" s="10"/>
      <c r="D994" s="10"/>
      <c r="E994" s="10"/>
      <c r="F994" s="10"/>
      <c r="G994" s="10"/>
      <c r="H994" s="10"/>
    </row>
    <row r="995" spans="1:8" ht="14.25" customHeight="1" x14ac:dyDescent="0.35">
      <c r="A995" s="10"/>
      <c r="B995" s="10"/>
      <c r="C995" s="10"/>
      <c r="D995" s="10"/>
      <c r="E995" s="10"/>
      <c r="F995" s="10"/>
      <c r="G995" s="10"/>
      <c r="H995" s="10"/>
    </row>
    <row r="996" spans="1:8" ht="14.25" customHeight="1" x14ac:dyDescent="0.35">
      <c r="A996" s="10"/>
      <c r="B996" s="10"/>
      <c r="C996" s="10"/>
      <c r="D996" s="10"/>
      <c r="E996" s="10"/>
      <c r="F996" s="10"/>
      <c r="G996" s="10"/>
      <c r="H996" s="10"/>
    </row>
    <row r="997" spans="1:8" ht="14.25" customHeight="1" x14ac:dyDescent="0.35">
      <c r="A997" s="10"/>
      <c r="B997" s="10"/>
      <c r="C997" s="10"/>
      <c r="D997" s="10"/>
      <c r="E997" s="10"/>
      <c r="F997" s="10"/>
      <c r="G997" s="10"/>
      <c r="H997" s="10"/>
    </row>
    <row r="998" spans="1:8" ht="14.25" customHeight="1" x14ac:dyDescent="0.35">
      <c r="A998" s="10"/>
      <c r="B998" s="10"/>
      <c r="C998" s="10"/>
      <c r="D998" s="10"/>
      <c r="E998" s="10"/>
      <c r="F998" s="10"/>
      <c r="G998" s="10"/>
      <c r="H998" s="10"/>
    </row>
    <row r="999" spans="1:8" ht="14.25" customHeight="1" x14ac:dyDescent="0.35">
      <c r="A999" s="10"/>
      <c r="B999" s="10"/>
      <c r="C999" s="10"/>
      <c r="D999" s="10"/>
      <c r="E999" s="10"/>
      <c r="F999" s="10"/>
      <c r="G999" s="10"/>
      <c r="H999" s="10"/>
    </row>
    <row r="1000" spans="1:8" ht="14.25" customHeight="1" x14ac:dyDescent="0.35">
      <c r="A1000" s="10"/>
      <c r="B1000" s="10"/>
      <c r="C1000" s="10"/>
      <c r="D1000" s="10"/>
      <c r="E1000" s="10"/>
      <c r="F1000" s="10"/>
      <c r="G1000" s="10"/>
      <c r="H1000" s="10"/>
    </row>
  </sheetData>
  <pageMargins left="0.75" right="0.75" top="1" bottom="1" header="0" footer="0"/>
  <pageSetup paperSize="9" orientation="portrai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1000"/>
  <sheetViews>
    <sheetView workbookViewId="0"/>
  </sheetViews>
  <sheetFormatPr defaultColWidth="14.453125" defaultRowHeight="15" customHeight="1" x14ac:dyDescent="0.35"/>
  <cols>
    <col min="1" max="1" width="34" customWidth="1"/>
    <col min="2" max="7" width="10" customWidth="1"/>
    <col min="8" max="26" width="8.54296875" customWidth="1"/>
  </cols>
  <sheetData>
    <row r="1" spans="1:8" ht="15.75" customHeight="1" x14ac:dyDescent="0.35">
      <c r="A1" s="11" t="s">
        <v>990</v>
      </c>
      <c r="B1" s="10"/>
      <c r="C1" s="10"/>
      <c r="D1" s="10"/>
      <c r="E1" s="10"/>
      <c r="F1" s="10"/>
      <c r="G1" s="10"/>
      <c r="H1" s="10"/>
    </row>
    <row r="2" spans="1:8" ht="14.25" customHeight="1" x14ac:dyDescent="0.35">
      <c r="A2" s="10"/>
      <c r="B2" s="10"/>
      <c r="C2" s="10"/>
      <c r="D2" s="10"/>
      <c r="E2" s="10"/>
      <c r="F2" s="10"/>
      <c r="G2" s="10"/>
      <c r="H2" s="10"/>
    </row>
    <row r="3" spans="1:8" ht="15" customHeight="1" x14ac:dyDescent="0.35">
      <c r="A3" s="13" t="s">
        <v>991</v>
      </c>
      <c r="B3" s="10"/>
      <c r="C3" s="10"/>
      <c r="D3" s="10"/>
      <c r="E3" s="10"/>
      <c r="F3" s="10"/>
      <c r="G3" s="10"/>
      <c r="H3" s="10"/>
    </row>
    <row r="4" spans="1:8" ht="15" customHeight="1" x14ac:dyDescent="0.35">
      <c r="A4" s="14" t="s">
        <v>954</v>
      </c>
      <c r="B4" s="14" t="s">
        <v>11</v>
      </c>
      <c r="C4" s="14" t="s">
        <v>95</v>
      </c>
      <c r="D4" s="14" t="s">
        <v>22</v>
      </c>
      <c r="E4" s="14" t="s">
        <v>38</v>
      </c>
      <c r="F4" s="14" t="s">
        <v>64</v>
      </c>
      <c r="G4" s="14" t="s">
        <v>944</v>
      </c>
      <c r="H4" s="10"/>
    </row>
    <row r="5" spans="1:8" ht="15" customHeight="1" x14ac:dyDescent="0.35">
      <c r="A5" s="22" t="s">
        <v>770</v>
      </c>
      <c r="B5" s="16">
        <f>SUMIFS('Data (parsed)'!$I$2:$I$235,'Data (parsed)'!$B$2:$B$235,"Honor",'Data (parsed)'!$C$2:$C$235,$A5,'Data (parsed)'!$D$2:$D$235,B$4)</f>
        <v>0</v>
      </c>
      <c r="C5" s="16">
        <f>SUMIFS('Data (parsed)'!$I$2:$I$235,'Data (parsed)'!$B$2:$B$235,"Honor",'Data (parsed)'!$C$2:$C$235,$A5,'Data (parsed)'!$D$2:$D$235,C$4)</f>
        <v>1</v>
      </c>
      <c r="D5" s="16">
        <f>SUMIFS('Data (parsed)'!$I$2:$I$235,'Data (parsed)'!$B$2:$B$235,"Honor",'Data (parsed)'!$C$2:$C$235,$A5,'Data (parsed)'!$D$2:$D$235,D$4)</f>
        <v>2</v>
      </c>
      <c r="E5" s="16">
        <f>SUMIFS('Data (parsed)'!$I$2:$I$235,'Data (parsed)'!$B$2:$B$235,"Honor",'Data (parsed)'!$C$2:$C$235,$A5,'Data (parsed)'!$D$2:$D$235,E$4)</f>
        <v>17</v>
      </c>
      <c r="F5" s="16">
        <f>SUMIFS('Data (parsed)'!$I$2:$I$235,'Data (parsed)'!$B$2:$B$235,"Honor",'Data (parsed)'!$C$2:$C$235,$A5,'Data (parsed)'!$D$2:$D$235,F$4)</f>
        <v>7</v>
      </c>
      <c r="G5" s="18">
        <f t="shared" ref="G5:G11" si="0">SUM(B5:F5)</f>
        <v>27</v>
      </c>
      <c r="H5" s="10"/>
    </row>
    <row r="6" spans="1:8" ht="15" customHeight="1" x14ac:dyDescent="0.35">
      <c r="A6" s="22" t="s">
        <v>992</v>
      </c>
      <c r="B6" s="16">
        <f>SUMIFS('Data (parsed)'!$I$2:$I$235,'Data (parsed)'!$B$2:$B$235,"Honor",'Data (parsed)'!$C$2:$C$235,$A6,'Data (parsed)'!$D$2:$D$235,B$4)</f>
        <v>2</v>
      </c>
      <c r="C6" s="16">
        <f>SUMIFS('Data (parsed)'!$I$2:$I$235,'Data (parsed)'!$B$2:$B$235,"Honor",'Data (parsed)'!$C$2:$C$235,$A6,'Data (parsed)'!$D$2:$D$235,C$4)</f>
        <v>1</v>
      </c>
      <c r="D6" s="16">
        <f>SUMIFS('Data (parsed)'!$I$2:$I$235,'Data (parsed)'!$B$2:$B$235,"Honor",'Data (parsed)'!$C$2:$C$235,$A6,'Data (parsed)'!$D$2:$D$235,D$4)</f>
        <v>0</v>
      </c>
      <c r="E6" s="16">
        <f>SUMIFS('Data (parsed)'!$I$2:$I$235,'Data (parsed)'!$B$2:$B$235,"Honor",'Data (parsed)'!$C$2:$C$235,$A6,'Data (parsed)'!$D$2:$D$235,E$4)</f>
        <v>5</v>
      </c>
      <c r="F6" s="16">
        <f>SUMIFS('Data (parsed)'!$I$2:$I$235,'Data (parsed)'!$B$2:$B$235,"Honor",'Data (parsed)'!$C$2:$C$235,$A6,'Data (parsed)'!$D$2:$D$235,F$4)</f>
        <v>3</v>
      </c>
      <c r="G6" s="18">
        <f t="shared" si="0"/>
        <v>11</v>
      </c>
      <c r="H6" s="10"/>
    </row>
    <row r="7" spans="1:8" ht="15" customHeight="1" x14ac:dyDescent="0.35">
      <c r="A7" s="22" t="s">
        <v>993</v>
      </c>
      <c r="B7" s="16">
        <f>SUMIFS('Data (parsed)'!$I$2:$I$235,'Data (parsed)'!$B$2:$B$235,"Honor",'Data (parsed)'!$C$2:$C$235,$A7,'Data (parsed)'!$D$2:$D$235,B$4)</f>
        <v>3</v>
      </c>
      <c r="C7" s="16">
        <f>SUMIFS('Data (parsed)'!$I$2:$I$235,'Data (parsed)'!$B$2:$B$235,"Honor",'Data (parsed)'!$C$2:$C$235,$A7,'Data (parsed)'!$D$2:$D$235,C$4)</f>
        <v>2</v>
      </c>
      <c r="D7" s="16">
        <f>SUMIFS('Data (parsed)'!$I$2:$I$235,'Data (parsed)'!$B$2:$B$235,"Honor",'Data (parsed)'!$C$2:$C$235,$A7,'Data (parsed)'!$D$2:$D$235,D$4)</f>
        <v>0</v>
      </c>
      <c r="E7" s="16">
        <f>SUMIFS('Data (parsed)'!$I$2:$I$235,'Data (parsed)'!$B$2:$B$235,"Honor",'Data (parsed)'!$C$2:$C$235,$A7,'Data (parsed)'!$D$2:$D$235,E$4)</f>
        <v>1</v>
      </c>
      <c r="F7" s="16">
        <f>SUMIFS('Data (parsed)'!$I$2:$I$235,'Data (parsed)'!$B$2:$B$235,"Honor",'Data (parsed)'!$C$2:$C$235,$A7,'Data (parsed)'!$D$2:$D$235,F$4)</f>
        <v>0</v>
      </c>
      <c r="G7" s="18">
        <f t="shared" si="0"/>
        <v>6</v>
      </c>
      <c r="H7" s="10"/>
    </row>
    <row r="8" spans="1:8" ht="15" customHeight="1" x14ac:dyDescent="0.35">
      <c r="A8" s="22" t="s">
        <v>994</v>
      </c>
      <c r="B8" s="16">
        <f>SUMIFS('Data (parsed)'!$I$2:$I$235,'Data (parsed)'!$B$2:$B$235,"Honor",'Data (parsed)'!$C$2:$C$235,$A8,'Data (parsed)'!$D$2:$D$235,B$4)</f>
        <v>0</v>
      </c>
      <c r="C8" s="16">
        <f>SUMIFS('Data (parsed)'!$I$2:$I$235,'Data (parsed)'!$B$2:$B$235,"Honor",'Data (parsed)'!$C$2:$C$235,$A8,'Data (parsed)'!$D$2:$D$235,C$4)</f>
        <v>1</v>
      </c>
      <c r="D8" s="16">
        <f>SUMIFS('Data (parsed)'!$I$2:$I$235,'Data (parsed)'!$B$2:$B$235,"Honor",'Data (parsed)'!$C$2:$C$235,$A8,'Data (parsed)'!$D$2:$D$235,D$4)</f>
        <v>0</v>
      </c>
      <c r="E8" s="16">
        <f>SUMIFS('Data (parsed)'!$I$2:$I$235,'Data (parsed)'!$B$2:$B$235,"Honor",'Data (parsed)'!$C$2:$C$235,$A8,'Data (parsed)'!$D$2:$D$235,E$4)</f>
        <v>4</v>
      </c>
      <c r="F8" s="16">
        <f>SUMIFS('Data (parsed)'!$I$2:$I$235,'Data (parsed)'!$B$2:$B$235,"Honor",'Data (parsed)'!$C$2:$C$235,$A8,'Data (parsed)'!$D$2:$D$235,F$4)</f>
        <v>0</v>
      </c>
      <c r="G8" s="18">
        <f t="shared" si="0"/>
        <v>5</v>
      </c>
      <c r="H8" s="10"/>
    </row>
    <row r="9" spans="1:8" ht="15" customHeight="1" x14ac:dyDescent="0.35">
      <c r="A9" s="22" t="s">
        <v>995</v>
      </c>
      <c r="B9" s="16">
        <f>SUMIFS('Data (parsed)'!$I$2:$I$235,'Data (parsed)'!$B$2:$B$235,"Honor",'Data (parsed)'!$C$2:$C$235,$A9,'Data (parsed)'!$D$2:$D$235,B$4)</f>
        <v>1</v>
      </c>
      <c r="C9" s="16">
        <f>SUMIFS('Data (parsed)'!$I$2:$I$235,'Data (parsed)'!$B$2:$B$235,"Honor",'Data (parsed)'!$C$2:$C$235,$A9,'Data (parsed)'!$D$2:$D$235,C$4)</f>
        <v>0</v>
      </c>
      <c r="D9" s="16">
        <f>SUMIFS('Data (parsed)'!$I$2:$I$235,'Data (parsed)'!$B$2:$B$235,"Honor",'Data (parsed)'!$C$2:$C$235,$A9,'Data (parsed)'!$D$2:$D$235,D$4)</f>
        <v>0</v>
      </c>
      <c r="E9" s="16">
        <f>SUMIFS('Data (parsed)'!$I$2:$I$235,'Data (parsed)'!$B$2:$B$235,"Honor",'Data (parsed)'!$C$2:$C$235,$A9,'Data (parsed)'!$D$2:$D$235,E$4)</f>
        <v>2</v>
      </c>
      <c r="F9" s="16">
        <f>SUMIFS('Data (parsed)'!$I$2:$I$235,'Data (parsed)'!$B$2:$B$235,"Honor",'Data (parsed)'!$C$2:$C$235,$A9,'Data (parsed)'!$D$2:$D$235,F$4)</f>
        <v>2</v>
      </c>
      <c r="G9" s="18">
        <f t="shared" si="0"/>
        <v>5</v>
      </c>
      <c r="H9" s="10"/>
    </row>
    <row r="10" spans="1:8" ht="15" customHeight="1" x14ac:dyDescent="0.35">
      <c r="A10" s="22" t="s">
        <v>927</v>
      </c>
      <c r="B10" s="16">
        <f>SUMIFS('Data (parsed)'!$I$2:$I$235,'Data (parsed)'!$B$2:$B$235,"Honor",'Data (parsed)'!$C$2:$C$235,$A10,'Data (parsed)'!$D$2:$D$235,B$4)</f>
        <v>0</v>
      </c>
      <c r="C10" s="16">
        <f>SUMIFS('Data (parsed)'!$I$2:$I$235,'Data (parsed)'!$B$2:$B$235,"Honor",'Data (parsed)'!$C$2:$C$235,$A10,'Data (parsed)'!$D$2:$D$235,C$4)</f>
        <v>0</v>
      </c>
      <c r="D10" s="16">
        <f>SUMIFS('Data (parsed)'!$I$2:$I$235,'Data (parsed)'!$B$2:$B$235,"Honor",'Data (parsed)'!$C$2:$C$235,$A10,'Data (parsed)'!$D$2:$D$235,D$4)</f>
        <v>0</v>
      </c>
      <c r="E10" s="16">
        <f>SUMIFS('Data (parsed)'!$I$2:$I$235,'Data (parsed)'!$B$2:$B$235,"Honor",'Data (parsed)'!$C$2:$C$235,$A10,'Data (parsed)'!$D$2:$D$235,E$4)</f>
        <v>2</v>
      </c>
      <c r="F10" s="16">
        <f>SUMIFS('Data (parsed)'!$I$2:$I$235,'Data (parsed)'!$B$2:$B$235,"Honor",'Data (parsed)'!$C$2:$C$235,$A10,'Data (parsed)'!$D$2:$D$235,F$4)</f>
        <v>0</v>
      </c>
      <c r="G10" s="18">
        <f t="shared" si="0"/>
        <v>2</v>
      </c>
      <c r="H10" s="10"/>
    </row>
    <row r="11" spans="1:8" ht="15" customHeight="1" x14ac:dyDescent="0.35">
      <c r="A11" s="22" t="s">
        <v>996</v>
      </c>
      <c r="B11" s="16">
        <f>SUMIFS('Data (parsed)'!$I$2:$I$235,'Data (parsed)'!$B$2:$B$235,"Honor",'Data (parsed)'!$C$2:$C$235,$A11,'Data (parsed)'!$D$2:$D$235,B$4)</f>
        <v>0</v>
      </c>
      <c r="C11" s="16">
        <f>SUMIFS('Data (parsed)'!$I$2:$I$235,'Data (parsed)'!$B$2:$B$235,"Honor",'Data (parsed)'!$C$2:$C$235,$A11,'Data (parsed)'!$D$2:$D$235,C$4)</f>
        <v>0</v>
      </c>
      <c r="D11" s="16">
        <f>SUMIFS('Data (parsed)'!$I$2:$I$235,'Data (parsed)'!$B$2:$B$235,"Honor",'Data (parsed)'!$C$2:$C$235,$A11,'Data (parsed)'!$D$2:$D$235,D$4)</f>
        <v>0</v>
      </c>
      <c r="E11" s="16">
        <f>SUMIFS('Data (parsed)'!$I$2:$I$235,'Data (parsed)'!$B$2:$B$235,"Honor",'Data (parsed)'!$C$2:$C$235,$A11,'Data (parsed)'!$D$2:$D$235,E$4)</f>
        <v>0</v>
      </c>
      <c r="F11" s="16">
        <f>SUMIFS('Data (parsed)'!$I$2:$I$235,'Data (parsed)'!$B$2:$B$235,"Honor",'Data (parsed)'!$C$2:$C$235,$A11,'Data (parsed)'!$D$2:$D$235,F$4)</f>
        <v>1</v>
      </c>
      <c r="G11" s="18">
        <f t="shared" si="0"/>
        <v>1</v>
      </c>
      <c r="H11" s="10"/>
    </row>
    <row r="12" spans="1:8" ht="15" customHeight="1" x14ac:dyDescent="0.35">
      <c r="A12" s="17" t="s">
        <v>944</v>
      </c>
      <c r="B12" s="18">
        <f t="shared" ref="B12:G12" si="1">SUM(B5:B11)</f>
        <v>6</v>
      </c>
      <c r="C12" s="18">
        <f t="shared" si="1"/>
        <v>5</v>
      </c>
      <c r="D12" s="18">
        <f t="shared" si="1"/>
        <v>2</v>
      </c>
      <c r="E12" s="18">
        <f t="shared" si="1"/>
        <v>31</v>
      </c>
      <c r="F12" s="18">
        <f t="shared" si="1"/>
        <v>13</v>
      </c>
      <c r="G12" s="18">
        <f t="shared" si="1"/>
        <v>57</v>
      </c>
      <c r="H12" s="10"/>
    </row>
    <row r="13" spans="1:8" ht="14.25" customHeight="1" x14ac:dyDescent="0.35">
      <c r="A13" s="10"/>
      <c r="B13" s="10"/>
      <c r="C13" s="10"/>
      <c r="D13" s="10"/>
      <c r="E13" s="10"/>
      <c r="F13" s="10"/>
      <c r="G13" s="10"/>
      <c r="H13" s="10"/>
    </row>
    <row r="14" spans="1:8" ht="15" customHeight="1" x14ac:dyDescent="0.35">
      <c r="A14" s="13" t="s">
        <v>997</v>
      </c>
      <c r="B14" s="10"/>
      <c r="C14" s="10"/>
      <c r="D14" s="10"/>
      <c r="E14" s="10"/>
      <c r="F14" s="10"/>
      <c r="G14" s="10"/>
      <c r="H14" s="10"/>
    </row>
    <row r="15" spans="1:8" ht="15" customHeight="1" x14ac:dyDescent="0.35">
      <c r="A15" s="14" t="s">
        <v>954</v>
      </c>
      <c r="B15" s="14" t="s">
        <v>14</v>
      </c>
      <c r="C15" s="14" t="s">
        <v>98</v>
      </c>
      <c r="D15" s="14" t="s">
        <v>87</v>
      </c>
      <c r="E15" s="14" t="s">
        <v>92</v>
      </c>
      <c r="F15" s="14" t="s">
        <v>967</v>
      </c>
      <c r="G15" s="14" t="s">
        <v>939</v>
      </c>
      <c r="H15" s="10"/>
    </row>
    <row r="16" spans="1:8" ht="15" customHeight="1" x14ac:dyDescent="0.35">
      <c r="A16" s="22" t="s">
        <v>770</v>
      </c>
      <c r="B16" s="16">
        <f>COUNTIFS('Data (parsed)'!$E$2:$E$235,B$15,'Data (parsed)'!$B$2:$B$235,"Honor",'Data (parsed)'!$C$2:$C$235,$A16)</f>
        <v>6</v>
      </c>
      <c r="C16" s="16">
        <f>COUNTIFS('Data (parsed)'!$E$2:$E$235,C$15,'Data (parsed)'!$B$2:$B$235,"Honor",'Data (parsed)'!$C$2:$C$235,$A16)</f>
        <v>18</v>
      </c>
      <c r="D16" s="16">
        <f>COUNTIFS('Data (parsed)'!$E$2:$E$235,D$15,'Data (parsed)'!$B$2:$B$235,"Honor",'Data (parsed)'!$C$2:$C$235,$A16)</f>
        <v>2</v>
      </c>
      <c r="E16" s="16">
        <f>COUNTIFS('Data (parsed)'!$E$2:$E$235,E$15,'Data (parsed)'!$B$2:$B$235,"Honor",'Data (parsed)'!$C$2:$C$235,$A16)</f>
        <v>0</v>
      </c>
      <c r="F16" s="16">
        <f>SUMIFS('Data (parsed)'!$I$2:$I$235,'Data (parsed)'!$B$2:$B$235,"Honor",'Data (parsed)'!$C$2:$C$235,$A16,'Data (parsed)'!$J$2:$J$235,0)</f>
        <v>1</v>
      </c>
      <c r="G16" s="18">
        <f>SUMIFS('Data (parsed)'!$I$2:$I$235,'Data (parsed)'!$B$2:$B$235,"Honor",'Data (parsed)'!$C$2:$C$235,$A16)</f>
        <v>27</v>
      </c>
      <c r="H16" s="10"/>
    </row>
    <row r="17" spans="1:8" ht="15" customHeight="1" x14ac:dyDescent="0.35">
      <c r="A17" s="22" t="s">
        <v>992</v>
      </c>
      <c r="B17" s="16">
        <f>COUNTIFS('Data (parsed)'!$E$2:$E$235,B$15,'Data (parsed)'!$B$2:$B$235,"Honor",'Data (parsed)'!$C$2:$C$235,$A17)</f>
        <v>2</v>
      </c>
      <c r="C17" s="16">
        <f>COUNTIFS('Data (parsed)'!$E$2:$E$235,C$15,'Data (parsed)'!$B$2:$B$235,"Honor",'Data (parsed)'!$C$2:$C$235,$A17)</f>
        <v>3</v>
      </c>
      <c r="D17" s="16">
        <f>COUNTIFS('Data (parsed)'!$E$2:$E$235,D$15,'Data (parsed)'!$B$2:$B$235,"Honor",'Data (parsed)'!$C$2:$C$235,$A17)</f>
        <v>1</v>
      </c>
      <c r="E17" s="16">
        <f>COUNTIFS('Data (parsed)'!$E$2:$E$235,E$15,'Data (parsed)'!$B$2:$B$235,"Honor",'Data (parsed)'!$C$2:$C$235,$A17)</f>
        <v>0</v>
      </c>
      <c r="F17" s="16">
        <f>SUMIFS('Data (parsed)'!$I$2:$I$235,'Data (parsed)'!$B$2:$B$235,"Honor",'Data (parsed)'!$C$2:$C$235,$A17,'Data (parsed)'!$J$2:$J$235,0)</f>
        <v>5</v>
      </c>
      <c r="G17" s="18">
        <f>SUMIFS('Data (parsed)'!$I$2:$I$235,'Data (parsed)'!$B$2:$B$235,"Honor",'Data (parsed)'!$C$2:$C$235,$A17)</f>
        <v>11</v>
      </c>
      <c r="H17" s="10"/>
    </row>
    <row r="18" spans="1:8" ht="15" customHeight="1" x14ac:dyDescent="0.35">
      <c r="A18" s="22" t="s">
        <v>993</v>
      </c>
      <c r="B18" s="16">
        <f>COUNTIFS('Data (parsed)'!$E$2:$E$235,B$15,'Data (parsed)'!$B$2:$B$235,"Honor",'Data (parsed)'!$C$2:$C$235,$A18)</f>
        <v>0</v>
      </c>
      <c r="C18" s="16">
        <f>COUNTIFS('Data (parsed)'!$E$2:$E$235,C$15,'Data (parsed)'!$B$2:$B$235,"Honor",'Data (parsed)'!$C$2:$C$235,$A18)</f>
        <v>1</v>
      </c>
      <c r="D18" s="16">
        <f>COUNTIFS('Data (parsed)'!$E$2:$E$235,D$15,'Data (parsed)'!$B$2:$B$235,"Honor",'Data (parsed)'!$C$2:$C$235,$A18)</f>
        <v>1</v>
      </c>
      <c r="E18" s="16">
        <f>COUNTIFS('Data (parsed)'!$E$2:$E$235,E$15,'Data (parsed)'!$B$2:$B$235,"Honor",'Data (parsed)'!$C$2:$C$235,$A18)</f>
        <v>0</v>
      </c>
      <c r="F18" s="16">
        <f>SUMIFS('Data (parsed)'!$I$2:$I$235,'Data (parsed)'!$B$2:$B$235,"Honor",'Data (parsed)'!$C$2:$C$235,$A18,'Data (parsed)'!$J$2:$J$235,0)</f>
        <v>4</v>
      </c>
      <c r="G18" s="18">
        <f>SUMIFS('Data (parsed)'!$I$2:$I$235,'Data (parsed)'!$B$2:$B$235,"Honor",'Data (parsed)'!$C$2:$C$235,$A18)</f>
        <v>6</v>
      </c>
      <c r="H18" s="10"/>
    </row>
    <row r="19" spans="1:8" ht="15" customHeight="1" x14ac:dyDescent="0.35">
      <c r="A19" s="22" t="s">
        <v>994</v>
      </c>
      <c r="B19" s="16">
        <f>COUNTIFS('Data (parsed)'!$E$2:$E$235,B$15,'Data (parsed)'!$B$2:$B$235,"Honor",'Data (parsed)'!$C$2:$C$235,$A19)</f>
        <v>0</v>
      </c>
      <c r="C19" s="16">
        <f>COUNTIFS('Data (parsed)'!$E$2:$E$235,C$15,'Data (parsed)'!$B$2:$B$235,"Honor",'Data (parsed)'!$C$2:$C$235,$A19)</f>
        <v>3</v>
      </c>
      <c r="D19" s="16">
        <f>COUNTIFS('Data (parsed)'!$E$2:$E$235,D$15,'Data (parsed)'!$B$2:$B$235,"Honor",'Data (parsed)'!$C$2:$C$235,$A19)</f>
        <v>1</v>
      </c>
      <c r="E19" s="16">
        <f>COUNTIFS('Data (parsed)'!$E$2:$E$235,E$15,'Data (parsed)'!$B$2:$B$235,"Honor",'Data (parsed)'!$C$2:$C$235,$A19)</f>
        <v>0</v>
      </c>
      <c r="F19" s="16">
        <f>SUMIFS('Data (parsed)'!$I$2:$I$235,'Data (parsed)'!$B$2:$B$235,"Honor",'Data (parsed)'!$C$2:$C$235,$A19,'Data (parsed)'!$J$2:$J$235,0)</f>
        <v>1</v>
      </c>
      <c r="G19" s="18">
        <f>SUMIFS('Data (parsed)'!$I$2:$I$235,'Data (parsed)'!$B$2:$B$235,"Honor",'Data (parsed)'!$C$2:$C$235,$A19)</f>
        <v>5</v>
      </c>
      <c r="H19" s="10"/>
    </row>
    <row r="20" spans="1:8" ht="15" customHeight="1" x14ac:dyDescent="0.35">
      <c r="A20" s="22" t="s">
        <v>995</v>
      </c>
      <c r="B20" s="16">
        <f>COUNTIFS('Data (parsed)'!$E$2:$E$235,B$15,'Data (parsed)'!$B$2:$B$235,"Honor",'Data (parsed)'!$C$2:$C$235,$A20)</f>
        <v>1</v>
      </c>
      <c r="C20" s="16">
        <f>COUNTIFS('Data (parsed)'!$E$2:$E$235,C$15,'Data (parsed)'!$B$2:$B$235,"Honor",'Data (parsed)'!$C$2:$C$235,$A20)</f>
        <v>2</v>
      </c>
      <c r="D20" s="16">
        <f>COUNTIFS('Data (parsed)'!$E$2:$E$235,D$15,'Data (parsed)'!$B$2:$B$235,"Honor",'Data (parsed)'!$C$2:$C$235,$A20)</f>
        <v>2</v>
      </c>
      <c r="E20" s="16">
        <f>COUNTIFS('Data (parsed)'!$E$2:$E$235,E$15,'Data (parsed)'!$B$2:$B$235,"Honor",'Data (parsed)'!$C$2:$C$235,$A20)</f>
        <v>0</v>
      </c>
      <c r="F20" s="16">
        <f>SUMIFS('Data (parsed)'!$I$2:$I$235,'Data (parsed)'!$B$2:$B$235,"Honor",'Data (parsed)'!$C$2:$C$235,$A20,'Data (parsed)'!$J$2:$J$235,0)</f>
        <v>1</v>
      </c>
      <c r="G20" s="18">
        <f>SUMIFS('Data (parsed)'!$I$2:$I$235,'Data (parsed)'!$B$2:$B$235,"Honor",'Data (parsed)'!$C$2:$C$235,$A20)</f>
        <v>5</v>
      </c>
      <c r="H20" s="10"/>
    </row>
    <row r="21" spans="1:8" ht="15" customHeight="1" x14ac:dyDescent="0.35">
      <c r="A21" s="22" t="s">
        <v>927</v>
      </c>
      <c r="B21" s="16">
        <f>COUNTIFS('Data (parsed)'!$E$2:$E$235,B$15,'Data (parsed)'!$B$2:$B$235,"Honor",'Data (parsed)'!$C$2:$C$235,$A21)</f>
        <v>0</v>
      </c>
      <c r="C21" s="16">
        <f>COUNTIFS('Data (parsed)'!$E$2:$E$235,C$15,'Data (parsed)'!$B$2:$B$235,"Honor",'Data (parsed)'!$C$2:$C$235,$A21)</f>
        <v>1</v>
      </c>
      <c r="D21" s="16">
        <f>COUNTIFS('Data (parsed)'!$E$2:$E$235,D$15,'Data (parsed)'!$B$2:$B$235,"Honor",'Data (parsed)'!$C$2:$C$235,$A21)</f>
        <v>1</v>
      </c>
      <c r="E21" s="16">
        <f>COUNTIFS('Data (parsed)'!$E$2:$E$235,E$15,'Data (parsed)'!$B$2:$B$235,"Honor",'Data (parsed)'!$C$2:$C$235,$A21)</f>
        <v>0</v>
      </c>
      <c r="F21" s="16">
        <f>SUMIFS('Data (parsed)'!$I$2:$I$235,'Data (parsed)'!$B$2:$B$235,"Honor",'Data (parsed)'!$C$2:$C$235,$A21,'Data (parsed)'!$J$2:$J$235,0)</f>
        <v>0</v>
      </c>
      <c r="G21" s="18">
        <f>SUMIFS('Data (parsed)'!$I$2:$I$235,'Data (parsed)'!$B$2:$B$235,"Honor",'Data (parsed)'!$C$2:$C$235,$A21)</f>
        <v>2</v>
      </c>
      <c r="H21" s="10"/>
    </row>
    <row r="22" spans="1:8" ht="15" customHeight="1" x14ac:dyDescent="0.35">
      <c r="A22" s="22" t="s">
        <v>996</v>
      </c>
      <c r="B22" s="16">
        <f>COUNTIFS('Data (parsed)'!$E$2:$E$235,B$15,'Data (parsed)'!$B$2:$B$235,"Honor",'Data (parsed)'!$C$2:$C$235,$A22)</f>
        <v>0</v>
      </c>
      <c r="C22" s="16">
        <f>COUNTIFS('Data (parsed)'!$E$2:$E$235,C$15,'Data (parsed)'!$B$2:$B$235,"Honor",'Data (parsed)'!$C$2:$C$235,$A22)</f>
        <v>0</v>
      </c>
      <c r="D22" s="16">
        <f>COUNTIFS('Data (parsed)'!$E$2:$E$235,D$15,'Data (parsed)'!$B$2:$B$235,"Honor",'Data (parsed)'!$C$2:$C$235,$A22)</f>
        <v>0</v>
      </c>
      <c r="E22" s="16">
        <f>COUNTIFS('Data (parsed)'!$E$2:$E$235,E$15,'Data (parsed)'!$B$2:$B$235,"Honor",'Data (parsed)'!$C$2:$C$235,$A22)</f>
        <v>1</v>
      </c>
      <c r="F22" s="16">
        <f>SUMIFS('Data (parsed)'!$I$2:$I$235,'Data (parsed)'!$B$2:$B$235,"Honor",'Data (parsed)'!$C$2:$C$235,$A22,'Data (parsed)'!$J$2:$J$235,0)</f>
        <v>0</v>
      </c>
      <c r="G22" s="18">
        <f>SUMIFS('Data (parsed)'!$I$2:$I$235,'Data (parsed)'!$B$2:$B$235,"Honor",'Data (parsed)'!$C$2:$C$235,$A22)</f>
        <v>1</v>
      </c>
      <c r="H22" s="10"/>
    </row>
    <row r="23" spans="1:8" ht="15" customHeight="1" x14ac:dyDescent="0.35">
      <c r="A23" s="17" t="s">
        <v>944</v>
      </c>
      <c r="B23" s="18">
        <f t="shared" ref="B23:G23" si="2">SUM(B16:B22)</f>
        <v>9</v>
      </c>
      <c r="C23" s="18">
        <f t="shared" si="2"/>
        <v>28</v>
      </c>
      <c r="D23" s="18">
        <f t="shared" si="2"/>
        <v>8</v>
      </c>
      <c r="E23" s="18">
        <f t="shared" si="2"/>
        <v>1</v>
      </c>
      <c r="F23" s="18">
        <f t="shared" si="2"/>
        <v>12</v>
      </c>
      <c r="G23" s="18">
        <f t="shared" si="2"/>
        <v>57</v>
      </c>
      <c r="H23" s="10"/>
    </row>
    <row r="24" spans="1:8" ht="14.25" customHeight="1" x14ac:dyDescent="0.35">
      <c r="A24" s="10"/>
      <c r="B24" s="10"/>
      <c r="C24" s="10"/>
      <c r="D24" s="10"/>
      <c r="E24" s="10"/>
      <c r="F24" s="10"/>
      <c r="G24" s="10"/>
      <c r="H24" s="10"/>
    </row>
    <row r="25" spans="1:8" ht="14.25" customHeight="1" x14ac:dyDescent="0.35">
      <c r="A25" s="10"/>
      <c r="B25" s="10"/>
      <c r="C25" s="10"/>
      <c r="D25" s="10"/>
      <c r="E25" s="10"/>
      <c r="F25" s="10"/>
      <c r="G25" s="10"/>
      <c r="H25" s="10"/>
    </row>
    <row r="26" spans="1:8" ht="14.25" customHeight="1" x14ac:dyDescent="0.35">
      <c r="A26" s="10"/>
      <c r="B26" s="10"/>
      <c r="C26" s="10"/>
      <c r="D26" s="10"/>
      <c r="E26" s="10"/>
      <c r="F26" s="10"/>
      <c r="G26" s="10"/>
      <c r="H26" s="10"/>
    </row>
    <row r="27" spans="1:8" ht="14.25" customHeight="1" x14ac:dyDescent="0.35">
      <c r="A27" s="10"/>
      <c r="B27" s="10"/>
      <c r="C27" s="10"/>
      <c r="D27" s="10"/>
      <c r="E27" s="10"/>
      <c r="F27" s="10"/>
      <c r="G27" s="10"/>
      <c r="H27" s="10"/>
    </row>
    <row r="28" spans="1:8" ht="14.25" customHeight="1" x14ac:dyDescent="0.35">
      <c r="A28" s="10"/>
      <c r="B28" s="10"/>
      <c r="C28" s="10"/>
      <c r="D28" s="10"/>
      <c r="E28" s="10"/>
      <c r="F28" s="10"/>
      <c r="G28" s="10"/>
      <c r="H28" s="10"/>
    </row>
    <row r="29" spans="1:8" ht="14.25" customHeight="1" x14ac:dyDescent="0.35">
      <c r="A29" s="10"/>
      <c r="B29" s="10"/>
      <c r="C29" s="10"/>
      <c r="D29" s="10"/>
      <c r="E29" s="10"/>
      <c r="F29" s="10"/>
      <c r="G29" s="10"/>
      <c r="H29" s="10"/>
    </row>
    <row r="30" spans="1:8" ht="14.25" customHeight="1" x14ac:dyDescent="0.35">
      <c r="A30" s="10"/>
      <c r="B30" s="10"/>
      <c r="C30" s="10"/>
      <c r="D30" s="10"/>
      <c r="E30" s="10"/>
      <c r="F30" s="10"/>
      <c r="G30" s="10"/>
      <c r="H30" s="10"/>
    </row>
    <row r="31" spans="1:8" ht="14.25" customHeight="1" x14ac:dyDescent="0.35">
      <c r="A31" s="10"/>
      <c r="B31" s="10"/>
      <c r="C31" s="10"/>
      <c r="D31" s="10"/>
      <c r="E31" s="10"/>
      <c r="F31" s="10"/>
      <c r="G31" s="10"/>
      <c r="H31" s="10"/>
    </row>
    <row r="32" spans="1:8" ht="14.25" customHeight="1" x14ac:dyDescent="0.35">
      <c r="A32" s="10"/>
      <c r="B32" s="10"/>
      <c r="C32" s="10"/>
      <c r="D32" s="10"/>
      <c r="E32" s="10"/>
      <c r="F32" s="10"/>
      <c r="G32" s="10"/>
      <c r="H32" s="10"/>
    </row>
    <row r="33" spans="1:8" ht="14.25" customHeight="1" x14ac:dyDescent="0.35">
      <c r="A33" s="10"/>
      <c r="B33" s="10"/>
      <c r="C33" s="10"/>
      <c r="D33" s="10"/>
      <c r="E33" s="10"/>
      <c r="F33" s="10"/>
      <c r="G33" s="10"/>
      <c r="H33" s="10"/>
    </row>
    <row r="34" spans="1:8" ht="14.25" customHeight="1" x14ac:dyDescent="0.35">
      <c r="A34" s="10"/>
      <c r="B34" s="10"/>
      <c r="C34" s="10"/>
      <c r="D34" s="10"/>
      <c r="E34" s="10"/>
      <c r="F34" s="10"/>
      <c r="G34" s="10"/>
      <c r="H34" s="10"/>
    </row>
    <row r="35" spans="1:8" ht="14.25" customHeight="1" x14ac:dyDescent="0.35">
      <c r="A35" s="10"/>
      <c r="B35" s="10"/>
      <c r="C35" s="10"/>
      <c r="D35" s="10"/>
      <c r="E35" s="10"/>
      <c r="F35" s="10"/>
      <c r="G35" s="10"/>
      <c r="H35" s="10"/>
    </row>
    <row r="36" spans="1:8" ht="14.25" customHeight="1" x14ac:dyDescent="0.35">
      <c r="A36" s="10"/>
      <c r="B36" s="10"/>
      <c r="C36" s="10"/>
      <c r="D36" s="10"/>
      <c r="E36" s="10"/>
      <c r="F36" s="10"/>
      <c r="G36" s="10"/>
      <c r="H36" s="10"/>
    </row>
    <row r="37" spans="1:8" ht="14.25" customHeight="1" x14ac:dyDescent="0.35">
      <c r="A37" s="10"/>
      <c r="B37" s="10"/>
      <c r="C37" s="10"/>
      <c r="D37" s="10"/>
      <c r="E37" s="10"/>
      <c r="F37" s="10"/>
      <c r="G37" s="10"/>
      <c r="H37" s="10"/>
    </row>
    <row r="38" spans="1:8" ht="14.25" customHeight="1" x14ac:dyDescent="0.35">
      <c r="A38" s="10"/>
      <c r="B38" s="10"/>
      <c r="C38" s="10"/>
      <c r="D38" s="10"/>
      <c r="E38" s="10"/>
      <c r="F38" s="10"/>
      <c r="G38" s="10"/>
      <c r="H38" s="10"/>
    </row>
    <row r="39" spans="1:8" ht="14.25" customHeight="1" x14ac:dyDescent="0.35">
      <c r="A39" s="10"/>
      <c r="B39" s="10"/>
      <c r="C39" s="10"/>
      <c r="D39" s="10"/>
      <c r="E39" s="10"/>
      <c r="F39" s="10"/>
      <c r="G39" s="10"/>
      <c r="H39" s="10"/>
    </row>
    <row r="40" spans="1:8" ht="14.25" customHeight="1" x14ac:dyDescent="0.35">
      <c r="A40" s="10"/>
      <c r="B40" s="10"/>
      <c r="C40" s="10"/>
      <c r="D40" s="10"/>
      <c r="E40" s="10"/>
      <c r="F40" s="10"/>
      <c r="G40" s="10"/>
      <c r="H40" s="10"/>
    </row>
    <row r="41" spans="1:8" ht="14.25" customHeight="1" x14ac:dyDescent="0.35">
      <c r="A41" s="10"/>
      <c r="B41" s="10"/>
      <c r="C41" s="10"/>
      <c r="D41" s="10"/>
      <c r="E41" s="10"/>
      <c r="F41" s="10"/>
      <c r="G41" s="10"/>
      <c r="H41" s="10"/>
    </row>
    <row r="42" spans="1:8" ht="14.25" customHeight="1" x14ac:dyDescent="0.35">
      <c r="A42" s="10"/>
      <c r="B42" s="10"/>
      <c r="C42" s="10"/>
      <c r="D42" s="10"/>
      <c r="E42" s="10"/>
      <c r="F42" s="10"/>
      <c r="G42" s="10"/>
      <c r="H42" s="10"/>
    </row>
    <row r="43" spans="1:8" ht="14.25" customHeight="1" x14ac:dyDescent="0.35">
      <c r="A43" s="10"/>
      <c r="B43" s="10"/>
      <c r="C43" s="10"/>
      <c r="D43" s="10"/>
      <c r="E43" s="10"/>
      <c r="F43" s="10"/>
      <c r="G43" s="10"/>
      <c r="H43" s="10"/>
    </row>
    <row r="44" spans="1:8" ht="14.25" customHeight="1" x14ac:dyDescent="0.35">
      <c r="A44" s="10"/>
      <c r="B44" s="10"/>
      <c r="C44" s="10"/>
      <c r="D44" s="10"/>
      <c r="E44" s="10"/>
      <c r="F44" s="10"/>
      <c r="G44" s="10"/>
      <c r="H44" s="10"/>
    </row>
    <row r="45" spans="1:8" ht="14.25" customHeight="1" x14ac:dyDescent="0.35">
      <c r="A45" s="10"/>
      <c r="B45" s="10"/>
      <c r="C45" s="10"/>
      <c r="D45" s="10"/>
      <c r="E45" s="10"/>
      <c r="F45" s="10"/>
      <c r="G45" s="10"/>
      <c r="H45" s="10"/>
    </row>
    <row r="46" spans="1:8" ht="14.25" customHeight="1" x14ac:dyDescent="0.35">
      <c r="A46" s="10"/>
      <c r="B46" s="10"/>
      <c r="C46" s="10"/>
      <c r="D46" s="10"/>
      <c r="E46" s="10"/>
      <c r="F46" s="10"/>
      <c r="G46" s="10"/>
      <c r="H46" s="10"/>
    </row>
    <row r="47" spans="1:8" ht="14.25" customHeight="1" x14ac:dyDescent="0.35">
      <c r="A47" s="10"/>
      <c r="B47" s="10"/>
      <c r="C47" s="10"/>
      <c r="D47" s="10"/>
      <c r="E47" s="10"/>
      <c r="F47" s="10"/>
      <c r="G47" s="10"/>
      <c r="H47" s="10"/>
    </row>
    <row r="48" spans="1:8" ht="14.25" customHeight="1" x14ac:dyDescent="0.35">
      <c r="A48" s="10"/>
      <c r="B48" s="10"/>
      <c r="C48" s="10"/>
      <c r="D48" s="10"/>
      <c r="E48" s="10"/>
      <c r="F48" s="10"/>
      <c r="G48" s="10"/>
      <c r="H48" s="10"/>
    </row>
    <row r="49" spans="1:8" ht="14.25" customHeight="1" x14ac:dyDescent="0.35">
      <c r="A49" s="10"/>
      <c r="B49" s="10"/>
      <c r="C49" s="10"/>
      <c r="D49" s="10"/>
      <c r="E49" s="10"/>
      <c r="F49" s="10"/>
      <c r="G49" s="10"/>
      <c r="H49" s="10"/>
    </row>
    <row r="50" spans="1:8" ht="14.25" customHeight="1" x14ac:dyDescent="0.35">
      <c r="A50" s="10"/>
      <c r="B50" s="10"/>
      <c r="C50" s="10"/>
      <c r="D50" s="10"/>
      <c r="E50" s="10"/>
      <c r="F50" s="10"/>
      <c r="G50" s="10"/>
      <c r="H50" s="10"/>
    </row>
    <row r="51" spans="1:8" ht="14.25" customHeight="1" x14ac:dyDescent="0.35">
      <c r="A51" s="10"/>
      <c r="B51" s="10"/>
      <c r="C51" s="10"/>
      <c r="D51" s="10"/>
      <c r="E51" s="10"/>
      <c r="F51" s="10"/>
      <c r="G51" s="10"/>
      <c r="H51" s="10"/>
    </row>
    <row r="52" spans="1:8" ht="14.25" customHeight="1" x14ac:dyDescent="0.35">
      <c r="A52" s="10"/>
      <c r="B52" s="10"/>
      <c r="C52" s="10"/>
      <c r="D52" s="10"/>
      <c r="E52" s="10"/>
      <c r="F52" s="10"/>
      <c r="G52" s="10"/>
      <c r="H52" s="10"/>
    </row>
    <row r="53" spans="1:8" ht="14.25" customHeight="1" x14ac:dyDescent="0.35">
      <c r="A53" s="10"/>
      <c r="B53" s="10"/>
      <c r="C53" s="10"/>
      <c r="D53" s="10"/>
      <c r="E53" s="10"/>
      <c r="F53" s="10"/>
      <c r="G53" s="10"/>
      <c r="H53" s="10"/>
    </row>
    <row r="54" spans="1:8" ht="14.25" customHeight="1" x14ac:dyDescent="0.35">
      <c r="A54" s="10"/>
      <c r="B54" s="10"/>
      <c r="C54" s="10"/>
      <c r="D54" s="10"/>
      <c r="E54" s="10"/>
      <c r="F54" s="10"/>
      <c r="G54" s="10"/>
      <c r="H54" s="10"/>
    </row>
    <row r="55" spans="1:8" ht="14.25" customHeight="1" x14ac:dyDescent="0.35">
      <c r="A55" s="10"/>
      <c r="B55" s="10"/>
      <c r="C55" s="10"/>
      <c r="D55" s="10"/>
      <c r="E55" s="10"/>
      <c r="F55" s="10"/>
      <c r="G55" s="10"/>
      <c r="H55" s="10"/>
    </row>
    <row r="56" spans="1:8" ht="14.25" customHeight="1" x14ac:dyDescent="0.35">
      <c r="A56" s="10"/>
      <c r="B56" s="10"/>
      <c r="C56" s="10"/>
      <c r="D56" s="10"/>
      <c r="E56" s="10"/>
      <c r="F56" s="10"/>
      <c r="G56" s="10"/>
      <c r="H56" s="10"/>
    </row>
    <row r="57" spans="1:8" ht="14.25" customHeight="1" x14ac:dyDescent="0.35">
      <c r="A57" s="10"/>
      <c r="B57" s="10"/>
      <c r="C57" s="10"/>
      <c r="D57" s="10"/>
      <c r="E57" s="10"/>
      <c r="F57" s="10"/>
      <c r="G57" s="10"/>
      <c r="H57" s="10"/>
    </row>
    <row r="58" spans="1:8" ht="14.25" customHeight="1" x14ac:dyDescent="0.35">
      <c r="A58" s="10"/>
      <c r="B58" s="10"/>
      <c r="C58" s="10"/>
      <c r="D58" s="10"/>
      <c r="E58" s="10"/>
      <c r="F58" s="10"/>
      <c r="G58" s="10"/>
      <c r="H58" s="10"/>
    </row>
    <row r="59" spans="1:8" ht="14.25" customHeight="1" x14ac:dyDescent="0.35">
      <c r="A59" s="10"/>
      <c r="B59" s="10"/>
      <c r="C59" s="10"/>
      <c r="D59" s="10"/>
      <c r="E59" s="10"/>
      <c r="F59" s="10"/>
      <c r="G59" s="10"/>
      <c r="H59" s="10"/>
    </row>
    <row r="60" spans="1:8" ht="14.25" customHeight="1" x14ac:dyDescent="0.35">
      <c r="A60" s="10"/>
      <c r="B60" s="10"/>
      <c r="C60" s="10"/>
      <c r="D60" s="10"/>
      <c r="E60" s="10"/>
      <c r="F60" s="10"/>
      <c r="G60" s="10"/>
      <c r="H60" s="10"/>
    </row>
    <row r="61" spans="1:8" ht="14.25" customHeight="1" x14ac:dyDescent="0.35">
      <c r="A61" s="10"/>
      <c r="B61" s="10"/>
      <c r="C61" s="10"/>
      <c r="D61" s="10"/>
      <c r="E61" s="10"/>
      <c r="F61" s="10"/>
      <c r="G61" s="10"/>
      <c r="H61" s="10"/>
    </row>
    <row r="62" spans="1:8" ht="14.25" customHeight="1" x14ac:dyDescent="0.35">
      <c r="A62" s="10"/>
      <c r="B62" s="10"/>
      <c r="C62" s="10"/>
      <c r="D62" s="10"/>
      <c r="E62" s="10"/>
      <c r="F62" s="10"/>
      <c r="G62" s="10"/>
      <c r="H62" s="10"/>
    </row>
    <row r="63" spans="1:8" ht="14.25" customHeight="1" x14ac:dyDescent="0.35">
      <c r="A63" s="10"/>
      <c r="B63" s="10"/>
      <c r="C63" s="10"/>
      <c r="D63" s="10"/>
      <c r="E63" s="10"/>
      <c r="F63" s="10"/>
      <c r="G63" s="10"/>
      <c r="H63" s="10"/>
    </row>
    <row r="64" spans="1:8" ht="14.25" customHeight="1" x14ac:dyDescent="0.35">
      <c r="A64" s="10"/>
      <c r="B64" s="10"/>
      <c r="C64" s="10"/>
      <c r="D64" s="10"/>
      <c r="E64" s="10"/>
      <c r="F64" s="10"/>
      <c r="G64" s="10"/>
      <c r="H64" s="10"/>
    </row>
    <row r="65" spans="1:8" ht="14.25" customHeight="1" x14ac:dyDescent="0.35">
      <c r="A65" s="10"/>
      <c r="B65" s="10"/>
      <c r="C65" s="10"/>
      <c r="D65" s="10"/>
      <c r="E65" s="10"/>
      <c r="F65" s="10"/>
      <c r="G65" s="10"/>
      <c r="H65" s="10"/>
    </row>
    <row r="66" spans="1:8" ht="14.25" customHeight="1" x14ac:dyDescent="0.35">
      <c r="A66" s="10"/>
      <c r="B66" s="10"/>
      <c r="C66" s="10"/>
      <c r="D66" s="10"/>
      <c r="E66" s="10"/>
      <c r="F66" s="10"/>
      <c r="G66" s="10"/>
      <c r="H66" s="10"/>
    </row>
    <row r="67" spans="1:8" ht="14.25" customHeight="1" x14ac:dyDescent="0.35">
      <c r="A67" s="10"/>
      <c r="B67" s="10"/>
      <c r="C67" s="10"/>
      <c r="D67" s="10"/>
      <c r="E67" s="10"/>
      <c r="F67" s="10"/>
      <c r="G67" s="10"/>
      <c r="H67" s="10"/>
    </row>
    <row r="68" spans="1:8" ht="14.25" customHeight="1" x14ac:dyDescent="0.35">
      <c r="A68" s="10"/>
      <c r="B68" s="10"/>
      <c r="C68" s="10"/>
      <c r="D68" s="10"/>
      <c r="E68" s="10"/>
      <c r="F68" s="10"/>
      <c r="G68" s="10"/>
      <c r="H68" s="10"/>
    </row>
    <row r="69" spans="1:8" ht="14.25" customHeight="1" x14ac:dyDescent="0.35">
      <c r="A69" s="10"/>
      <c r="B69" s="10"/>
      <c r="C69" s="10"/>
      <c r="D69" s="10"/>
      <c r="E69" s="10"/>
      <c r="F69" s="10"/>
      <c r="G69" s="10"/>
      <c r="H69" s="10"/>
    </row>
    <row r="70" spans="1:8" ht="14.25" customHeight="1" x14ac:dyDescent="0.35">
      <c r="A70" s="10"/>
      <c r="B70" s="10"/>
      <c r="C70" s="10"/>
      <c r="D70" s="10"/>
      <c r="E70" s="10"/>
      <c r="F70" s="10"/>
      <c r="G70" s="10"/>
      <c r="H70" s="10"/>
    </row>
    <row r="71" spans="1:8" ht="14.25" customHeight="1" x14ac:dyDescent="0.35">
      <c r="A71" s="10"/>
      <c r="B71" s="10"/>
      <c r="C71" s="10"/>
      <c r="D71" s="10"/>
      <c r="E71" s="10"/>
      <c r="F71" s="10"/>
      <c r="G71" s="10"/>
      <c r="H71" s="10"/>
    </row>
    <row r="72" spans="1:8" ht="14.25" customHeight="1" x14ac:dyDescent="0.35">
      <c r="A72" s="10"/>
      <c r="B72" s="10"/>
      <c r="C72" s="10"/>
      <c r="D72" s="10"/>
      <c r="E72" s="10"/>
      <c r="F72" s="10"/>
      <c r="G72" s="10"/>
      <c r="H72" s="10"/>
    </row>
    <row r="73" spans="1:8" ht="14.25" customHeight="1" x14ac:dyDescent="0.35">
      <c r="A73" s="10"/>
      <c r="B73" s="10"/>
      <c r="C73" s="10"/>
      <c r="D73" s="10"/>
      <c r="E73" s="10"/>
      <c r="F73" s="10"/>
      <c r="G73" s="10"/>
      <c r="H73" s="10"/>
    </row>
    <row r="74" spans="1:8" ht="14.25" customHeight="1" x14ac:dyDescent="0.35">
      <c r="A74" s="10"/>
      <c r="B74" s="10"/>
      <c r="C74" s="10"/>
      <c r="D74" s="10"/>
      <c r="E74" s="10"/>
      <c r="F74" s="10"/>
      <c r="G74" s="10"/>
      <c r="H74" s="10"/>
    </row>
    <row r="75" spans="1:8" ht="14.25" customHeight="1" x14ac:dyDescent="0.35">
      <c r="A75" s="10"/>
      <c r="B75" s="10"/>
      <c r="C75" s="10"/>
      <c r="D75" s="10"/>
      <c r="E75" s="10"/>
      <c r="F75" s="10"/>
      <c r="G75" s="10"/>
      <c r="H75" s="10"/>
    </row>
    <row r="76" spans="1:8" ht="14.25" customHeight="1" x14ac:dyDescent="0.35">
      <c r="A76" s="10"/>
      <c r="B76" s="10"/>
      <c r="C76" s="10"/>
      <c r="D76" s="10"/>
      <c r="E76" s="10"/>
      <c r="F76" s="10"/>
      <c r="G76" s="10"/>
      <c r="H76" s="10"/>
    </row>
    <row r="77" spans="1:8" ht="14.25" customHeight="1" x14ac:dyDescent="0.35">
      <c r="A77" s="10"/>
      <c r="B77" s="10"/>
      <c r="C77" s="10"/>
      <c r="D77" s="10"/>
      <c r="E77" s="10"/>
      <c r="F77" s="10"/>
      <c r="G77" s="10"/>
      <c r="H77" s="10"/>
    </row>
    <row r="78" spans="1:8" ht="14.25" customHeight="1" x14ac:dyDescent="0.35">
      <c r="A78" s="10"/>
      <c r="B78" s="10"/>
      <c r="C78" s="10"/>
      <c r="D78" s="10"/>
      <c r="E78" s="10"/>
      <c r="F78" s="10"/>
      <c r="G78" s="10"/>
      <c r="H78" s="10"/>
    </row>
    <row r="79" spans="1:8" ht="14.25" customHeight="1" x14ac:dyDescent="0.35">
      <c r="A79" s="10"/>
      <c r="B79" s="10"/>
      <c r="C79" s="10"/>
      <c r="D79" s="10"/>
      <c r="E79" s="10"/>
      <c r="F79" s="10"/>
      <c r="G79" s="10"/>
      <c r="H79" s="10"/>
    </row>
    <row r="80" spans="1:8" ht="14.25" customHeight="1" x14ac:dyDescent="0.35">
      <c r="A80" s="10"/>
      <c r="B80" s="10"/>
      <c r="C80" s="10"/>
      <c r="D80" s="10"/>
      <c r="E80" s="10"/>
      <c r="F80" s="10"/>
      <c r="G80" s="10"/>
      <c r="H80" s="10"/>
    </row>
    <row r="81" spans="1:8" ht="14.25" customHeight="1" x14ac:dyDescent="0.35">
      <c r="A81" s="10"/>
      <c r="B81" s="10"/>
      <c r="C81" s="10"/>
      <c r="D81" s="10"/>
      <c r="E81" s="10"/>
      <c r="F81" s="10"/>
      <c r="G81" s="10"/>
      <c r="H81" s="10"/>
    </row>
    <row r="82" spans="1:8" ht="14.25" customHeight="1" x14ac:dyDescent="0.35">
      <c r="A82" s="10"/>
      <c r="B82" s="10"/>
      <c r="C82" s="10"/>
      <c r="D82" s="10"/>
      <c r="E82" s="10"/>
      <c r="F82" s="10"/>
      <c r="G82" s="10"/>
      <c r="H82" s="10"/>
    </row>
    <row r="83" spans="1:8" ht="14.25" customHeight="1" x14ac:dyDescent="0.35">
      <c r="A83" s="10"/>
      <c r="B83" s="10"/>
      <c r="C83" s="10"/>
      <c r="D83" s="10"/>
      <c r="E83" s="10"/>
      <c r="F83" s="10"/>
      <c r="G83" s="10"/>
      <c r="H83" s="10"/>
    </row>
    <row r="84" spans="1:8" ht="14.25" customHeight="1" x14ac:dyDescent="0.35">
      <c r="A84" s="10"/>
      <c r="B84" s="10"/>
      <c r="C84" s="10"/>
      <c r="D84" s="10"/>
      <c r="E84" s="10"/>
      <c r="F84" s="10"/>
      <c r="G84" s="10"/>
      <c r="H84" s="10"/>
    </row>
    <row r="85" spans="1:8" ht="14.25" customHeight="1" x14ac:dyDescent="0.35">
      <c r="A85" s="10"/>
      <c r="B85" s="10"/>
      <c r="C85" s="10"/>
      <c r="D85" s="10"/>
      <c r="E85" s="10"/>
      <c r="F85" s="10"/>
      <c r="G85" s="10"/>
      <c r="H85" s="10"/>
    </row>
    <row r="86" spans="1:8" ht="14.25" customHeight="1" x14ac:dyDescent="0.35">
      <c r="A86" s="10"/>
      <c r="B86" s="10"/>
      <c r="C86" s="10"/>
      <c r="D86" s="10"/>
      <c r="E86" s="10"/>
      <c r="F86" s="10"/>
      <c r="G86" s="10"/>
      <c r="H86" s="10"/>
    </row>
    <row r="87" spans="1:8" ht="14.25" customHeight="1" x14ac:dyDescent="0.35">
      <c r="A87" s="10"/>
      <c r="B87" s="10"/>
      <c r="C87" s="10"/>
      <c r="D87" s="10"/>
      <c r="E87" s="10"/>
      <c r="F87" s="10"/>
      <c r="G87" s="10"/>
      <c r="H87" s="10"/>
    </row>
    <row r="88" spans="1:8" ht="14.25" customHeight="1" x14ac:dyDescent="0.35">
      <c r="A88" s="10"/>
      <c r="B88" s="10"/>
      <c r="C88" s="10"/>
      <c r="D88" s="10"/>
      <c r="E88" s="10"/>
      <c r="F88" s="10"/>
      <c r="G88" s="10"/>
      <c r="H88" s="10"/>
    </row>
    <row r="89" spans="1:8" ht="14.25" customHeight="1" x14ac:dyDescent="0.35">
      <c r="A89" s="10"/>
      <c r="B89" s="10"/>
      <c r="C89" s="10"/>
      <c r="D89" s="10"/>
      <c r="E89" s="10"/>
      <c r="F89" s="10"/>
      <c r="G89" s="10"/>
      <c r="H89" s="10"/>
    </row>
    <row r="90" spans="1:8" ht="14.25" customHeight="1" x14ac:dyDescent="0.35">
      <c r="A90" s="10"/>
      <c r="B90" s="10"/>
      <c r="C90" s="10"/>
      <c r="D90" s="10"/>
      <c r="E90" s="10"/>
      <c r="F90" s="10"/>
      <c r="G90" s="10"/>
      <c r="H90" s="10"/>
    </row>
    <row r="91" spans="1:8" ht="14.25" customHeight="1" x14ac:dyDescent="0.35">
      <c r="A91" s="10"/>
      <c r="B91" s="10"/>
      <c r="C91" s="10"/>
      <c r="D91" s="10"/>
      <c r="E91" s="10"/>
      <c r="F91" s="10"/>
      <c r="G91" s="10"/>
      <c r="H91" s="10"/>
    </row>
    <row r="92" spans="1:8" ht="14.25" customHeight="1" x14ac:dyDescent="0.35">
      <c r="A92" s="10"/>
      <c r="B92" s="10"/>
      <c r="C92" s="10"/>
      <c r="D92" s="10"/>
      <c r="E92" s="10"/>
      <c r="F92" s="10"/>
      <c r="G92" s="10"/>
      <c r="H92" s="10"/>
    </row>
    <row r="93" spans="1:8" ht="14.25" customHeight="1" x14ac:dyDescent="0.35">
      <c r="A93" s="10"/>
      <c r="B93" s="10"/>
      <c r="C93" s="10"/>
      <c r="D93" s="10"/>
      <c r="E93" s="10"/>
      <c r="F93" s="10"/>
      <c r="G93" s="10"/>
      <c r="H93" s="10"/>
    </row>
    <row r="94" spans="1:8" ht="14.25" customHeight="1" x14ac:dyDescent="0.35">
      <c r="A94" s="10"/>
      <c r="B94" s="10"/>
      <c r="C94" s="10"/>
      <c r="D94" s="10"/>
      <c r="E94" s="10"/>
      <c r="F94" s="10"/>
      <c r="G94" s="10"/>
      <c r="H94" s="10"/>
    </row>
    <row r="95" spans="1:8" ht="14.25" customHeight="1" x14ac:dyDescent="0.35">
      <c r="A95" s="10"/>
      <c r="B95" s="10"/>
      <c r="C95" s="10"/>
      <c r="D95" s="10"/>
      <c r="E95" s="10"/>
      <c r="F95" s="10"/>
      <c r="G95" s="10"/>
      <c r="H95" s="10"/>
    </row>
    <row r="96" spans="1:8" ht="14.25" customHeight="1" x14ac:dyDescent="0.35">
      <c r="A96" s="10"/>
      <c r="B96" s="10"/>
      <c r="C96" s="10"/>
      <c r="D96" s="10"/>
      <c r="E96" s="10"/>
      <c r="F96" s="10"/>
      <c r="G96" s="10"/>
      <c r="H96" s="10"/>
    </row>
    <row r="97" spans="1:8" ht="14.25" customHeight="1" x14ac:dyDescent="0.35">
      <c r="A97" s="10"/>
      <c r="B97" s="10"/>
      <c r="C97" s="10"/>
      <c r="D97" s="10"/>
      <c r="E97" s="10"/>
      <c r="F97" s="10"/>
      <c r="G97" s="10"/>
      <c r="H97" s="10"/>
    </row>
    <row r="98" spans="1:8" ht="14.25" customHeight="1" x14ac:dyDescent="0.35">
      <c r="A98" s="10"/>
      <c r="B98" s="10"/>
      <c r="C98" s="10"/>
      <c r="D98" s="10"/>
      <c r="E98" s="10"/>
      <c r="F98" s="10"/>
      <c r="G98" s="10"/>
      <c r="H98" s="10"/>
    </row>
    <row r="99" spans="1:8" ht="14.25" customHeight="1" x14ac:dyDescent="0.35">
      <c r="A99" s="10"/>
      <c r="B99" s="10"/>
      <c r="C99" s="10"/>
      <c r="D99" s="10"/>
      <c r="E99" s="10"/>
      <c r="F99" s="10"/>
      <c r="G99" s="10"/>
      <c r="H99" s="10"/>
    </row>
    <row r="100" spans="1:8" ht="14.25" customHeight="1" x14ac:dyDescent="0.35">
      <c r="A100" s="10"/>
      <c r="B100" s="10"/>
      <c r="C100" s="10"/>
      <c r="D100" s="10"/>
      <c r="E100" s="10"/>
      <c r="F100" s="10"/>
      <c r="G100" s="10"/>
      <c r="H100" s="10"/>
    </row>
    <row r="101" spans="1:8" ht="14.25" customHeight="1" x14ac:dyDescent="0.35">
      <c r="A101" s="10"/>
      <c r="B101" s="10"/>
      <c r="C101" s="10"/>
      <c r="D101" s="10"/>
      <c r="E101" s="10"/>
      <c r="F101" s="10"/>
      <c r="G101" s="10"/>
      <c r="H101" s="10"/>
    </row>
    <row r="102" spans="1:8" ht="14.25" customHeight="1" x14ac:dyDescent="0.35">
      <c r="A102" s="10"/>
      <c r="B102" s="10"/>
      <c r="C102" s="10"/>
      <c r="D102" s="10"/>
      <c r="E102" s="10"/>
      <c r="F102" s="10"/>
      <c r="G102" s="10"/>
      <c r="H102" s="10"/>
    </row>
    <row r="103" spans="1:8" ht="14.25" customHeight="1" x14ac:dyDescent="0.35">
      <c r="A103" s="10"/>
      <c r="B103" s="10"/>
      <c r="C103" s="10"/>
      <c r="D103" s="10"/>
      <c r="E103" s="10"/>
      <c r="F103" s="10"/>
      <c r="G103" s="10"/>
      <c r="H103" s="10"/>
    </row>
    <row r="104" spans="1:8" ht="14.25" customHeight="1" x14ac:dyDescent="0.35">
      <c r="A104" s="10"/>
      <c r="B104" s="10"/>
      <c r="C104" s="10"/>
      <c r="D104" s="10"/>
      <c r="E104" s="10"/>
      <c r="F104" s="10"/>
      <c r="G104" s="10"/>
      <c r="H104" s="10"/>
    </row>
    <row r="105" spans="1:8" ht="14.25" customHeight="1" x14ac:dyDescent="0.35">
      <c r="A105" s="10"/>
      <c r="B105" s="10"/>
      <c r="C105" s="10"/>
      <c r="D105" s="10"/>
      <c r="E105" s="10"/>
      <c r="F105" s="10"/>
      <c r="G105" s="10"/>
      <c r="H105" s="10"/>
    </row>
    <row r="106" spans="1:8" ht="14.25" customHeight="1" x14ac:dyDescent="0.35">
      <c r="A106" s="10"/>
      <c r="B106" s="10"/>
      <c r="C106" s="10"/>
      <c r="D106" s="10"/>
      <c r="E106" s="10"/>
      <c r="F106" s="10"/>
      <c r="G106" s="10"/>
      <c r="H106" s="10"/>
    </row>
    <row r="107" spans="1:8" ht="14.25" customHeight="1" x14ac:dyDescent="0.35">
      <c r="A107" s="10"/>
      <c r="B107" s="10"/>
      <c r="C107" s="10"/>
      <c r="D107" s="10"/>
      <c r="E107" s="10"/>
      <c r="F107" s="10"/>
      <c r="G107" s="10"/>
      <c r="H107" s="10"/>
    </row>
    <row r="108" spans="1:8" ht="14.25" customHeight="1" x14ac:dyDescent="0.35">
      <c r="A108" s="10"/>
      <c r="B108" s="10"/>
      <c r="C108" s="10"/>
      <c r="D108" s="10"/>
      <c r="E108" s="10"/>
      <c r="F108" s="10"/>
      <c r="G108" s="10"/>
      <c r="H108" s="10"/>
    </row>
    <row r="109" spans="1:8" ht="14.25" customHeight="1" x14ac:dyDescent="0.35">
      <c r="A109" s="10"/>
      <c r="B109" s="10"/>
      <c r="C109" s="10"/>
      <c r="D109" s="10"/>
      <c r="E109" s="10"/>
      <c r="F109" s="10"/>
      <c r="G109" s="10"/>
      <c r="H109" s="10"/>
    </row>
    <row r="110" spans="1:8" ht="14.25" customHeight="1" x14ac:dyDescent="0.35">
      <c r="A110" s="10"/>
      <c r="B110" s="10"/>
      <c r="C110" s="10"/>
      <c r="D110" s="10"/>
      <c r="E110" s="10"/>
      <c r="F110" s="10"/>
      <c r="G110" s="10"/>
      <c r="H110" s="10"/>
    </row>
    <row r="111" spans="1:8" ht="14.25" customHeight="1" x14ac:dyDescent="0.35">
      <c r="A111" s="10"/>
      <c r="B111" s="10"/>
      <c r="C111" s="10"/>
      <c r="D111" s="10"/>
      <c r="E111" s="10"/>
      <c r="F111" s="10"/>
      <c r="G111" s="10"/>
      <c r="H111" s="10"/>
    </row>
    <row r="112" spans="1:8" ht="14.25" customHeight="1" x14ac:dyDescent="0.35">
      <c r="A112" s="10"/>
      <c r="B112" s="10"/>
      <c r="C112" s="10"/>
      <c r="D112" s="10"/>
      <c r="E112" s="10"/>
      <c r="F112" s="10"/>
      <c r="G112" s="10"/>
      <c r="H112" s="10"/>
    </row>
    <row r="113" spans="1:8" ht="14.25" customHeight="1" x14ac:dyDescent="0.35">
      <c r="A113" s="10"/>
      <c r="B113" s="10"/>
      <c r="C113" s="10"/>
      <c r="D113" s="10"/>
      <c r="E113" s="10"/>
      <c r="F113" s="10"/>
      <c r="G113" s="10"/>
      <c r="H113" s="10"/>
    </row>
    <row r="114" spans="1:8" ht="14.25" customHeight="1" x14ac:dyDescent="0.35">
      <c r="A114" s="10"/>
      <c r="B114" s="10"/>
      <c r="C114" s="10"/>
      <c r="D114" s="10"/>
      <c r="E114" s="10"/>
      <c r="F114" s="10"/>
      <c r="G114" s="10"/>
      <c r="H114" s="10"/>
    </row>
    <row r="115" spans="1:8" ht="14.25" customHeight="1" x14ac:dyDescent="0.35">
      <c r="A115" s="10"/>
      <c r="B115" s="10"/>
      <c r="C115" s="10"/>
      <c r="D115" s="10"/>
      <c r="E115" s="10"/>
      <c r="F115" s="10"/>
      <c r="G115" s="10"/>
      <c r="H115" s="10"/>
    </row>
    <row r="116" spans="1:8" ht="14.25" customHeight="1" x14ac:dyDescent="0.35">
      <c r="A116" s="10"/>
      <c r="B116" s="10"/>
      <c r="C116" s="10"/>
      <c r="D116" s="10"/>
      <c r="E116" s="10"/>
      <c r="F116" s="10"/>
      <c r="G116" s="10"/>
      <c r="H116" s="10"/>
    </row>
    <row r="117" spans="1:8" ht="14.25" customHeight="1" x14ac:dyDescent="0.35">
      <c r="A117" s="10"/>
      <c r="B117" s="10"/>
      <c r="C117" s="10"/>
      <c r="D117" s="10"/>
      <c r="E117" s="10"/>
      <c r="F117" s="10"/>
      <c r="G117" s="10"/>
      <c r="H117" s="10"/>
    </row>
    <row r="118" spans="1:8" ht="14.25" customHeight="1" x14ac:dyDescent="0.35">
      <c r="A118" s="10"/>
      <c r="B118" s="10"/>
      <c r="C118" s="10"/>
      <c r="D118" s="10"/>
      <c r="E118" s="10"/>
      <c r="F118" s="10"/>
      <c r="G118" s="10"/>
      <c r="H118" s="10"/>
    </row>
    <row r="119" spans="1:8" ht="14.25" customHeight="1" x14ac:dyDescent="0.35">
      <c r="A119" s="10"/>
      <c r="B119" s="10"/>
      <c r="C119" s="10"/>
      <c r="D119" s="10"/>
      <c r="E119" s="10"/>
      <c r="F119" s="10"/>
      <c r="G119" s="10"/>
      <c r="H119" s="10"/>
    </row>
    <row r="120" spans="1:8" ht="14.25" customHeight="1" x14ac:dyDescent="0.35">
      <c r="A120" s="10"/>
      <c r="B120" s="10"/>
      <c r="C120" s="10"/>
      <c r="D120" s="10"/>
      <c r="E120" s="10"/>
      <c r="F120" s="10"/>
      <c r="G120" s="10"/>
      <c r="H120" s="10"/>
    </row>
    <row r="121" spans="1:8" ht="14.25" customHeight="1" x14ac:dyDescent="0.35">
      <c r="A121" s="10"/>
      <c r="B121" s="10"/>
      <c r="C121" s="10"/>
      <c r="D121" s="10"/>
      <c r="E121" s="10"/>
      <c r="F121" s="10"/>
      <c r="G121" s="10"/>
      <c r="H121" s="10"/>
    </row>
    <row r="122" spans="1:8" ht="14.25" customHeight="1" x14ac:dyDescent="0.35">
      <c r="A122" s="10"/>
      <c r="B122" s="10"/>
      <c r="C122" s="10"/>
      <c r="D122" s="10"/>
      <c r="E122" s="10"/>
      <c r="F122" s="10"/>
      <c r="G122" s="10"/>
      <c r="H122" s="10"/>
    </row>
    <row r="123" spans="1:8" ht="14.25" customHeight="1" x14ac:dyDescent="0.35">
      <c r="A123" s="10"/>
      <c r="B123" s="10"/>
      <c r="C123" s="10"/>
      <c r="D123" s="10"/>
      <c r="E123" s="10"/>
      <c r="F123" s="10"/>
      <c r="G123" s="10"/>
      <c r="H123" s="10"/>
    </row>
    <row r="124" spans="1:8" ht="14.25" customHeight="1" x14ac:dyDescent="0.35">
      <c r="A124" s="10"/>
      <c r="B124" s="10"/>
      <c r="C124" s="10"/>
      <c r="D124" s="10"/>
      <c r="E124" s="10"/>
      <c r="F124" s="10"/>
      <c r="G124" s="10"/>
      <c r="H124" s="10"/>
    </row>
    <row r="125" spans="1:8" ht="14.25" customHeight="1" x14ac:dyDescent="0.35">
      <c r="A125" s="10"/>
      <c r="B125" s="10"/>
      <c r="C125" s="10"/>
      <c r="D125" s="10"/>
      <c r="E125" s="10"/>
      <c r="F125" s="10"/>
      <c r="G125" s="10"/>
      <c r="H125" s="10"/>
    </row>
    <row r="126" spans="1:8" ht="14.25" customHeight="1" x14ac:dyDescent="0.35">
      <c r="A126" s="10"/>
      <c r="B126" s="10"/>
      <c r="C126" s="10"/>
      <c r="D126" s="10"/>
      <c r="E126" s="10"/>
      <c r="F126" s="10"/>
      <c r="G126" s="10"/>
      <c r="H126" s="10"/>
    </row>
    <row r="127" spans="1:8" ht="14.25" customHeight="1" x14ac:dyDescent="0.35">
      <c r="A127" s="10"/>
      <c r="B127" s="10"/>
      <c r="C127" s="10"/>
      <c r="D127" s="10"/>
      <c r="E127" s="10"/>
      <c r="F127" s="10"/>
      <c r="G127" s="10"/>
      <c r="H127" s="10"/>
    </row>
    <row r="128" spans="1:8" ht="14.25" customHeight="1" x14ac:dyDescent="0.35">
      <c r="A128" s="10"/>
      <c r="B128" s="10"/>
      <c r="C128" s="10"/>
      <c r="D128" s="10"/>
      <c r="E128" s="10"/>
      <c r="F128" s="10"/>
      <c r="G128" s="10"/>
      <c r="H128" s="10"/>
    </row>
    <row r="129" spans="1:8" ht="14.25" customHeight="1" x14ac:dyDescent="0.35">
      <c r="A129" s="10"/>
      <c r="B129" s="10"/>
      <c r="C129" s="10"/>
      <c r="D129" s="10"/>
      <c r="E129" s="10"/>
      <c r="F129" s="10"/>
      <c r="G129" s="10"/>
      <c r="H129" s="10"/>
    </row>
    <row r="130" spans="1:8" ht="14.25" customHeight="1" x14ac:dyDescent="0.35">
      <c r="A130" s="10"/>
      <c r="B130" s="10"/>
      <c r="C130" s="10"/>
      <c r="D130" s="10"/>
      <c r="E130" s="10"/>
      <c r="F130" s="10"/>
      <c r="G130" s="10"/>
      <c r="H130" s="10"/>
    </row>
    <row r="131" spans="1:8" ht="14.25" customHeight="1" x14ac:dyDescent="0.35">
      <c r="A131" s="10"/>
      <c r="B131" s="10"/>
      <c r="C131" s="10"/>
      <c r="D131" s="10"/>
      <c r="E131" s="10"/>
      <c r="F131" s="10"/>
      <c r="G131" s="10"/>
      <c r="H131" s="10"/>
    </row>
    <row r="132" spans="1:8" ht="14.25" customHeight="1" x14ac:dyDescent="0.35">
      <c r="A132" s="10"/>
      <c r="B132" s="10"/>
      <c r="C132" s="10"/>
      <c r="D132" s="10"/>
      <c r="E132" s="10"/>
      <c r="F132" s="10"/>
      <c r="G132" s="10"/>
      <c r="H132" s="10"/>
    </row>
    <row r="133" spans="1:8" ht="14.25" customHeight="1" x14ac:dyDescent="0.35">
      <c r="A133" s="10"/>
      <c r="B133" s="10"/>
      <c r="C133" s="10"/>
      <c r="D133" s="10"/>
      <c r="E133" s="10"/>
      <c r="F133" s="10"/>
      <c r="G133" s="10"/>
      <c r="H133" s="10"/>
    </row>
    <row r="134" spans="1:8" ht="14.25" customHeight="1" x14ac:dyDescent="0.35">
      <c r="A134" s="10"/>
      <c r="B134" s="10"/>
      <c r="C134" s="10"/>
      <c r="D134" s="10"/>
      <c r="E134" s="10"/>
      <c r="F134" s="10"/>
      <c r="G134" s="10"/>
      <c r="H134" s="10"/>
    </row>
    <row r="135" spans="1:8" ht="14.25" customHeight="1" x14ac:dyDescent="0.35">
      <c r="A135" s="10"/>
      <c r="B135" s="10"/>
      <c r="C135" s="10"/>
      <c r="D135" s="10"/>
      <c r="E135" s="10"/>
      <c r="F135" s="10"/>
      <c r="G135" s="10"/>
      <c r="H135" s="10"/>
    </row>
    <row r="136" spans="1:8" ht="14.25" customHeight="1" x14ac:dyDescent="0.35">
      <c r="A136" s="10"/>
      <c r="B136" s="10"/>
      <c r="C136" s="10"/>
      <c r="D136" s="10"/>
      <c r="E136" s="10"/>
      <c r="F136" s="10"/>
      <c r="G136" s="10"/>
      <c r="H136" s="10"/>
    </row>
    <row r="137" spans="1:8" ht="14.25" customHeight="1" x14ac:dyDescent="0.35">
      <c r="A137" s="10"/>
      <c r="B137" s="10"/>
      <c r="C137" s="10"/>
      <c r="D137" s="10"/>
      <c r="E137" s="10"/>
      <c r="F137" s="10"/>
      <c r="G137" s="10"/>
      <c r="H137" s="10"/>
    </row>
    <row r="138" spans="1:8" ht="14.25" customHeight="1" x14ac:dyDescent="0.35">
      <c r="A138" s="10"/>
      <c r="B138" s="10"/>
      <c r="C138" s="10"/>
      <c r="D138" s="10"/>
      <c r="E138" s="10"/>
      <c r="F138" s="10"/>
      <c r="G138" s="10"/>
      <c r="H138" s="10"/>
    </row>
    <row r="139" spans="1:8" ht="14.25" customHeight="1" x14ac:dyDescent="0.35">
      <c r="A139" s="10"/>
      <c r="B139" s="10"/>
      <c r="C139" s="10"/>
      <c r="D139" s="10"/>
      <c r="E139" s="10"/>
      <c r="F139" s="10"/>
      <c r="G139" s="10"/>
      <c r="H139" s="10"/>
    </row>
    <row r="140" spans="1:8" ht="14.25" customHeight="1" x14ac:dyDescent="0.35">
      <c r="A140" s="10"/>
      <c r="B140" s="10"/>
      <c r="C140" s="10"/>
      <c r="D140" s="10"/>
      <c r="E140" s="10"/>
      <c r="F140" s="10"/>
      <c r="G140" s="10"/>
      <c r="H140" s="10"/>
    </row>
    <row r="141" spans="1:8" ht="14.25" customHeight="1" x14ac:dyDescent="0.35">
      <c r="A141" s="10"/>
      <c r="B141" s="10"/>
      <c r="C141" s="10"/>
      <c r="D141" s="10"/>
      <c r="E141" s="10"/>
      <c r="F141" s="10"/>
      <c r="G141" s="10"/>
      <c r="H141" s="10"/>
    </row>
    <row r="142" spans="1:8" ht="14.25" customHeight="1" x14ac:dyDescent="0.35">
      <c r="A142" s="10"/>
      <c r="B142" s="10"/>
      <c r="C142" s="10"/>
      <c r="D142" s="10"/>
      <c r="E142" s="10"/>
      <c r="F142" s="10"/>
      <c r="G142" s="10"/>
      <c r="H142" s="10"/>
    </row>
    <row r="143" spans="1:8" ht="14.25" customHeight="1" x14ac:dyDescent="0.35">
      <c r="A143" s="10"/>
      <c r="B143" s="10"/>
      <c r="C143" s="10"/>
      <c r="D143" s="10"/>
      <c r="E143" s="10"/>
      <c r="F143" s="10"/>
      <c r="G143" s="10"/>
      <c r="H143" s="10"/>
    </row>
    <row r="144" spans="1:8" ht="14.25" customHeight="1" x14ac:dyDescent="0.35">
      <c r="A144" s="10"/>
      <c r="B144" s="10"/>
      <c r="C144" s="10"/>
      <c r="D144" s="10"/>
      <c r="E144" s="10"/>
      <c r="F144" s="10"/>
      <c r="G144" s="10"/>
      <c r="H144" s="10"/>
    </row>
    <row r="145" spans="1:8" ht="14.25" customHeight="1" x14ac:dyDescent="0.35">
      <c r="A145" s="10"/>
      <c r="B145" s="10"/>
      <c r="C145" s="10"/>
      <c r="D145" s="10"/>
      <c r="E145" s="10"/>
      <c r="F145" s="10"/>
      <c r="G145" s="10"/>
      <c r="H145" s="10"/>
    </row>
    <row r="146" spans="1:8" ht="14.25" customHeight="1" x14ac:dyDescent="0.35">
      <c r="A146" s="10"/>
      <c r="B146" s="10"/>
      <c r="C146" s="10"/>
      <c r="D146" s="10"/>
      <c r="E146" s="10"/>
      <c r="F146" s="10"/>
      <c r="G146" s="10"/>
      <c r="H146" s="10"/>
    </row>
    <row r="147" spans="1:8" ht="14.25" customHeight="1" x14ac:dyDescent="0.35">
      <c r="A147" s="10"/>
      <c r="B147" s="10"/>
      <c r="C147" s="10"/>
      <c r="D147" s="10"/>
      <c r="E147" s="10"/>
      <c r="F147" s="10"/>
      <c r="G147" s="10"/>
      <c r="H147" s="10"/>
    </row>
    <row r="148" spans="1:8" ht="14.25" customHeight="1" x14ac:dyDescent="0.35">
      <c r="A148" s="10"/>
      <c r="B148" s="10"/>
      <c r="C148" s="10"/>
      <c r="D148" s="10"/>
      <c r="E148" s="10"/>
      <c r="F148" s="10"/>
      <c r="G148" s="10"/>
      <c r="H148" s="10"/>
    </row>
    <row r="149" spans="1:8" ht="14.25" customHeight="1" x14ac:dyDescent="0.35">
      <c r="A149" s="10"/>
      <c r="B149" s="10"/>
      <c r="C149" s="10"/>
      <c r="D149" s="10"/>
      <c r="E149" s="10"/>
      <c r="F149" s="10"/>
      <c r="G149" s="10"/>
      <c r="H149" s="10"/>
    </row>
    <row r="150" spans="1:8" ht="14.25" customHeight="1" x14ac:dyDescent="0.35">
      <c r="A150" s="10"/>
      <c r="B150" s="10"/>
      <c r="C150" s="10"/>
      <c r="D150" s="10"/>
      <c r="E150" s="10"/>
      <c r="F150" s="10"/>
      <c r="G150" s="10"/>
      <c r="H150" s="10"/>
    </row>
    <row r="151" spans="1:8" ht="14.25" customHeight="1" x14ac:dyDescent="0.35">
      <c r="A151" s="10"/>
      <c r="B151" s="10"/>
      <c r="C151" s="10"/>
      <c r="D151" s="10"/>
      <c r="E151" s="10"/>
      <c r="F151" s="10"/>
      <c r="G151" s="10"/>
      <c r="H151" s="10"/>
    </row>
    <row r="152" spans="1:8" ht="14.25" customHeight="1" x14ac:dyDescent="0.35">
      <c r="A152" s="10"/>
      <c r="B152" s="10"/>
      <c r="C152" s="10"/>
      <c r="D152" s="10"/>
      <c r="E152" s="10"/>
      <c r="F152" s="10"/>
      <c r="G152" s="10"/>
      <c r="H152" s="10"/>
    </row>
    <row r="153" spans="1:8" ht="14.25" customHeight="1" x14ac:dyDescent="0.35">
      <c r="A153" s="10"/>
      <c r="B153" s="10"/>
      <c r="C153" s="10"/>
      <c r="D153" s="10"/>
      <c r="E153" s="10"/>
      <c r="F153" s="10"/>
      <c r="G153" s="10"/>
      <c r="H153" s="10"/>
    </row>
    <row r="154" spans="1:8" ht="14.25" customHeight="1" x14ac:dyDescent="0.35">
      <c r="A154" s="10"/>
      <c r="B154" s="10"/>
      <c r="C154" s="10"/>
      <c r="D154" s="10"/>
      <c r="E154" s="10"/>
      <c r="F154" s="10"/>
      <c r="G154" s="10"/>
      <c r="H154" s="10"/>
    </row>
    <row r="155" spans="1:8" ht="14.25" customHeight="1" x14ac:dyDescent="0.35">
      <c r="A155" s="10"/>
      <c r="B155" s="10"/>
      <c r="C155" s="10"/>
      <c r="D155" s="10"/>
      <c r="E155" s="10"/>
      <c r="F155" s="10"/>
      <c r="G155" s="10"/>
      <c r="H155" s="10"/>
    </row>
    <row r="156" spans="1:8" ht="14.25" customHeight="1" x14ac:dyDescent="0.35">
      <c r="A156" s="10"/>
      <c r="B156" s="10"/>
      <c r="C156" s="10"/>
      <c r="D156" s="10"/>
      <c r="E156" s="10"/>
      <c r="F156" s="10"/>
      <c r="G156" s="10"/>
      <c r="H156" s="10"/>
    </row>
    <row r="157" spans="1:8" ht="14.25" customHeight="1" x14ac:dyDescent="0.35">
      <c r="A157" s="10"/>
      <c r="B157" s="10"/>
      <c r="C157" s="10"/>
      <c r="D157" s="10"/>
      <c r="E157" s="10"/>
      <c r="F157" s="10"/>
      <c r="G157" s="10"/>
      <c r="H157" s="10"/>
    </row>
    <row r="158" spans="1:8" ht="14.25" customHeight="1" x14ac:dyDescent="0.35">
      <c r="A158" s="10"/>
      <c r="B158" s="10"/>
      <c r="C158" s="10"/>
      <c r="D158" s="10"/>
      <c r="E158" s="10"/>
      <c r="F158" s="10"/>
      <c r="G158" s="10"/>
      <c r="H158" s="10"/>
    </row>
    <row r="159" spans="1:8" ht="14.25" customHeight="1" x14ac:dyDescent="0.35">
      <c r="A159" s="10"/>
      <c r="B159" s="10"/>
      <c r="C159" s="10"/>
      <c r="D159" s="10"/>
      <c r="E159" s="10"/>
      <c r="F159" s="10"/>
      <c r="G159" s="10"/>
      <c r="H159" s="10"/>
    </row>
    <row r="160" spans="1:8" ht="14.25" customHeight="1" x14ac:dyDescent="0.35">
      <c r="A160" s="10"/>
      <c r="B160" s="10"/>
      <c r="C160" s="10"/>
      <c r="D160" s="10"/>
      <c r="E160" s="10"/>
      <c r="F160" s="10"/>
      <c r="G160" s="10"/>
      <c r="H160" s="10"/>
    </row>
    <row r="161" spans="1:8" ht="14.25" customHeight="1" x14ac:dyDescent="0.35">
      <c r="A161" s="10"/>
      <c r="B161" s="10"/>
      <c r="C161" s="10"/>
      <c r="D161" s="10"/>
      <c r="E161" s="10"/>
      <c r="F161" s="10"/>
      <c r="G161" s="10"/>
      <c r="H161" s="10"/>
    </row>
    <row r="162" spans="1:8" ht="14.25" customHeight="1" x14ac:dyDescent="0.35">
      <c r="A162" s="10"/>
      <c r="B162" s="10"/>
      <c r="C162" s="10"/>
      <c r="D162" s="10"/>
      <c r="E162" s="10"/>
      <c r="F162" s="10"/>
      <c r="G162" s="10"/>
      <c r="H162" s="10"/>
    </row>
    <row r="163" spans="1:8" ht="14.25" customHeight="1" x14ac:dyDescent="0.35">
      <c r="A163" s="10"/>
      <c r="B163" s="10"/>
      <c r="C163" s="10"/>
      <c r="D163" s="10"/>
      <c r="E163" s="10"/>
      <c r="F163" s="10"/>
      <c r="G163" s="10"/>
      <c r="H163" s="10"/>
    </row>
    <row r="164" spans="1:8" ht="14.25" customHeight="1" x14ac:dyDescent="0.35">
      <c r="A164" s="10"/>
      <c r="B164" s="10"/>
      <c r="C164" s="10"/>
      <c r="D164" s="10"/>
      <c r="E164" s="10"/>
      <c r="F164" s="10"/>
      <c r="G164" s="10"/>
      <c r="H164" s="10"/>
    </row>
    <row r="165" spans="1:8" ht="14.25" customHeight="1" x14ac:dyDescent="0.35">
      <c r="A165" s="10"/>
      <c r="B165" s="10"/>
      <c r="C165" s="10"/>
      <c r="D165" s="10"/>
      <c r="E165" s="10"/>
      <c r="F165" s="10"/>
      <c r="G165" s="10"/>
      <c r="H165" s="10"/>
    </row>
    <row r="166" spans="1:8" ht="14.25" customHeight="1" x14ac:dyDescent="0.35">
      <c r="A166" s="10"/>
      <c r="B166" s="10"/>
      <c r="C166" s="10"/>
      <c r="D166" s="10"/>
      <c r="E166" s="10"/>
      <c r="F166" s="10"/>
      <c r="G166" s="10"/>
      <c r="H166" s="10"/>
    </row>
    <row r="167" spans="1:8" ht="14.25" customHeight="1" x14ac:dyDescent="0.35">
      <c r="A167" s="10"/>
      <c r="B167" s="10"/>
      <c r="C167" s="10"/>
      <c r="D167" s="10"/>
      <c r="E167" s="10"/>
      <c r="F167" s="10"/>
      <c r="G167" s="10"/>
      <c r="H167" s="10"/>
    </row>
    <row r="168" spans="1:8" ht="14.25" customHeight="1" x14ac:dyDescent="0.35">
      <c r="A168" s="10"/>
      <c r="B168" s="10"/>
      <c r="C168" s="10"/>
      <c r="D168" s="10"/>
      <c r="E168" s="10"/>
      <c r="F168" s="10"/>
      <c r="G168" s="10"/>
      <c r="H168" s="10"/>
    </row>
    <row r="169" spans="1:8" ht="14.25" customHeight="1" x14ac:dyDescent="0.35">
      <c r="A169" s="10"/>
      <c r="B169" s="10"/>
      <c r="C169" s="10"/>
      <c r="D169" s="10"/>
      <c r="E169" s="10"/>
      <c r="F169" s="10"/>
      <c r="G169" s="10"/>
      <c r="H169" s="10"/>
    </row>
    <row r="170" spans="1:8" ht="14.25" customHeight="1" x14ac:dyDescent="0.35">
      <c r="A170" s="10"/>
      <c r="B170" s="10"/>
      <c r="C170" s="10"/>
      <c r="D170" s="10"/>
      <c r="E170" s="10"/>
      <c r="F170" s="10"/>
      <c r="G170" s="10"/>
      <c r="H170" s="10"/>
    </row>
    <row r="171" spans="1:8" ht="14.25" customHeight="1" x14ac:dyDescent="0.35">
      <c r="A171" s="10"/>
      <c r="B171" s="10"/>
      <c r="C171" s="10"/>
      <c r="D171" s="10"/>
      <c r="E171" s="10"/>
      <c r="F171" s="10"/>
      <c r="G171" s="10"/>
      <c r="H171" s="10"/>
    </row>
    <row r="172" spans="1:8" ht="14.25" customHeight="1" x14ac:dyDescent="0.35">
      <c r="A172" s="10"/>
      <c r="B172" s="10"/>
      <c r="C172" s="10"/>
      <c r="D172" s="10"/>
      <c r="E172" s="10"/>
      <c r="F172" s="10"/>
      <c r="G172" s="10"/>
      <c r="H172" s="10"/>
    </row>
    <row r="173" spans="1:8" ht="14.25" customHeight="1" x14ac:dyDescent="0.35">
      <c r="A173" s="10"/>
      <c r="B173" s="10"/>
      <c r="C173" s="10"/>
      <c r="D173" s="10"/>
      <c r="E173" s="10"/>
      <c r="F173" s="10"/>
      <c r="G173" s="10"/>
      <c r="H173" s="10"/>
    </row>
    <row r="174" spans="1:8" ht="14.25" customHeight="1" x14ac:dyDescent="0.35">
      <c r="A174" s="10"/>
      <c r="B174" s="10"/>
      <c r="C174" s="10"/>
      <c r="D174" s="10"/>
      <c r="E174" s="10"/>
      <c r="F174" s="10"/>
      <c r="G174" s="10"/>
      <c r="H174" s="10"/>
    </row>
    <row r="175" spans="1:8" ht="14.25" customHeight="1" x14ac:dyDescent="0.35">
      <c r="A175" s="10"/>
      <c r="B175" s="10"/>
      <c r="C175" s="10"/>
      <c r="D175" s="10"/>
      <c r="E175" s="10"/>
      <c r="F175" s="10"/>
      <c r="G175" s="10"/>
      <c r="H175" s="10"/>
    </row>
    <row r="176" spans="1:8" ht="14.25" customHeight="1" x14ac:dyDescent="0.35">
      <c r="A176" s="10"/>
      <c r="B176" s="10"/>
      <c r="C176" s="10"/>
      <c r="D176" s="10"/>
      <c r="E176" s="10"/>
      <c r="F176" s="10"/>
      <c r="G176" s="10"/>
      <c r="H176" s="10"/>
    </row>
    <row r="177" spans="1:8" ht="14.25" customHeight="1" x14ac:dyDescent="0.35">
      <c r="A177" s="10"/>
      <c r="B177" s="10"/>
      <c r="C177" s="10"/>
      <c r="D177" s="10"/>
      <c r="E177" s="10"/>
      <c r="F177" s="10"/>
      <c r="G177" s="10"/>
      <c r="H177" s="10"/>
    </row>
    <row r="178" spans="1:8" ht="14.25" customHeight="1" x14ac:dyDescent="0.35">
      <c r="A178" s="10"/>
      <c r="B178" s="10"/>
      <c r="C178" s="10"/>
      <c r="D178" s="10"/>
      <c r="E178" s="10"/>
      <c r="F178" s="10"/>
      <c r="G178" s="10"/>
      <c r="H178" s="10"/>
    </row>
    <row r="179" spans="1:8" ht="14.25" customHeight="1" x14ac:dyDescent="0.35">
      <c r="A179" s="10"/>
      <c r="B179" s="10"/>
      <c r="C179" s="10"/>
      <c r="D179" s="10"/>
      <c r="E179" s="10"/>
      <c r="F179" s="10"/>
      <c r="G179" s="10"/>
      <c r="H179" s="10"/>
    </row>
    <row r="180" spans="1:8" ht="14.25" customHeight="1" x14ac:dyDescent="0.35">
      <c r="A180" s="10"/>
      <c r="B180" s="10"/>
      <c r="C180" s="10"/>
      <c r="D180" s="10"/>
      <c r="E180" s="10"/>
      <c r="F180" s="10"/>
      <c r="G180" s="10"/>
      <c r="H180" s="10"/>
    </row>
    <row r="181" spans="1:8" ht="14.25" customHeight="1" x14ac:dyDescent="0.35">
      <c r="A181" s="10"/>
      <c r="B181" s="10"/>
      <c r="C181" s="10"/>
      <c r="D181" s="10"/>
      <c r="E181" s="10"/>
      <c r="F181" s="10"/>
      <c r="G181" s="10"/>
      <c r="H181" s="10"/>
    </row>
    <row r="182" spans="1:8" ht="14.25" customHeight="1" x14ac:dyDescent="0.35">
      <c r="A182" s="10"/>
      <c r="B182" s="10"/>
      <c r="C182" s="10"/>
      <c r="D182" s="10"/>
      <c r="E182" s="10"/>
      <c r="F182" s="10"/>
      <c r="G182" s="10"/>
      <c r="H182" s="10"/>
    </row>
    <row r="183" spans="1:8" ht="14.25" customHeight="1" x14ac:dyDescent="0.35">
      <c r="A183" s="10"/>
      <c r="B183" s="10"/>
      <c r="C183" s="10"/>
      <c r="D183" s="10"/>
      <c r="E183" s="10"/>
      <c r="F183" s="10"/>
      <c r="G183" s="10"/>
      <c r="H183" s="10"/>
    </row>
    <row r="184" spans="1:8" ht="14.25" customHeight="1" x14ac:dyDescent="0.35">
      <c r="A184" s="10"/>
      <c r="B184" s="10"/>
      <c r="C184" s="10"/>
      <c r="D184" s="10"/>
      <c r="E184" s="10"/>
      <c r="F184" s="10"/>
      <c r="G184" s="10"/>
      <c r="H184" s="10"/>
    </row>
    <row r="185" spans="1:8" ht="14.25" customHeight="1" x14ac:dyDescent="0.35">
      <c r="A185" s="10"/>
      <c r="B185" s="10"/>
      <c r="C185" s="10"/>
      <c r="D185" s="10"/>
      <c r="E185" s="10"/>
      <c r="F185" s="10"/>
      <c r="G185" s="10"/>
      <c r="H185" s="10"/>
    </row>
    <row r="186" spans="1:8" ht="14.25" customHeight="1" x14ac:dyDescent="0.35">
      <c r="A186" s="10"/>
      <c r="B186" s="10"/>
      <c r="C186" s="10"/>
      <c r="D186" s="10"/>
      <c r="E186" s="10"/>
      <c r="F186" s="10"/>
      <c r="G186" s="10"/>
      <c r="H186" s="10"/>
    </row>
    <row r="187" spans="1:8" ht="14.25" customHeight="1" x14ac:dyDescent="0.35">
      <c r="A187" s="10"/>
      <c r="B187" s="10"/>
      <c r="C187" s="10"/>
      <c r="D187" s="10"/>
      <c r="E187" s="10"/>
      <c r="F187" s="10"/>
      <c r="G187" s="10"/>
      <c r="H187" s="10"/>
    </row>
    <row r="188" spans="1:8" ht="14.25" customHeight="1" x14ac:dyDescent="0.35">
      <c r="A188" s="10"/>
      <c r="B188" s="10"/>
      <c r="C188" s="10"/>
      <c r="D188" s="10"/>
      <c r="E188" s="10"/>
      <c r="F188" s="10"/>
      <c r="G188" s="10"/>
      <c r="H188" s="10"/>
    </row>
    <row r="189" spans="1:8" ht="14.25" customHeight="1" x14ac:dyDescent="0.35">
      <c r="A189" s="10"/>
      <c r="B189" s="10"/>
      <c r="C189" s="10"/>
      <c r="D189" s="10"/>
      <c r="E189" s="10"/>
      <c r="F189" s="10"/>
      <c r="G189" s="10"/>
      <c r="H189" s="10"/>
    </row>
    <row r="190" spans="1:8" ht="14.25" customHeight="1" x14ac:dyDescent="0.35">
      <c r="A190" s="10"/>
      <c r="B190" s="10"/>
      <c r="C190" s="10"/>
      <c r="D190" s="10"/>
      <c r="E190" s="10"/>
      <c r="F190" s="10"/>
      <c r="G190" s="10"/>
      <c r="H190" s="10"/>
    </row>
    <row r="191" spans="1:8" ht="14.25" customHeight="1" x14ac:dyDescent="0.35">
      <c r="A191" s="10"/>
      <c r="B191" s="10"/>
      <c r="C191" s="10"/>
      <c r="D191" s="10"/>
      <c r="E191" s="10"/>
      <c r="F191" s="10"/>
      <c r="G191" s="10"/>
      <c r="H191" s="10"/>
    </row>
    <row r="192" spans="1:8" ht="14.25" customHeight="1" x14ac:dyDescent="0.35">
      <c r="A192" s="10"/>
      <c r="B192" s="10"/>
      <c r="C192" s="10"/>
      <c r="D192" s="10"/>
      <c r="E192" s="10"/>
      <c r="F192" s="10"/>
      <c r="G192" s="10"/>
      <c r="H192" s="10"/>
    </row>
    <row r="193" spans="1:8" ht="14.25" customHeight="1" x14ac:dyDescent="0.35">
      <c r="A193" s="10"/>
      <c r="B193" s="10"/>
      <c r="C193" s="10"/>
      <c r="D193" s="10"/>
      <c r="E193" s="10"/>
      <c r="F193" s="10"/>
      <c r="G193" s="10"/>
      <c r="H193" s="10"/>
    </row>
    <row r="194" spans="1:8" ht="14.25" customHeight="1" x14ac:dyDescent="0.35">
      <c r="A194" s="10"/>
      <c r="B194" s="10"/>
      <c r="C194" s="10"/>
      <c r="D194" s="10"/>
      <c r="E194" s="10"/>
      <c r="F194" s="10"/>
      <c r="G194" s="10"/>
      <c r="H194" s="10"/>
    </row>
    <row r="195" spans="1:8" ht="14.25" customHeight="1" x14ac:dyDescent="0.35">
      <c r="A195" s="10"/>
      <c r="B195" s="10"/>
      <c r="C195" s="10"/>
      <c r="D195" s="10"/>
      <c r="E195" s="10"/>
      <c r="F195" s="10"/>
      <c r="G195" s="10"/>
      <c r="H195" s="10"/>
    </row>
    <row r="196" spans="1:8" ht="14.25" customHeight="1" x14ac:dyDescent="0.35">
      <c r="A196" s="10"/>
      <c r="B196" s="10"/>
      <c r="C196" s="10"/>
      <c r="D196" s="10"/>
      <c r="E196" s="10"/>
      <c r="F196" s="10"/>
      <c r="G196" s="10"/>
      <c r="H196" s="10"/>
    </row>
    <row r="197" spans="1:8" ht="14.25" customHeight="1" x14ac:dyDescent="0.35">
      <c r="A197" s="10"/>
      <c r="B197" s="10"/>
      <c r="C197" s="10"/>
      <c r="D197" s="10"/>
      <c r="E197" s="10"/>
      <c r="F197" s="10"/>
      <c r="G197" s="10"/>
      <c r="H197" s="10"/>
    </row>
    <row r="198" spans="1:8" ht="14.25" customHeight="1" x14ac:dyDescent="0.35">
      <c r="A198" s="10"/>
      <c r="B198" s="10"/>
      <c r="C198" s="10"/>
      <c r="D198" s="10"/>
      <c r="E198" s="10"/>
      <c r="F198" s="10"/>
      <c r="G198" s="10"/>
      <c r="H198" s="10"/>
    </row>
    <row r="199" spans="1:8" ht="14.25" customHeight="1" x14ac:dyDescent="0.35">
      <c r="A199" s="10"/>
      <c r="B199" s="10"/>
      <c r="C199" s="10"/>
      <c r="D199" s="10"/>
      <c r="E199" s="10"/>
      <c r="F199" s="10"/>
      <c r="G199" s="10"/>
      <c r="H199" s="10"/>
    </row>
    <row r="200" spans="1:8" ht="14.25" customHeight="1" x14ac:dyDescent="0.35">
      <c r="A200" s="10"/>
      <c r="B200" s="10"/>
      <c r="C200" s="10"/>
      <c r="D200" s="10"/>
      <c r="E200" s="10"/>
      <c r="F200" s="10"/>
      <c r="G200" s="10"/>
      <c r="H200" s="10"/>
    </row>
    <row r="201" spans="1:8" ht="14.25" customHeight="1" x14ac:dyDescent="0.35">
      <c r="A201" s="10"/>
      <c r="B201" s="10"/>
      <c r="C201" s="10"/>
      <c r="D201" s="10"/>
      <c r="E201" s="10"/>
      <c r="F201" s="10"/>
      <c r="G201" s="10"/>
      <c r="H201" s="10"/>
    </row>
    <row r="202" spans="1:8" ht="14.25" customHeight="1" x14ac:dyDescent="0.35">
      <c r="A202" s="10"/>
      <c r="B202" s="10"/>
      <c r="C202" s="10"/>
      <c r="D202" s="10"/>
      <c r="E202" s="10"/>
      <c r="F202" s="10"/>
      <c r="G202" s="10"/>
      <c r="H202" s="10"/>
    </row>
    <row r="203" spans="1:8" ht="14.25" customHeight="1" x14ac:dyDescent="0.35">
      <c r="A203" s="10"/>
      <c r="B203" s="10"/>
      <c r="C203" s="10"/>
      <c r="D203" s="10"/>
      <c r="E203" s="10"/>
      <c r="F203" s="10"/>
      <c r="G203" s="10"/>
      <c r="H203" s="10"/>
    </row>
    <row r="204" spans="1:8" ht="14.25" customHeight="1" x14ac:dyDescent="0.35">
      <c r="A204" s="10"/>
      <c r="B204" s="10"/>
      <c r="C204" s="10"/>
      <c r="D204" s="10"/>
      <c r="E204" s="10"/>
      <c r="F204" s="10"/>
      <c r="G204" s="10"/>
      <c r="H204" s="10"/>
    </row>
    <row r="205" spans="1:8" ht="14.25" customHeight="1" x14ac:dyDescent="0.35">
      <c r="A205" s="10"/>
      <c r="B205" s="10"/>
      <c r="C205" s="10"/>
      <c r="D205" s="10"/>
      <c r="E205" s="10"/>
      <c r="F205" s="10"/>
      <c r="G205" s="10"/>
      <c r="H205" s="10"/>
    </row>
    <row r="206" spans="1:8" ht="14.25" customHeight="1" x14ac:dyDescent="0.35">
      <c r="A206" s="10"/>
      <c r="B206" s="10"/>
      <c r="C206" s="10"/>
      <c r="D206" s="10"/>
      <c r="E206" s="10"/>
      <c r="F206" s="10"/>
      <c r="G206" s="10"/>
      <c r="H206" s="10"/>
    </row>
    <row r="207" spans="1:8" ht="14.25" customHeight="1" x14ac:dyDescent="0.35">
      <c r="A207" s="10"/>
      <c r="B207" s="10"/>
      <c r="C207" s="10"/>
      <c r="D207" s="10"/>
      <c r="E207" s="10"/>
      <c r="F207" s="10"/>
      <c r="G207" s="10"/>
      <c r="H207" s="10"/>
    </row>
    <row r="208" spans="1:8" ht="14.25" customHeight="1" x14ac:dyDescent="0.35">
      <c r="A208" s="10"/>
      <c r="B208" s="10"/>
      <c r="C208" s="10"/>
      <c r="D208" s="10"/>
      <c r="E208" s="10"/>
      <c r="F208" s="10"/>
      <c r="G208" s="10"/>
      <c r="H208" s="10"/>
    </row>
    <row r="209" spans="1:8" ht="14.25" customHeight="1" x14ac:dyDescent="0.35">
      <c r="A209" s="10"/>
      <c r="B209" s="10"/>
      <c r="C209" s="10"/>
      <c r="D209" s="10"/>
      <c r="E209" s="10"/>
      <c r="F209" s="10"/>
      <c r="G209" s="10"/>
      <c r="H209" s="10"/>
    </row>
    <row r="210" spans="1:8" ht="14.25" customHeight="1" x14ac:dyDescent="0.35">
      <c r="A210" s="10"/>
      <c r="B210" s="10"/>
      <c r="C210" s="10"/>
      <c r="D210" s="10"/>
      <c r="E210" s="10"/>
      <c r="F210" s="10"/>
      <c r="G210" s="10"/>
      <c r="H210" s="10"/>
    </row>
    <row r="211" spans="1:8" ht="14.25" customHeight="1" x14ac:dyDescent="0.35">
      <c r="A211" s="10"/>
      <c r="B211" s="10"/>
      <c r="C211" s="10"/>
      <c r="D211" s="10"/>
      <c r="E211" s="10"/>
      <c r="F211" s="10"/>
      <c r="G211" s="10"/>
      <c r="H211" s="10"/>
    </row>
    <row r="212" spans="1:8" ht="14.25" customHeight="1" x14ac:dyDescent="0.35">
      <c r="A212" s="10"/>
      <c r="B212" s="10"/>
      <c r="C212" s="10"/>
      <c r="D212" s="10"/>
      <c r="E212" s="10"/>
      <c r="F212" s="10"/>
      <c r="G212" s="10"/>
      <c r="H212" s="10"/>
    </row>
    <row r="213" spans="1:8" ht="14.25" customHeight="1" x14ac:dyDescent="0.35">
      <c r="A213" s="10"/>
      <c r="B213" s="10"/>
      <c r="C213" s="10"/>
      <c r="D213" s="10"/>
      <c r="E213" s="10"/>
      <c r="F213" s="10"/>
      <c r="G213" s="10"/>
      <c r="H213" s="10"/>
    </row>
    <row r="214" spans="1:8" ht="14.25" customHeight="1" x14ac:dyDescent="0.35">
      <c r="A214" s="10"/>
      <c r="B214" s="10"/>
      <c r="C214" s="10"/>
      <c r="D214" s="10"/>
      <c r="E214" s="10"/>
      <c r="F214" s="10"/>
      <c r="G214" s="10"/>
      <c r="H214" s="10"/>
    </row>
    <row r="215" spans="1:8" ht="14.25" customHeight="1" x14ac:dyDescent="0.35">
      <c r="A215" s="10"/>
      <c r="B215" s="10"/>
      <c r="C215" s="10"/>
      <c r="D215" s="10"/>
      <c r="E215" s="10"/>
      <c r="F215" s="10"/>
      <c r="G215" s="10"/>
      <c r="H215" s="10"/>
    </row>
    <row r="216" spans="1:8" ht="14.25" customHeight="1" x14ac:dyDescent="0.35">
      <c r="A216" s="10"/>
      <c r="B216" s="10"/>
      <c r="C216" s="10"/>
      <c r="D216" s="10"/>
      <c r="E216" s="10"/>
      <c r="F216" s="10"/>
      <c r="G216" s="10"/>
      <c r="H216" s="10"/>
    </row>
    <row r="217" spans="1:8" ht="14.25" customHeight="1" x14ac:dyDescent="0.35">
      <c r="A217" s="10"/>
      <c r="B217" s="10"/>
      <c r="C217" s="10"/>
      <c r="D217" s="10"/>
      <c r="E217" s="10"/>
      <c r="F217" s="10"/>
      <c r="G217" s="10"/>
      <c r="H217" s="10"/>
    </row>
    <row r="218" spans="1:8" ht="14.25" customHeight="1" x14ac:dyDescent="0.35">
      <c r="A218" s="10"/>
      <c r="B218" s="10"/>
      <c r="C218" s="10"/>
      <c r="D218" s="10"/>
      <c r="E218" s="10"/>
      <c r="F218" s="10"/>
      <c r="G218" s="10"/>
      <c r="H218" s="10"/>
    </row>
    <row r="219" spans="1:8" ht="14.25" customHeight="1" x14ac:dyDescent="0.35">
      <c r="A219" s="10"/>
      <c r="B219" s="10"/>
      <c r="C219" s="10"/>
      <c r="D219" s="10"/>
      <c r="E219" s="10"/>
      <c r="F219" s="10"/>
      <c r="G219" s="10"/>
      <c r="H219" s="10"/>
    </row>
    <row r="220" spans="1:8" ht="14.25" customHeight="1" x14ac:dyDescent="0.35">
      <c r="A220" s="10"/>
      <c r="B220" s="10"/>
      <c r="C220" s="10"/>
      <c r="D220" s="10"/>
      <c r="E220" s="10"/>
      <c r="F220" s="10"/>
      <c r="G220" s="10"/>
      <c r="H220" s="10"/>
    </row>
    <row r="221" spans="1:8" ht="14.25" customHeight="1" x14ac:dyDescent="0.35">
      <c r="A221" s="10"/>
      <c r="B221" s="10"/>
      <c r="C221" s="10"/>
      <c r="D221" s="10"/>
      <c r="E221" s="10"/>
      <c r="F221" s="10"/>
      <c r="G221" s="10"/>
      <c r="H221" s="10"/>
    </row>
    <row r="222" spans="1:8" ht="14.25" customHeight="1" x14ac:dyDescent="0.35">
      <c r="A222" s="10"/>
      <c r="B222" s="10"/>
      <c r="C222" s="10"/>
      <c r="D222" s="10"/>
      <c r="E222" s="10"/>
      <c r="F222" s="10"/>
      <c r="G222" s="10"/>
      <c r="H222" s="10"/>
    </row>
    <row r="223" spans="1:8" ht="14.25" customHeight="1" x14ac:dyDescent="0.35">
      <c r="A223" s="10"/>
      <c r="B223" s="10"/>
      <c r="C223" s="10"/>
      <c r="D223" s="10"/>
      <c r="E223" s="10"/>
      <c r="F223" s="10"/>
      <c r="G223" s="10"/>
      <c r="H223" s="10"/>
    </row>
    <row r="224" spans="1:8" ht="14.25" customHeight="1" x14ac:dyDescent="0.35">
      <c r="A224" s="10"/>
      <c r="B224" s="10"/>
      <c r="C224" s="10"/>
      <c r="D224" s="10"/>
      <c r="E224" s="10"/>
      <c r="F224" s="10"/>
      <c r="G224" s="10"/>
      <c r="H224" s="10"/>
    </row>
    <row r="225" spans="1:8" ht="14.25" customHeight="1" x14ac:dyDescent="0.35">
      <c r="A225" s="10"/>
      <c r="B225" s="10"/>
      <c r="C225" s="10"/>
      <c r="D225" s="10"/>
      <c r="E225" s="10"/>
      <c r="F225" s="10"/>
      <c r="G225" s="10"/>
      <c r="H225" s="10"/>
    </row>
    <row r="226" spans="1:8" ht="14.25" customHeight="1" x14ac:dyDescent="0.35">
      <c r="A226" s="10"/>
      <c r="B226" s="10"/>
      <c r="C226" s="10"/>
      <c r="D226" s="10"/>
      <c r="E226" s="10"/>
      <c r="F226" s="10"/>
      <c r="G226" s="10"/>
      <c r="H226" s="10"/>
    </row>
    <row r="227" spans="1:8" ht="14.25" customHeight="1" x14ac:dyDescent="0.35">
      <c r="A227" s="10"/>
      <c r="B227" s="10"/>
      <c r="C227" s="10"/>
      <c r="D227" s="10"/>
      <c r="E227" s="10"/>
      <c r="F227" s="10"/>
      <c r="G227" s="10"/>
      <c r="H227" s="10"/>
    </row>
    <row r="228" spans="1:8" ht="14.25" customHeight="1" x14ac:dyDescent="0.35">
      <c r="A228" s="10"/>
      <c r="B228" s="10"/>
      <c r="C228" s="10"/>
      <c r="D228" s="10"/>
      <c r="E228" s="10"/>
      <c r="F228" s="10"/>
      <c r="G228" s="10"/>
      <c r="H228" s="10"/>
    </row>
    <row r="229" spans="1:8" ht="14.25" customHeight="1" x14ac:dyDescent="0.35">
      <c r="A229" s="10"/>
      <c r="B229" s="10"/>
      <c r="C229" s="10"/>
      <c r="D229" s="10"/>
      <c r="E229" s="10"/>
      <c r="F229" s="10"/>
      <c r="G229" s="10"/>
      <c r="H229" s="10"/>
    </row>
    <row r="230" spans="1:8" ht="14.25" customHeight="1" x14ac:dyDescent="0.35">
      <c r="A230" s="10"/>
      <c r="B230" s="10"/>
      <c r="C230" s="10"/>
      <c r="D230" s="10"/>
      <c r="E230" s="10"/>
      <c r="F230" s="10"/>
      <c r="G230" s="10"/>
      <c r="H230" s="10"/>
    </row>
    <row r="231" spans="1:8" ht="14.25" customHeight="1" x14ac:dyDescent="0.35">
      <c r="A231" s="10"/>
      <c r="B231" s="10"/>
      <c r="C231" s="10"/>
      <c r="D231" s="10"/>
      <c r="E231" s="10"/>
      <c r="F231" s="10"/>
      <c r="G231" s="10"/>
      <c r="H231" s="10"/>
    </row>
    <row r="232" spans="1:8" ht="14.25" customHeight="1" x14ac:dyDescent="0.35">
      <c r="A232" s="10"/>
      <c r="B232" s="10"/>
      <c r="C232" s="10"/>
      <c r="D232" s="10"/>
      <c r="E232" s="10"/>
      <c r="F232" s="10"/>
      <c r="G232" s="10"/>
      <c r="H232" s="10"/>
    </row>
    <row r="233" spans="1:8" ht="14.25" customHeight="1" x14ac:dyDescent="0.35">
      <c r="A233" s="10"/>
      <c r="B233" s="10"/>
      <c r="C233" s="10"/>
      <c r="D233" s="10"/>
      <c r="E233" s="10"/>
      <c r="F233" s="10"/>
      <c r="G233" s="10"/>
      <c r="H233" s="10"/>
    </row>
    <row r="234" spans="1:8" ht="14.25" customHeight="1" x14ac:dyDescent="0.35">
      <c r="A234" s="10"/>
      <c r="B234" s="10"/>
      <c r="C234" s="10"/>
      <c r="D234" s="10"/>
      <c r="E234" s="10"/>
      <c r="F234" s="10"/>
      <c r="G234" s="10"/>
      <c r="H234" s="10"/>
    </row>
    <row r="235" spans="1:8" ht="14.25" customHeight="1" x14ac:dyDescent="0.35">
      <c r="A235" s="10"/>
      <c r="B235" s="10"/>
      <c r="C235" s="10"/>
      <c r="D235" s="10"/>
      <c r="E235" s="10"/>
      <c r="F235" s="10"/>
      <c r="G235" s="10"/>
      <c r="H235" s="10"/>
    </row>
    <row r="236" spans="1:8" ht="14.25" customHeight="1" x14ac:dyDescent="0.35">
      <c r="A236" s="10"/>
      <c r="B236" s="10"/>
      <c r="C236" s="10"/>
      <c r="D236" s="10"/>
      <c r="E236" s="10"/>
      <c r="F236" s="10"/>
      <c r="G236" s="10"/>
      <c r="H236" s="10"/>
    </row>
    <row r="237" spans="1:8" ht="14.25" customHeight="1" x14ac:dyDescent="0.35">
      <c r="A237" s="10"/>
      <c r="B237" s="10"/>
      <c r="C237" s="10"/>
      <c r="D237" s="10"/>
      <c r="E237" s="10"/>
      <c r="F237" s="10"/>
      <c r="G237" s="10"/>
      <c r="H237" s="10"/>
    </row>
    <row r="238" spans="1:8" ht="14.25" customHeight="1" x14ac:dyDescent="0.35">
      <c r="A238" s="10"/>
      <c r="B238" s="10"/>
      <c r="C238" s="10"/>
      <c r="D238" s="10"/>
      <c r="E238" s="10"/>
      <c r="F238" s="10"/>
      <c r="G238" s="10"/>
      <c r="H238" s="10"/>
    </row>
    <row r="239" spans="1:8" ht="14.25" customHeight="1" x14ac:dyDescent="0.35">
      <c r="A239" s="10"/>
      <c r="B239" s="10"/>
      <c r="C239" s="10"/>
      <c r="D239" s="10"/>
      <c r="E239" s="10"/>
      <c r="F239" s="10"/>
      <c r="G239" s="10"/>
      <c r="H239" s="10"/>
    </row>
    <row r="240" spans="1:8" ht="14.25" customHeight="1" x14ac:dyDescent="0.35">
      <c r="A240" s="10"/>
      <c r="B240" s="10"/>
      <c r="C240" s="10"/>
      <c r="D240" s="10"/>
      <c r="E240" s="10"/>
      <c r="F240" s="10"/>
      <c r="G240" s="10"/>
      <c r="H240" s="10"/>
    </row>
    <row r="241" spans="1:8" ht="14.25" customHeight="1" x14ac:dyDescent="0.35">
      <c r="A241" s="10"/>
      <c r="B241" s="10"/>
      <c r="C241" s="10"/>
      <c r="D241" s="10"/>
      <c r="E241" s="10"/>
      <c r="F241" s="10"/>
      <c r="G241" s="10"/>
      <c r="H241" s="10"/>
    </row>
    <row r="242" spans="1:8" ht="14.25" customHeight="1" x14ac:dyDescent="0.35">
      <c r="A242" s="10"/>
      <c r="B242" s="10"/>
      <c r="C242" s="10"/>
      <c r="D242" s="10"/>
      <c r="E242" s="10"/>
      <c r="F242" s="10"/>
      <c r="G242" s="10"/>
      <c r="H242" s="10"/>
    </row>
    <row r="243" spans="1:8" ht="14.25" customHeight="1" x14ac:dyDescent="0.35">
      <c r="A243" s="10"/>
      <c r="B243" s="10"/>
      <c r="C243" s="10"/>
      <c r="D243" s="10"/>
      <c r="E243" s="10"/>
      <c r="F243" s="10"/>
      <c r="G243" s="10"/>
      <c r="H243" s="10"/>
    </row>
    <row r="244" spans="1:8" ht="14.25" customHeight="1" x14ac:dyDescent="0.35">
      <c r="A244" s="10"/>
      <c r="B244" s="10"/>
      <c r="C244" s="10"/>
      <c r="D244" s="10"/>
      <c r="E244" s="10"/>
      <c r="F244" s="10"/>
      <c r="G244" s="10"/>
      <c r="H244" s="10"/>
    </row>
    <row r="245" spans="1:8" ht="14.25" customHeight="1" x14ac:dyDescent="0.35">
      <c r="A245" s="10"/>
      <c r="B245" s="10"/>
      <c r="C245" s="10"/>
      <c r="D245" s="10"/>
      <c r="E245" s="10"/>
      <c r="F245" s="10"/>
      <c r="G245" s="10"/>
      <c r="H245" s="10"/>
    </row>
    <row r="246" spans="1:8" ht="14.25" customHeight="1" x14ac:dyDescent="0.35">
      <c r="A246" s="10"/>
      <c r="B246" s="10"/>
      <c r="C246" s="10"/>
      <c r="D246" s="10"/>
      <c r="E246" s="10"/>
      <c r="F246" s="10"/>
      <c r="G246" s="10"/>
      <c r="H246" s="10"/>
    </row>
    <row r="247" spans="1:8" ht="14.25" customHeight="1" x14ac:dyDescent="0.35">
      <c r="A247" s="10"/>
      <c r="B247" s="10"/>
      <c r="C247" s="10"/>
      <c r="D247" s="10"/>
      <c r="E247" s="10"/>
      <c r="F247" s="10"/>
      <c r="G247" s="10"/>
      <c r="H247" s="10"/>
    </row>
    <row r="248" spans="1:8" ht="14.25" customHeight="1" x14ac:dyDescent="0.35">
      <c r="A248" s="10"/>
      <c r="B248" s="10"/>
      <c r="C248" s="10"/>
      <c r="D248" s="10"/>
      <c r="E248" s="10"/>
      <c r="F248" s="10"/>
      <c r="G248" s="10"/>
      <c r="H248" s="10"/>
    </row>
    <row r="249" spans="1:8" ht="14.25" customHeight="1" x14ac:dyDescent="0.35">
      <c r="A249" s="10"/>
      <c r="B249" s="10"/>
      <c r="C249" s="10"/>
      <c r="D249" s="10"/>
      <c r="E249" s="10"/>
      <c r="F249" s="10"/>
      <c r="G249" s="10"/>
      <c r="H249" s="10"/>
    </row>
    <row r="250" spans="1:8" ht="14.25" customHeight="1" x14ac:dyDescent="0.35">
      <c r="A250" s="10"/>
      <c r="B250" s="10"/>
      <c r="C250" s="10"/>
      <c r="D250" s="10"/>
      <c r="E250" s="10"/>
      <c r="F250" s="10"/>
      <c r="G250" s="10"/>
      <c r="H250" s="10"/>
    </row>
    <row r="251" spans="1:8" ht="14.25" customHeight="1" x14ac:dyDescent="0.35">
      <c r="A251" s="10"/>
      <c r="B251" s="10"/>
      <c r="C251" s="10"/>
      <c r="D251" s="10"/>
      <c r="E251" s="10"/>
      <c r="F251" s="10"/>
      <c r="G251" s="10"/>
      <c r="H251" s="10"/>
    </row>
    <row r="252" spans="1:8" ht="14.25" customHeight="1" x14ac:dyDescent="0.35">
      <c r="A252" s="10"/>
      <c r="B252" s="10"/>
      <c r="C252" s="10"/>
      <c r="D252" s="10"/>
      <c r="E252" s="10"/>
      <c r="F252" s="10"/>
      <c r="G252" s="10"/>
      <c r="H252" s="10"/>
    </row>
    <row r="253" spans="1:8" ht="14.25" customHeight="1" x14ac:dyDescent="0.35">
      <c r="A253" s="10"/>
      <c r="B253" s="10"/>
      <c r="C253" s="10"/>
      <c r="D253" s="10"/>
      <c r="E253" s="10"/>
      <c r="F253" s="10"/>
      <c r="G253" s="10"/>
      <c r="H253" s="10"/>
    </row>
    <row r="254" spans="1:8" ht="14.25" customHeight="1" x14ac:dyDescent="0.35">
      <c r="A254" s="10"/>
      <c r="B254" s="10"/>
      <c r="C254" s="10"/>
      <c r="D254" s="10"/>
      <c r="E254" s="10"/>
      <c r="F254" s="10"/>
      <c r="G254" s="10"/>
      <c r="H254" s="10"/>
    </row>
    <row r="255" spans="1:8" ht="14.25" customHeight="1" x14ac:dyDescent="0.35">
      <c r="A255" s="10"/>
      <c r="B255" s="10"/>
      <c r="C255" s="10"/>
      <c r="D255" s="10"/>
      <c r="E255" s="10"/>
      <c r="F255" s="10"/>
      <c r="G255" s="10"/>
      <c r="H255" s="10"/>
    </row>
    <row r="256" spans="1:8" ht="14.25" customHeight="1" x14ac:dyDescent="0.35">
      <c r="A256" s="10"/>
      <c r="B256" s="10"/>
      <c r="C256" s="10"/>
      <c r="D256" s="10"/>
      <c r="E256" s="10"/>
      <c r="F256" s="10"/>
      <c r="G256" s="10"/>
      <c r="H256" s="10"/>
    </row>
    <row r="257" spans="1:8" ht="14.25" customHeight="1" x14ac:dyDescent="0.35">
      <c r="A257" s="10"/>
      <c r="B257" s="10"/>
      <c r="C257" s="10"/>
      <c r="D257" s="10"/>
      <c r="E257" s="10"/>
      <c r="F257" s="10"/>
      <c r="G257" s="10"/>
      <c r="H257" s="10"/>
    </row>
    <row r="258" spans="1:8" ht="14.25" customHeight="1" x14ac:dyDescent="0.35">
      <c r="A258" s="10"/>
      <c r="B258" s="10"/>
      <c r="C258" s="10"/>
      <c r="D258" s="10"/>
      <c r="E258" s="10"/>
      <c r="F258" s="10"/>
      <c r="G258" s="10"/>
      <c r="H258" s="10"/>
    </row>
    <row r="259" spans="1:8" ht="14.25" customHeight="1" x14ac:dyDescent="0.35">
      <c r="A259" s="10"/>
      <c r="B259" s="10"/>
      <c r="C259" s="10"/>
      <c r="D259" s="10"/>
      <c r="E259" s="10"/>
      <c r="F259" s="10"/>
      <c r="G259" s="10"/>
      <c r="H259" s="10"/>
    </row>
    <row r="260" spans="1:8" ht="14.25" customHeight="1" x14ac:dyDescent="0.35">
      <c r="A260" s="10"/>
      <c r="B260" s="10"/>
      <c r="C260" s="10"/>
      <c r="D260" s="10"/>
      <c r="E260" s="10"/>
      <c r="F260" s="10"/>
      <c r="G260" s="10"/>
      <c r="H260" s="10"/>
    </row>
    <row r="261" spans="1:8" ht="14.25" customHeight="1" x14ac:dyDescent="0.35">
      <c r="A261" s="10"/>
      <c r="B261" s="10"/>
      <c r="C261" s="10"/>
      <c r="D261" s="10"/>
      <c r="E261" s="10"/>
      <c r="F261" s="10"/>
      <c r="G261" s="10"/>
      <c r="H261" s="10"/>
    </row>
    <row r="262" spans="1:8" ht="14.25" customHeight="1" x14ac:dyDescent="0.35">
      <c r="A262" s="10"/>
      <c r="B262" s="10"/>
      <c r="C262" s="10"/>
      <c r="D262" s="10"/>
      <c r="E262" s="10"/>
      <c r="F262" s="10"/>
      <c r="G262" s="10"/>
      <c r="H262" s="10"/>
    </row>
    <row r="263" spans="1:8" ht="14.25" customHeight="1" x14ac:dyDescent="0.35">
      <c r="A263" s="10"/>
      <c r="B263" s="10"/>
      <c r="C263" s="10"/>
      <c r="D263" s="10"/>
      <c r="E263" s="10"/>
      <c r="F263" s="10"/>
      <c r="G263" s="10"/>
      <c r="H263" s="10"/>
    </row>
    <row r="264" spans="1:8" ht="14.25" customHeight="1" x14ac:dyDescent="0.35">
      <c r="A264" s="10"/>
      <c r="B264" s="10"/>
      <c r="C264" s="10"/>
      <c r="D264" s="10"/>
      <c r="E264" s="10"/>
      <c r="F264" s="10"/>
      <c r="G264" s="10"/>
      <c r="H264" s="10"/>
    </row>
    <row r="265" spans="1:8" ht="14.25" customHeight="1" x14ac:dyDescent="0.35">
      <c r="A265" s="10"/>
      <c r="B265" s="10"/>
      <c r="C265" s="10"/>
      <c r="D265" s="10"/>
      <c r="E265" s="10"/>
      <c r="F265" s="10"/>
      <c r="G265" s="10"/>
      <c r="H265" s="10"/>
    </row>
    <row r="266" spans="1:8" ht="14.25" customHeight="1" x14ac:dyDescent="0.35">
      <c r="A266" s="10"/>
      <c r="B266" s="10"/>
      <c r="C266" s="10"/>
      <c r="D266" s="10"/>
      <c r="E266" s="10"/>
      <c r="F266" s="10"/>
      <c r="G266" s="10"/>
      <c r="H266" s="10"/>
    </row>
    <row r="267" spans="1:8" ht="14.25" customHeight="1" x14ac:dyDescent="0.35">
      <c r="A267" s="10"/>
      <c r="B267" s="10"/>
      <c r="C267" s="10"/>
      <c r="D267" s="10"/>
      <c r="E267" s="10"/>
      <c r="F267" s="10"/>
      <c r="G267" s="10"/>
      <c r="H267" s="10"/>
    </row>
    <row r="268" spans="1:8" ht="14.25" customHeight="1" x14ac:dyDescent="0.35">
      <c r="A268" s="10"/>
      <c r="B268" s="10"/>
      <c r="C268" s="10"/>
      <c r="D268" s="10"/>
      <c r="E268" s="10"/>
      <c r="F268" s="10"/>
      <c r="G268" s="10"/>
      <c r="H268" s="10"/>
    </row>
    <row r="269" spans="1:8" ht="14.25" customHeight="1" x14ac:dyDescent="0.35">
      <c r="A269" s="10"/>
      <c r="B269" s="10"/>
      <c r="C269" s="10"/>
      <c r="D269" s="10"/>
      <c r="E269" s="10"/>
      <c r="F269" s="10"/>
      <c r="G269" s="10"/>
      <c r="H269" s="10"/>
    </row>
    <row r="270" spans="1:8" ht="14.25" customHeight="1" x14ac:dyDescent="0.35">
      <c r="A270" s="10"/>
      <c r="B270" s="10"/>
      <c r="C270" s="10"/>
      <c r="D270" s="10"/>
      <c r="E270" s="10"/>
      <c r="F270" s="10"/>
      <c r="G270" s="10"/>
      <c r="H270" s="10"/>
    </row>
    <row r="271" spans="1:8" ht="14.25" customHeight="1" x14ac:dyDescent="0.35">
      <c r="A271" s="10"/>
      <c r="B271" s="10"/>
      <c r="C271" s="10"/>
      <c r="D271" s="10"/>
      <c r="E271" s="10"/>
      <c r="F271" s="10"/>
      <c r="G271" s="10"/>
      <c r="H271" s="10"/>
    </row>
    <row r="272" spans="1:8" ht="14.25" customHeight="1" x14ac:dyDescent="0.35">
      <c r="A272" s="10"/>
      <c r="B272" s="10"/>
      <c r="C272" s="10"/>
      <c r="D272" s="10"/>
      <c r="E272" s="10"/>
      <c r="F272" s="10"/>
      <c r="G272" s="10"/>
      <c r="H272" s="10"/>
    </row>
    <row r="273" spans="1:8" ht="14.25" customHeight="1" x14ac:dyDescent="0.35">
      <c r="A273" s="10"/>
      <c r="B273" s="10"/>
      <c r="C273" s="10"/>
      <c r="D273" s="10"/>
      <c r="E273" s="10"/>
      <c r="F273" s="10"/>
      <c r="G273" s="10"/>
      <c r="H273" s="10"/>
    </row>
    <row r="274" spans="1:8" ht="14.25" customHeight="1" x14ac:dyDescent="0.35">
      <c r="A274" s="10"/>
      <c r="B274" s="10"/>
      <c r="C274" s="10"/>
      <c r="D274" s="10"/>
      <c r="E274" s="10"/>
      <c r="F274" s="10"/>
      <c r="G274" s="10"/>
      <c r="H274" s="10"/>
    </row>
    <row r="275" spans="1:8" ht="14.25" customHeight="1" x14ac:dyDescent="0.35">
      <c r="A275" s="10"/>
      <c r="B275" s="10"/>
      <c r="C275" s="10"/>
      <c r="D275" s="10"/>
      <c r="E275" s="10"/>
      <c r="F275" s="10"/>
      <c r="G275" s="10"/>
      <c r="H275" s="10"/>
    </row>
    <row r="276" spans="1:8" ht="14.25" customHeight="1" x14ac:dyDescent="0.35">
      <c r="A276" s="10"/>
      <c r="B276" s="10"/>
      <c r="C276" s="10"/>
      <c r="D276" s="10"/>
      <c r="E276" s="10"/>
      <c r="F276" s="10"/>
      <c r="G276" s="10"/>
      <c r="H276" s="10"/>
    </row>
    <row r="277" spans="1:8" ht="14.25" customHeight="1" x14ac:dyDescent="0.35">
      <c r="A277" s="10"/>
      <c r="B277" s="10"/>
      <c r="C277" s="10"/>
      <c r="D277" s="10"/>
      <c r="E277" s="10"/>
      <c r="F277" s="10"/>
      <c r="G277" s="10"/>
      <c r="H277" s="10"/>
    </row>
    <row r="278" spans="1:8" ht="14.25" customHeight="1" x14ac:dyDescent="0.35">
      <c r="A278" s="10"/>
      <c r="B278" s="10"/>
      <c r="C278" s="10"/>
      <c r="D278" s="10"/>
      <c r="E278" s="10"/>
      <c r="F278" s="10"/>
      <c r="G278" s="10"/>
      <c r="H278" s="10"/>
    </row>
    <row r="279" spans="1:8" ht="14.25" customHeight="1" x14ac:dyDescent="0.35">
      <c r="A279" s="10"/>
      <c r="B279" s="10"/>
      <c r="C279" s="10"/>
      <c r="D279" s="10"/>
      <c r="E279" s="10"/>
      <c r="F279" s="10"/>
      <c r="G279" s="10"/>
      <c r="H279" s="10"/>
    </row>
    <row r="280" spans="1:8" ht="14.25" customHeight="1" x14ac:dyDescent="0.35">
      <c r="A280" s="10"/>
      <c r="B280" s="10"/>
      <c r="C280" s="10"/>
      <c r="D280" s="10"/>
      <c r="E280" s="10"/>
      <c r="F280" s="10"/>
      <c r="G280" s="10"/>
      <c r="H280" s="10"/>
    </row>
    <row r="281" spans="1:8" ht="14.25" customHeight="1" x14ac:dyDescent="0.35">
      <c r="A281" s="10"/>
      <c r="B281" s="10"/>
      <c r="C281" s="10"/>
      <c r="D281" s="10"/>
      <c r="E281" s="10"/>
      <c r="F281" s="10"/>
      <c r="G281" s="10"/>
      <c r="H281" s="10"/>
    </row>
    <row r="282" spans="1:8" ht="14.25" customHeight="1" x14ac:dyDescent="0.35">
      <c r="A282" s="10"/>
      <c r="B282" s="10"/>
      <c r="C282" s="10"/>
      <c r="D282" s="10"/>
      <c r="E282" s="10"/>
      <c r="F282" s="10"/>
      <c r="G282" s="10"/>
      <c r="H282" s="10"/>
    </row>
    <row r="283" spans="1:8" ht="14.25" customHeight="1" x14ac:dyDescent="0.35">
      <c r="A283" s="10"/>
      <c r="B283" s="10"/>
      <c r="C283" s="10"/>
      <c r="D283" s="10"/>
      <c r="E283" s="10"/>
      <c r="F283" s="10"/>
      <c r="G283" s="10"/>
      <c r="H283" s="10"/>
    </row>
    <row r="284" spans="1:8" ht="14.25" customHeight="1" x14ac:dyDescent="0.35">
      <c r="A284" s="10"/>
      <c r="B284" s="10"/>
      <c r="C284" s="10"/>
      <c r="D284" s="10"/>
      <c r="E284" s="10"/>
      <c r="F284" s="10"/>
      <c r="G284" s="10"/>
      <c r="H284" s="10"/>
    </row>
    <row r="285" spans="1:8" ht="14.25" customHeight="1" x14ac:dyDescent="0.35">
      <c r="A285" s="10"/>
      <c r="B285" s="10"/>
      <c r="C285" s="10"/>
      <c r="D285" s="10"/>
      <c r="E285" s="10"/>
      <c r="F285" s="10"/>
      <c r="G285" s="10"/>
      <c r="H285" s="10"/>
    </row>
    <row r="286" spans="1:8" ht="14.25" customHeight="1" x14ac:dyDescent="0.35">
      <c r="A286" s="10"/>
      <c r="B286" s="10"/>
      <c r="C286" s="10"/>
      <c r="D286" s="10"/>
      <c r="E286" s="10"/>
      <c r="F286" s="10"/>
      <c r="G286" s="10"/>
      <c r="H286" s="10"/>
    </row>
    <row r="287" spans="1:8" ht="14.25" customHeight="1" x14ac:dyDescent="0.35">
      <c r="A287" s="10"/>
      <c r="B287" s="10"/>
      <c r="C287" s="10"/>
      <c r="D287" s="10"/>
      <c r="E287" s="10"/>
      <c r="F287" s="10"/>
      <c r="G287" s="10"/>
      <c r="H287" s="10"/>
    </row>
    <row r="288" spans="1:8" ht="14.25" customHeight="1" x14ac:dyDescent="0.35">
      <c r="A288" s="10"/>
      <c r="B288" s="10"/>
      <c r="C288" s="10"/>
      <c r="D288" s="10"/>
      <c r="E288" s="10"/>
      <c r="F288" s="10"/>
      <c r="G288" s="10"/>
      <c r="H288" s="10"/>
    </row>
    <row r="289" spans="1:8" ht="14.25" customHeight="1" x14ac:dyDescent="0.35">
      <c r="A289" s="10"/>
      <c r="B289" s="10"/>
      <c r="C289" s="10"/>
      <c r="D289" s="10"/>
      <c r="E289" s="10"/>
      <c r="F289" s="10"/>
      <c r="G289" s="10"/>
      <c r="H289" s="10"/>
    </row>
    <row r="290" spans="1:8" ht="14.25" customHeight="1" x14ac:dyDescent="0.35">
      <c r="A290" s="10"/>
      <c r="B290" s="10"/>
      <c r="C290" s="10"/>
      <c r="D290" s="10"/>
      <c r="E290" s="10"/>
      <c r="F290" s="10"/>
      <c r="G290" s="10"/>
      <c r="H290" s="10"/>
    </row>
    <row r="291" spans="1:8" ht="14.25" customHeight="1" x14ac:dyDescent="0.35">
      <c r="A291" s="10"/>
      <c r="B291" s="10"/>
      <c r="C291" s="10"/>
      <c r="D291" s="10"/>
      <c r="E291" s="10"/>
      <c r="F291" s="10"/>
      <c r="G291" s="10"/>
      <c r="H291" s="10"/>
    </row>
    <row r="292" spans="1:8" ht="14.25" customHeight="1" x14ac:dyDescent="0.35">
      <c r="A292" s="10"/>
      <c r="B292" s="10"/>
      <c r="C292" s="10"/>
      <c r="D292" s="10"/>
      <c r="E292" s="10"/>
      <c r="F292" s="10"/>
      <c r="G292" s="10"/>
      <c r="H292" s="10"/>
    </row>
    <row r="293" spans="1:8" ht="14.25" customHeight="1" x14ac:dyDescent="0.35">
      <c r="A293" s="10"/>
      <c r="B293" s="10"/>
      <c r="C293" s="10"/>
      <c r="D293" s="10"/>
      <c r="E293" s="10"/>
      <c r="F293" s="10"/>
      <c r="G293" s="10"/>
      <c r="H293" s="10"/>
    </row>
    <row r="294" spans="1:8" ht="14.25" customHeight="1" x14ac:dyDescent="0.35">
      <c r="A294" s="10"/>
      <c r="B294" s="10"/>
      <c r="C294" s="10"/>
      <c r="D294" s="10"/>
      <c r="E294" s="10"/>
      <c r="F294" s="10"/>
      <c r="G294" s="10"/>
      <c r="H294" s="10"/>
    </row>
    <row r="295" spans="1:8" ht="14.25" customHeight="1" x14ac:dyDescent="0.35">
      <c r="A295" s="10"/>
      <c r="B295" s="10"/>
      <c r="C295" s="10"/>
      <c r="D295" s="10"/>
      <c r="E295" s="10"/>
      <c r="F295" s="10"/>
      <c r="G295" s="10"/>
      <c r="H295" s="10"/>
    </row>
    <row r="296" spans="1:8" ht="14.25" customHeight="1" x14ac:dyDescent="0.35">
      <c r="A296" s="10"/>
      <c r="B296" s="10"/>
      <c r="C296" s="10"/>
      <c r="D296" s="10"/>
      <c r="E296" s="10"/>
      <c r="F296" s="10"/>
      <c r="G296" s="10"/>
      <c r="H296" s="10"/>
    </row>
    <row r="297" spans="1:8" ht="14.25" customHeight="1" x14ac:dyDescent="0.35">
      <c r="A297" s="10"/>
      <c r="B297" s="10"/>
      <c r="C297" s="10"/>
      <c r="D297" s="10"/>
      <c r="E297" s="10"/>
      <c r="F297" s="10"/>
      <c r="G297" s="10"/>
      <c r="H297" s="10"/>
    </row>
    <row r="298" spans="1:8" ht="14.25" customHeight="1" x14ac:dyDescent="0.35">
      <c r="A298" s="10"/>
      <c r="B298" s="10"/>
      <c r="C298" s="10"/>
      <c r="D298" s="10"/>
      <c r="E298" s="10"/>
      <c r="F298" s="10"/>
      <c r="G298" s="10"/>
      <c r="H298" s="10"/>
    </row>
    <row r="299" spans="1:8" ht="14.25" customHeight="1" x14ac:dyDescent="0.35">
      <c r="A299" s="10"/>
      <c r="B299" s="10"/>
      <c r="C299" s="10"/>
      <c r="D299" s="10"/>
      <c r="E299" s="10"/>
      <c r="F299" s="10"/>
      <c r="G299" s="10"/>
      <c r="H299" s="10"/>
    </row>
    <row r="300" spans="1:8" ht="14.25" customHeight="1" x14ac:dyDescent="0.35">
      <c r="A300" s="10"/>
      <c r="B300" s="10"/>
      <c r="C300" s="10"/>
      <c r="D300" s="10"/>
      <c r="E300" s="10"/>
      <c r="F300" s="10"/>
      <c r="G300" s="10"/>
      <c r="H300" s="10"/>
    </row>
    <row r="301" spans="1:8" ht="14.25" customHeight="1" x14ac:dyDescent="0.35">
      <c r="A301" s="10"/>
      <c r="B301" s="10"/>
      <c r="C301" s="10"/>
      <c r="D301" s="10"/>
      <c r="E301" s="10"/>
      <c r="F301" s="10"/>
      <c r="G301" s="10"/>
      <c r="H301" s="10"/>
    </row>
    <row r="302" spans="1:8" ht="14.25" customHeight="1" x14ac:dyDescent="0.35">
      <c r="A302" s="10"/>
      <c r="B302" s="10"/>
      <c r="C302" s="10"/>
      <c r="D302" s="10"/>
      <c r="E302" s="10"/>
      <c r="F302" s="10"/>
      <c r="G302" s="10"/>
      <c r="H302" s="10"/>
    </row>
    <row r="303" spans="1:8" ht="14.25" customHeight="1" x14ac:dyDescent="0.35">
      <c r="A303" s="10"/>
      <c r="B303" s="10"/>
      <c r="C303" s="10"/>
      <c r="D303" s="10"/>
      <c r="E303" s="10"/>
      <c r="F303" s="10"/>
      <c r="G303" s="10"/>
      <c r="H303" s="10"/>
    </row>
    <row r="304" spans="1:8" ht="14.25" customHeight="1" x14ac:dyDescent="0.35">
      <c r="A304" s="10"/>
      <c r="B304" s="10"/>
      <c r="C304" s="10"/>
      <c r="D304" s="10"/>
      <c r="E304" s="10"/>
      <c r="F304" s="10"/>
      <c r="G304" s="10"/>
      <c r="H304" s="10"/>
    </row>
    <row r="305" spans="1:8" ht="14.25" customHeight="1" x14ac:dyDescent="0.35">
      <c r="A305" s="10"/>
      <c r="B305" s="10"/>
      <c r="C305" s="10"/>
      <c r="D305" s="10"/>
      <c r="E305" s="10"/>
      <c r="F305" s="10"/>
      <c r="G305" s="10"/>
      <c r="H305" s="10"/>
    </row>
    <row r="306" spans="1:8" ht="14.25" customHeight="1" x14ac:dyDescent="0.35">
      <c r="A306" s="10"/>
      <c r="B306" s="10"/>
      <c r="C306" s="10"/>
      <c r="D306" s="10"/>
      <c r="E306" s="10"/>
      <c r="F306" s="10"/>
      <c r="G306" s="10"/>
      <c r="H306" s="10"/>
    </row>
    <row r="307" spans="1:8" ht="14.25" customHeight="1" x14ac:dyDescent="0.35">
      <c r="A307" s="10"/>
      <c r="B307" s="10"/>
      <c r="C307" s="10"/>
      <c r="D307" s="10"/>
      <c r="E307" s="10"/>
      <c r="F307" s="10"/>
      <c r="G307" s="10"/>
      <c r="H307" s="10"/>
    </row>
    <row r="308" spans="1:8" ht="14.25" customHeight="1" x14ac:dyDescent="0.35">
      <c r="A308" s="10"/>
      <c r="B308" s="10"/>
      <c r="C308" s="10"/>
      <c r="D308" s="10"/>
      <c r="E308" s="10"/>
      <c r="F308" s="10"/>
      <c r="G308" s="10"/>
      <c r="H308" s="10"/>
    </row>
    <row r="309" spans="1:8" ht="14.25" customHeight="1" x14ac:dyDescent="0.35">
      <c r="A309" s="10"/>
      <c r="B309" s="10"/>
      <c r="C309" s="10"/>
      <c r="D309" s="10"/>
      <c r="E309" s="10"/>
      <c r="F309" s="10"/>
      <c r="G309" s="10"/>
      <c r="H309" s="10"/>
    </row>
    <row r="310" spans="1:8" ht="14.25" customHeight="1" x14ac:dyDescent="0.35">
      <c r="A310" s="10"/>
      <c r="B310" s="10"/>
      <c r="C310" s="10"/>
      <c r="D310" s="10"/>
      <c r="E310" s="10"/>
      <c r="F310" s="10"/>
      <c r="G310" s="10"/>
      <c r="H310" s="10"/>
    </row>
    <row r="311" spans="1:8" ht="14.25" customHeight="1" x14ac:dyDescent="0.35">
      <c r="A311" s="10"/>
      <c r="B311" s="10"/>
      <c r="C311" s="10"/>
      <c r="D311" s="10"/>
      <c r="E311" s="10"/>
      <c r="F311" s="10"/>
      <c r="G311" s="10"/>
      <c r="H311" s="10"/>
    </row>
    <row r="312" spans="1:8" ht="14.25" customHeight="1" x14ac:dyDescent="0.35">
      <c r="A312" s="10"/>
      <c r="B312" s="10"/>
      <c r="C312" s="10"/>
      <c r="D312" s="10"/>
      <c r="E312" s="10"/>
      <c r="F312" s="10"/>
      <c r="G312" s="10"/>
      <c r="H312" s="10"/>
    </row>
    <row r="313" spans="1:8" ht="14.25" customHeight="1" x14ac:dyDescent="0.35">
      <c r="A313" s="10"/>
      <c r="B313" s="10"/>
      <c r="C313" s="10"/>
      <c r="D313" s="10"/>
      <c r="E313" s="10"/>
      <c r="F313" s="10"/>
      <c r="G313" s="10"/>
      <c r="H313" s="10"/>
    </row>
    <row r="314" spans="1:8" ht="14.25" customHeight="1" x14ac:dyDescent="0.35">
      <c r="A314" s="10"/>
      <c r="B314" s="10"/>
      <c r="C314" s="10"/>
      <c r="D314" s="10"/>
      <c r="E314" s="10"/>
      <c r="F314" s="10"/>
      <c r="G314" s="10"/>
      <c r="H314" s="10"/>
    </row>
    <row r="315" spans="1:8" ht="14.25" customHeight="1" x14ac:dyDescent="0.35">
      <c r="A315" s="10"/>
      <c r="B315" s="10"/>
      <c r="C315" s="10"/>
      <c r="D315" s="10"/>
      <c r="E315" s="10"/>
      <c r="F315" s="10"/>
      <c r="G315" s="10"/>
      <c r="H315" s="10"/>
    </row>
    <row r="316" spans="1:8" ht="14.25" customHeight="1" x14ac:dyDescent="0.35">
      <c r="A316" s="10"/>
      <c r="B316" s="10"/>
      <c r="C316" s="10"/>
      <c r="D316" s="10"/>
      <c r="E316" s="10"/>
      <c r="F316" s="10"/>
      <c r="G316" s="10"/>
      <c r="H316" s="10"/>
    </row>
    <row r="317" spans="1:8" ht="14.25" customHeight="1" x14ac:dyDescent="0.35">
      <c r="A317" s="10"/>
      <c r="B317" s="10"/>
      <c r="C317" s="10"/>
      <c r="D317" s="10"/>
      <c r="E317" s="10"/>
      <c r="F317" s="10"/>
      <c r="G317" s="10"/>
      <c r="H317" s="10"/>
    </row>
    <row r="318" spans="1:8" ht="14.25" customHeight="1" x14ac:dyDescent="0.35">
      <c r="A318" s="10"/>
      <c r="B318" s="10"/>
      <c r="C318" s="10"/>
      <c r="D318" s="10"/>
      <c r="E318" s="10"/>
      <c r="F318" s="10"/>
      <c r="G318" s="10"/>
      <c r="H318" s="10"/>
    </row>
    <row r="319" spans="1:8" ht="14.25" customHeight="1" x14ac:dyDescent="0.35">
      <c r="A319" s="10"/>
      <c r="B319" s="10"/>
      <c r="C319" s="10"/>
      <c r="D319" s="10"/>
      <c r="E319" s="10"/>
      <c r="F319" s="10"/>
      <c r="G319" s="10"/>
      <c r="H319" s="10"/>
    </row>
    <row r="320" spans="1:8" ht="14.25" customHeight="1" x14ac:dyDescent="0.35">
      <c r="A320" s="10"/>
      <c r="B320" s="10"/>
      <c r="C320" s="10"/>
      <c r="D320" s="10"/>
      <c r="E320" s="10"/>
      <c r="F320" s="10"/>
      <c r="G320" s="10"/>
      <c r="H320" s="10"/>
    </row>
    <row r="321" spans="1:8" ht="14.25" customHeight="1" x14ac:dyDescent="0.35">
      <c r="A321" s="10"/>
      <c r="B321" s="10"/>
      <c r="C321" s="10"/>
      <c r="D321" s="10"/>
      <c r="E321" s="10"/>
      <c r="F321" s="10"/>
      <c r="G321" s="10"/>
      <c r="H321" s="10"/>
    </row>
    <row r="322" spans="1:8" ht="14.25" customHeight="1" x14ac:dyDescent="0.35">
      <c r="A322" s="10"/>
      <c r="B322" s="10"/>
      <c r="C322" s="10"/>
      <c r="D322" s="10"/>
      <c r="E322" s="10"/>
      <c r="F322" s="10"/>
      <c r="G322" s="10"/>
      <c r="H322" s="10"/>
    </row>
    <row r="323" spans="1:8" ht="14.25" customHeight="1" x14ac:dyDescent="0.35">
      <c r="A323" s="10"/>
      <c r="B323" s="10"/>
      <c r="C323" s="10"/>
      <c r="D323" s="10"/>
      <c r="E323" s="10"/>
      <c r="F323" s="10"/>
      <c r="G323" s="10"/>
      <c r="H323" s="10"/>
    </row>
    <row r="324" spans="1:8" ht="14.25" customHeight="1" x14ac:dyDescent="0.35">
      <c r="A324" s="10"/>
      <c r="B324" s="10"/>
      <c r="C324" s="10"/>
      <c r="D324" s="10"/>
      <c r="E324" s="10"/>
      <c r="F324" s="10"/>
      <c r="G324" s="10"/>
      <c r="H324" s="10"/>
    </row>
    <row r="325" spans="1:8" ht="14.25" customHeight="1" x14ac:dyDescent="0.35">
      <c r="A325" s="10"/>
      <c r="B325" s="10"/>
      <c r="C325" s="10"/>
      <c r="D325" s="10"/>
      <c r="E325" s="10"/>
      <c r="F325" s="10"/>
      <c r="G325" s="10"/>
      <c r="H325" s="10"/>
    </row>
    <row r="326" spans="1:8" ht="14.25" customHeight="1" x14ac:dyDescent="0.35">
      <c r="A326" s="10"/>
      <c r="B326" s="10"/>
      <c r="C326" s="10"/>
      <c r="D326" s="10"/>
      <c r="E326" s="10"/>
      <c r="F326" s="10"/>
      <c r="G326" s="10"/>
      <c r="H326" s="10"/>
    </row>
    <row r="327" spans="1:8" ht="14.25" customHeight="1" x14ac:dyDescent="0.35">
      <c r="A327" s="10"/>
      <c r="B327" s="10"/>
      <c r="C327" s="10"/>
      <c r="D327" s="10"/>
      <c r="E327" s="10"/>
      <c r="F327" s="10"/>
      <c r="G327" s="10"/>
      <c r="H327" s="10"/>
    </row>
    <row r="328" spans="1:8" ht="14.25" customHeight="1" x14ac:dyDescent="0.35">
      <c r="A328" s="10"/>
      <c r="B328" s="10"/>
      <c r="C328" s="10"/>
      <c r="D328" s="10"/>
      <c r="E328" s="10"/>
      <c r="F328" s="10"/>
      <c r="G328" s="10"/>
      <c r="H328" s="10"/>
    </row>
    <row r="329" spans="1:8" ht="14.25" customHeight="1" x14ac:dyDescent="0.35">
      <c r="A329" s="10"/>
      <c r="B329" s="10"/>
      <c r="C329" s="10"/>
      <c r="D329" s="10"/>
      <c r="E329" s="10"/>
      <c r="F329" s="10"/>
      <c r="G329" s="10"/>
      <c r="H329" s="10"/>
    </row>
    <row r="330" spans="1:8" ht="14.25" customHeight="1" x14ac:dyDescent="0.35">
      <c r="A330" s="10"/>
      <c r="B330" s="10"/>
      <c r="C330" s="10"/>
      <c r="D330" s="10"/>
      <c r="E330" s="10"/>
      <c r="F330" s="10"/>
      <c r="G330" s="10"/>
      <c r="H330" s="10"/>
    </row>
    <row r="331" spans="1:8" ht="14.25" customHeight="1" x14ac:dyDescent="0.35">
      <c r="A331" s="10"/>
      <c r="B331" s="10"/>
      <c r="C331" s="10"/>
      <c r="D331" s="10"/>
      <c r="E331" s="10"/>
      <c r="F331" s="10"/>
      <c r="G331" s="10"/>
      <c r="H331" s="10"/>
    </row>
    <row r="332" spans="1:8" ht="14.25" customHeight="1" x14ac:dyDescent="0.35">
      <c r="A332" s="10"/>
      <c r="B332" s="10"/>
      <c r="C332" s="10"/>
      <c r="D332" s="10"/>
      <c r="E332" s="10"/>
      <c r="F332" s="10"/>
      <c r="G332" s="10"/>
      <c r="H332" s="10"/>
    </row>
    <row r="333" spans="1:8" ht="14.25" customHeight="1" x14ac:dyDescent="0.35">
      <c r="A333" s="10"/>
      <c r="B333" s="10"/>
      <c r="C333" s="10"/>
      <c r="D333" s="10"/>
      <c r="E333" s="10"/>
      <c r="F333" s="10"/>
      <c r="G333" s="10"/>
      <c r="H333" s="10"/>
    </row>
    <row r="334" spans="1:8" ht="14.25" customHeight="1" x14ac:dyDescent="0.35">
      <c r="A334" s="10"/>
      <c r="B334" s="10"/>
      <c r="C334" s="10"/>
      <c r="D334" s="10"/>
      <c r="E334" s="10"/>
      <c r="F334" s="10"/>
      <c r="G334" s="10"/>
      <c r="H334" s="10"/>
    </row>
    <row r="335" spans="1:8" ht="14.25" customHeight="1" x14ac:dyDescent="0.35">
      <c r="A335" s="10"/>
      <c r="B335" s="10"/>
      <c r="C335" s="10"/>
      <c r="D335" s="10"/>
      <c r="E335" s="10"/>
      <c r="F335" s="10"/>
      <c r="G335" s="10"/>
      <c r="H335" s="10"/>
    </row>
    <row r="336" spans="1:8" ht="14.25" customHeight="1" x14ac:dyDescent="0.35">
      <c r="A336" s="10"/>
      <c r="B336" s="10"/>
      <c r="C336" s="10"/>
      <c r="D336" s="10"/>
      <c r="E336" s="10"/>
      <c r="F336" s="10"/>
      <c r="G336" s="10"/>
      <c r="H336" s="10"/>
    </row>
    <row r="337" spans="1:8" ht="14.25" customHeight="1" x14ac:dyDescent="0.35">
      <c r="A337" s="10"/>
      <c r="B337" s="10"/>
      <c r="C337" s="10"/>
      <c r="D337" s="10"/>
      <c r="E337" s="10"/>
      <c r="F337" s="10"/>
      <c r="G337" s="10"/>
      <c r="H337" s="10"/>
    </row>
    <row r="338" spans="1:8" ht="14.25" customHeight="1" x14ac:dyDescent="0.35">
      <c r="A338" s="10"/>
      <c r="B338" s="10"/>
      <c r="C338" s="10"/>
      <c r="D338" s="10"/>
      <c r="E338" s="10"/>
      <c r="F338" s="10"/>
      <c r="G338" s="10"/>
      <c r="H338" s="10"/>
    </row>
    <row r="339" spans="1:8" ht="14.25" customHeight="1" x14ac:dyDescent="0.35">
      <c r="A339" s="10"/>
      <c r="B339" s="10"/>
      <c r="C339" s="10"/>
      <c r="D339" s="10"/>
      <c r="E339" s="10"/>
      <c r="F339" s="10"/>
      <c r="G339" s="10"/>
      <c r="H339" s="10"/>
    </row>
    <row r="340" spans="1:8" ht="14.25" customHeight="1" x14ac:dyDescent="0.35">
      <c r="A340" s="10"/>
      <c r="B340" s="10"/>
      <c r="C340" s="10"/>
      <c r="D340" s="10"/>
      <c r="E340" s="10"/>
      <c r="F340" s="10"/>
      <c r="G340" s="10"/>
      <c r="H340" s="10"/>
    </row>
    <row r="341" spans="1:8" ht="14.25" customHeight="1" x14ac:dyDescent="0.35">
      <c r="A341" s="10"/>
      <c r="B341" s="10"/>
      <c r="C341" s="10"/>
      <c r="D341" s="10"/>
      <c r="E341" s="10"/>
      <c r="F341" s="10"/>
      <c r="G341" s="10"/>
      <c r="H341" s="10"/>
    </row>
    <row r="342" spans="1:8" ht="14.25" customHeight="1" x14ac:dyDescent="0.35">
      <c r="A342" s="10"/>
      <c r="B342" s="10"/>
      <c r="C342" s="10"/>
      <c r="D342" s="10"/>
      <c r="E342" s="10"/>
      <c r="F342" s="10"/>
      <c r="G342" s="10"/>
      <c r="H342" s="10"/>
    </row>
    <row r="343" spans="1:8" ht="14.25" customHeight="1" x14ac:dyDescent="0.35">
      <c r="A343" s="10"/>
      <c r="B343" s="10"/>
      <c r="C343" s="10"/>
      <c r="D343" s="10"/>
      <c r="E343" s="10"/>
      <c r="F343" s="10"/>
      <c r="G343" s="10"/>
      <c r="H343" s="10"/>
    </row>
    <row r="344" spans="1:8" ht="14.25" customHeight="1" x14ac:dyDescent="0.35">
      <c r="A344" s="10"/>
      <c r="B344" s="10"/>
      <c r="C344" s="10"/>
      <c r="D344" s="10"/>
      <c r="E344" s="10"/>
      <c r="F344" s="10"/>
      <c r="G344" s="10"/>
      <c r="H344" s="10"/>
    </row>
    <row r="345" spans="1:8" ht="14.25" customHeight="1" x14ac:dyDescent="0.35">
      <c r="A345" s="10"/>
      <c r="B345" s="10"/>
      <c r="C345" s="10"/>
      <c r="D345" s="10"/>
      <c r="E345" s="10"/>
      <c r="F345" s="10"/>
      <c r="G345" s="10"/>
      <c r="H345" s="10"/>
    </row>
    <row r="346" spans="1:8" ht="14.25" customHeight="1" x14ac:dyDescent="0.35">
      <c r="A346" s="10"/>
      <c r="B346" s="10"/>
      <c r="C346" s="10"/>
      <c r="D346" s="10"/>
      <c r="E346" s="10"/>
      <c r="F346" s="10"/>
      <c r="G346" s="10"/>
      <c r="H346" s="10"/>
    </row>
    <row r="347" spans="1:8" ht="14.25" customHeight="1" x14ac:dyDescent="0.35">
      <c r="A347" s="10"/>
      <c r="B347" s="10"/>
      <c r="C347" s="10"/>
      <c r="D347" s="10"/>
      <c r="E347" s="10"/>
      <c r="F347" s="10"/>
      <c r="G347" s="10"/>
      <c r="H347" s="10"/>
    </row>
    <row r="348" spans="1:8" ht="14.25" customHeight="1" x14ac:dyDescent="0.35">
      <c r="A348" s="10"/>
      <c r="B348" s="10"/>
      <c r="C348" s="10"/>
      <c r="D348" s="10"/>
      <c r="E348" s="10"/>
      <c r="F348" s="10"/>
      <c r="G348" s="10"/>
      <c r="H348" s="10"/>
    </row>
    <row r="349" spans="1:8" ht="14.25" customHeight="1" x14ac:dyDescent="0.35">
      <c r="A349" s="10"/>
      <c r="B349" s="10"/>
      <c r="C349" s="10"/>
      <c r="D349" s="10"/>
      <c r="E349" s="10"/>
      <c r="F349" s="10"/>
      <c r="G349" s="10"/>
      <c r="H349" s="10"/>
    </row>
    <row r="350" spans="1:8" ht="14.25" customHeight="1" x14ac:dyDescent="0.35">
      <c r="A350" s="10"/>
      <c r="B350" s="10"/>
      <c r="C350" s="10"/>
      <c r="D350" s="10"/>
      <c r="E350" s="10"/>
      <c r="F350" s="10"/>
      <c r="G350" s="10"/>
      <c r="H350" s="10"/>
    </row>
    <row r="351" spans="1:8" ht="14.25" customHeight="1" x14ac:dyDescent="0.35">
      <c r="A351" s="10"/>
      <c r="B351" s="10"/>
      <c r="C351" s="10"/>
      <c r="D351" s="10"/>
      <c r="E351" s="10"/>
      <c r="F351" s="10"/>
      <c r="G351" s="10"/>
      <c r="H351" s="10"/>
    </row>
    <row r="352" spans="1:8" ht="14.25" customHeight="1" x14ac:dyDescent="0.35">
      <c r="A352" s="10"/>
      <c r="B352" s="10"/>
      <c r="C352" s="10"/>
      <c r="D352" s="10"/>
      <c r="E352" s="10"/>
      <c r="F352" s="10"/>
      <c r="G352" s="10"/>
      <c r="H352" s="10"/>
    </row>
    <row r="353" spans="1:8" ht="14.25" customHeight="1" x14ac:dyDescent="0.35">
      <c r="A353" s="10"/>
      <c r="B353" s="10"/>
      <c r="C353" s="10"/>
      <c r="D353" s="10"/>
      <c r="E353" s="10"/>
      <c r="F353" s="10"/>
      <c r="G353" s="10"/>
      <c r="H353" s="10"/>
    </row>
    <row r="354" spans="1:8" ht="14.25" customHeight="1" x14ac:dyDescent="0.35">
      <c r="A354" s="10"/>
      <c r="B354" s="10"/>
      <c r="C354" s="10"/>
      <c r="D354" s="10"/>
      <c r="E354" s="10"/>
      <c r="F354" s="10"/>
      <c r="G354" s="10"/>
      <c r="H354" s="10"/>
    </row>
    <row r="355" spans="1:8" ht="14.25" customHeight="1" x14ac:dyDescent="0.35">
      <c r="A355" s="10"/>
      <c r="B355" s="10"/>
      <c r="C355" s="10"/>
      <c r="D355" s="10"/>
      <c r="E355" s="10"/>
      <c r="F355" s="10"/>
      <c r="G355" s="10"/>
      <c r="H355" s="10"/>
    </row>
    <row r="356" spans="1:8" ht="14.25" customHeight="1" x14ac:dyDescent="0.35">
      <c r="A356" s="10"/>
      <c r="B356" s="10"/>
      <c r="C356" s="10"/>
      <c r="D356" s="10"/>
      <c r="E356" s="10"/>
      <c r="F356" s="10"/>
      <c r="G356" s="10"/>
      <c r="H356" s="10"/>
    </row>
    <row r="357" spans="1:8" ht="14.25" customHeight="1" x14ac:dyDescent="0.35">
      <c r="A357" s="10"/>
      <c r="B357" s="10"/>
      <c r="C357" s="10"/>
      <c r="D357" s="10"/>
      <c r="E357" s="10"/>
      <c r="F357" s="10"/>
      <c r="G357" s="10"/>
      <c r="H357" s="10"/>
    </row>
    <row r="358" spans="1:8" ht="14.25" customHeight="1" x14ac:dyDescent="0.35">
      <c r="A358" s="10"/>
      <c r="B358" s="10"/>
      <c r="C358" s="10"/>
      <c r="D358" s="10"/>
      <c r="E358" s="10"/>
      <c r="F358" s="10"/>
      <c r="G358" s="10"/>
      <c r="H358" s="10"/>
    </row>
    <row r="359" spans="1:8" ht="14.25" customHeight="1" x14ac:dyDescent="0.35">
      <c r="A359" s="10"/>
      <c r="B359" s="10"/>
      <c r="C359" s="10"/>
      <c r="D359" s="10"/>
      <c r="E359" s="10"/>
      <c r="F359" s="10"/>
      <c r="G359" s="10"/>
      <c r="H359" s="10"/>
    </row>
    <row r="360" spans="1:8" ht="14.25" customHeight="1" x14ac:dyDescent="0.35">
      <c r="A360" s="10"/>
      <c r="B360" s="10"/>
      <c r="C360" s="10"/>
      <c r="D360" s="10"/>
      <c r="E360" s="10"/>
      <c r="F360" s="10"/>
      <c r="G360" s="10"/>
      <c r="H360" s="10"/>
    </row>
    <row r="361" spans="1:8" ht="14.25" customHeight="1" x14ac:dyDescent="0.35">
      <c r="A361" s="10"/>
      <c r="B361" s="10"/>
      <c r="C361" s="10"/>
      <c r="D361" s="10"/>
      <c r="E361" s="10"/>
      <c r="F361" s="10"/>
      <c r="G361" s="10"/>
      <c r="H361" s="10"/>
    </row>
    <row r="362" spans="1:8" ht="14.25" customHeight="1" x14ac:dyDescent="0.35">
      <c r="A362" s="10"/>
      <c r="B362" s="10"/>
      <c r="C362" s="10"/>
      <c r="D362" s="10"/>
      <c r="E362" s="10"/>
      <c r="F362" s="10"/>
      <c r="G362" s="10"/>
      <c r="H362" s="10"/>
    </row>
    <row r="363" spans="1:8" ht="14.25" customHeight="1" x14ac:dyDescent="0.35">
      <c r="A363" s="10"/>
      <c r="B363" s="10"/>
      <c r="C363" s="10"/>
      <c r="D363" s="10"/>
      <c r="E363" s="10"/>
      <c r="F363" s="10"/>
      <c r="G363" s="10"/>
      <c r="H363" s="10"/>
    </row>
    <row r="364" spans="1:8" ht="14.25" customHeight="1" x14ac:dyDescent="0.35">
      <c r="A364" s="10"/>
      <c r="B364" s="10"/>
      <c r="C364" s="10"/>
      <c r="D364" s="10"/>
      <c r="E364" s="10"/>
      <c r="F364" s="10"/>
      <c r="G364" s="10"/>
      <c r="H364" s="10"/>
    </row>
    <row r="365" spans="1:8" ht="14.25" customHeight="1" x14ac:dyDescent="0.35">
      <c r="A365" s="10"/>
      <c r="B365" s="10"/>
      <c r="C365" s="10"/>
      <c r="D365" s="10"/>
      <c r="E365" s="10"/>
      <c r="F365" s="10"/>
      <c r="G365" s="10"/>
      <c r="H365" s="10"/>
    </row>
    <row r="366" spans="1:8" ht="14.25" customHeight="1" x14ac:dyDescent="0.35">
      <c r="A366" s="10"/>
      <c r="B366" s="10"/>
      <c r="C366" s="10"/>
      <c r="D366" s="10"/>
      <c r="E366" s="10"/>
      <c r="F366" s="10"/>
      <c r="G366" s="10"/>
      <c r="H366" s="10"/>
    </row>
    <row r="367" spans="1:8" ht="14.25" customHeight="1" x14ac:dyDescent="0.35">
      <c r="A367" s="10"/>
      <c r="B367" s="10"/>
      <c r="C367" s="10"/>
      <c r="D367" s="10"/>
      <c r="E367" s="10"/>
      <c r="F367" s="10"/>
      <c r="G367" s="10"/>
      <c r="H367" s="10"/>
    </row>
    <row r="368" spans="1:8" ht="14.25" customHeight="1" x14ac:dyDescent="0.35">
      <c r="A368" s="10"/>
      <c r="B368" s="10"/>
      <c r="C368" s="10"/>
      <c r="D368" s="10"/>
      <c r="E368" s="10"/>
      <c r="F368" s="10"/>
      <c r="G368" s="10"/>
      <c r="H368" s="10"/>
    </row>
    <row r="369" spans="1:8" ht="14.25" customHeight="1" x14ac:dyDescent="0.35">
      <c r="A369" s="10"/>
      <c r="B369" s="10"/>
      <c r="C369" s="10"/>
      <c r="D369" s="10"/>
      <c r="E369" s="10"/>
      <c r="F369" s="10"/>
      <c r="G369" s="10"/>
      <c r="H369" s="10"/>
    </row>
    <row r="370" spans="1:8" ht="14.25" customHeight="1" x14ac:dyDescent="0.35">
      <c r="A370" s="10"/>
      <c r="B370" s="10"/>
      <c r="C370" s="10"/>
      <c r="D370" s="10"/>
      <c r="E370" s="10"/>
      <c r="F370" s="10"/>
      <c r="G370" s="10"/>
      <c r="H370" s="10"/>
    </row>
    <row r="371" spans="1:8" ht="14.25" customHeight="1" x14ac:dyDescent="0.35">
      <c r="A371" s="10"/>
      <c r="B371" s="10"/>
      <c r="C371" s="10"/>
      <c r="D371" s="10"/>
      <c r="E371" s="10"/>
      <c r="F371" s="10"/>
      <c r="G371" s="10"/>
      <c r="H371" s="10"/>
    </row>
    <row r="372" spans="1:8" ht="14.25" customHeight="1" x14ac:dyDescent="0.35">
      <c r="A372" s="10"/>
      <c r="B372" s="10"/>
      <c r="C372" s="10"/>
      <c r="D372" s="10"/>
      <c r="E372" s="10"/>
      <c r="F372" s="10"/>
      <c r="G372" s="10"/>
      <c r="H372" s="10"/>
    </row>
    <row r="373" spans="1:8" ht="14.25" customHeight="1" x14ac:dyDescent="0.35">
      <c r="A373" s="10"/>
      <c r="B373" s="10"/>
      <c r="C373" s="10"/>
      <c r="D373" s="10"/>
      <c r="E373" s="10"/>
      <c r="F373" s="10"/>
      <c r="G373" s="10"/>
      <c r="H373" s="10"/>
    </row>
    <row r="374" spans="1:8" ht="14.25" customHeight="1" x14ac:dyDescent="0.35">
      <c r="A374" s="10"/>
      <c r="B374" s="10"/>
      <c r="C374" s="10"/>
      <c r="D374" s="10"/>
      <c r="E374" s="10"/>
      <c r="F374" s="10"/>
      <c r="G374" s="10"/>
      <c r="H374" s="10"/>
    </row>
    <row r="375" spans="1:8" ht="14.25" customHeight="1" x14ac:dyDescent="0.35">
      <c r="A375" s="10"/>
      <c r="B375" s="10"/>
      <c r="C375" s="10"/>
      <c r="D375" s="10"/>
      <c r="E375" s="10"/>
      <c r="F375" s="10"/>
      <c r="G375" s="10"/>
      <c r="H375" s="10"/>
    </row>
    <row r="376" spans="1:8" ht="14.25" customHeight="1" x14ac:dyDescent="0.35">
      <c r="A376" s="10"/>
      <c r="B376" s="10"/>
      <c r="C376" s="10"/>
      <c r="D376" s="10"/>
      <c r="E376" s="10"/>
      <c r="F376" s="10"/>
      <c r="G376" s="10"/>
      <c r="H376" s="10"/>
    </row>
    <row r="377" spans="1:8" ht="14.25" customHeight="1" x14ac:dyDescent="0.35">
      <c r="A377" s="10"/>
      <c r="B377" s="10"/>
      <c r="C377" s="10"/>
      <c r="D377" s="10"/>
      <c r="E377" s="10"/>
      <c r="F377" s="10"/>
      <c r="G377" s="10"/>
      <c r="H377" s="10"/>
    </row>
    <row r="378" spans="1:8" ht="14.25" customHeight="1" x14ac:dyDescent="0.35">
      <c r="A378" s="10"/>
      <c r="B378" s="10"/>
      <c r="C378" s="10"/>
      <c r="D378" s="10"/>
      <c r="E378" s="10"/>
      <c r="F378" s="10"/>
      <c r="G378" s="10"/>
      <c r="H378" s="10"/>
    </row>
    <row r="379" spans="1:8" ht="14.25" customHeight="1" x14ac:dyDescent="0.35">
      <c r="A379" s="10"/>
      <c r="B379" s="10"/>
      <c r="C379" s="10"/>
      <c r="D379" s="10"/>
      <c r="E379" s="10"/>
      <c r="F379" s="10"/>
      <c r="G379" s="10"/>
      <c r="H379" s="10"/>
    </row>
    <row r="380" spans="1:8" ht="14.25" customHeight="1" x14ac:dyDescent="0.35">
      <c r="A380" s="10"/>
      <c r="B380" s="10"/>
      <c r="C380" s="10"/>
      <c r="D380" s="10"/>
      <c r="E380" s="10"/>
      <c r="F380" s="10"/>
      <c r="G380" s="10"/>
      <c r="H380" s="10"/>
    </row>
    <row r="381" spans="1:8" ht="14.25" customHeight="1" x14ac:dyDescent="0.35">
      <c r="A381" s="10"/>
      <c r="B381" s="10"/>
      <c r="C381" s="10"/>
      <c r="D381" s="10"/>
      <c r="E381" s="10"/>
      <c r="F381" s="10"/>
      <c r="G381" s="10"/>
      <c r="H381" s="10"/>
    </row>
    <row r="382" spans="1:8" ht="14.25" customHeight="1" x14ac:dyDescent="0.35">
      <c r="A382" s="10"/>
      <c r="B382" s="10"/>
      <c r="C382" s="10"/>
      <c r="D382" s="10"/>
      <c r="E382" s="10"/>
      <c r="F382" s="10"/>
      <c r="G382" s="10"/>
      <c r="H382" s="10"/>
    </row>
    <row r="383" spans="1:8" ht="14.25" customHeight="1" x14ac:dyDescent="0.35">
      <c r="A383" s="10"/>
      <c r="B383" s="10"/>
      <c r="C383" s="10"/>
      <c r="D383" s="10"/>
      <c r="E383" s="10"/>
      <c r="F383" s="10"/>
      <c r="G383" s="10"/>
      <c r="H383" s="10"/>
    </row>
    <row r="384" spans="1:8" ht="14.25" customHeight="1" x14ac:dyDescent="0.35">
      <c r="A384" s="10"/>
      <c r="B384" s="10"/>
      <c r="C384" s="10"/>
      <c r="D384" s="10"/>
      <c r="E384" s="10"/>
      <c r="F384" s="10"/>
      <c r="G384" s="10"/>
      <c r="H384" s="10"/>
    </row>
    <row r="385" spans="1:8" ht="14.25" customHeight="1" x14ac:dyDescent="0.35">
      <c r="A385" s="10"/>
      <c r="B385" s="10"/>
      <c r="C385" s="10"/>
      <c r="D385" s="10"/>
      <c r="E385" s="10"/>
      <c r="F385" s="10"/>
      <c r="G385" s="10"/>
      <c r="H385" s="10"/>
    </row>
    <row r="386" spans="1:8" ht="14.25" customHeight="1" x14ac:dyDescent="0.35">
      <c r="A386" s="10"/>
      <c r="B386" s="10"/>
      <c r="C386" s="10"/>
      <c r="D386" s="10"/>
      <c r="E386" s="10"/>
      <c r="F386" s="10"/>
      <c r="G386" s="10"/>
      <c r="H386" s="10"/>
    </row>
    <row r="387" spans="1:8" ht="14.25" customHeight="1" x14ac:dyDescent="0.35">
      <c r="A387" s="10"/>
      <c r="B387" s="10"/>
      <c r="C387" s="10"/>
      <c r="D387" s="10"/>
      <c r="E387" s="10"/>
      <c r="F387" s="10"/>
      <c r="G387" s="10"/>
      <c r="H387" s="10"/>
    </row>
    <row r="388" spans="1:8" ht="14.25" customHeight="1" x14ac:dyDescent="0.35">
      <c r="A388" s="10"/>
      <c r="B388" s="10"/>
      <c r="C388" s="10"/>
      <c r="D388" s="10"/>
      <c r="E388" s="10"/>
      <c r="F388" s="10"/>
      <c r="G388" s="10"/>
      <c r="H388" s="10"/>
    </row>
    <row r="389" spans="1:8" ht="14.25" customHeight="1" x14ac:dyDescent="0.35">
      <c r="A389" s="10"/>
      <c r="B389" s="10"/>
      <c r="C389" s="10"/>
      <c r="D389" s="10"/>
      <c r="E389" s="10"/>
      <c r="F389" s="10"/>
      <c r="G389" s="10"/>
      <c r="H389" s="10"/>
    </row>
    <row r="390" spans="1:8" ht="14.25" customHeight="1" x14ac:dyDescent="0.35">
      <c r="A390" s="10"/>
      <c r="B390" s="10"/>
      <c r="C390" s="10"/>
      <c r="D390" s="10"/>
      <c r="E390" s="10"/>
      <c r="F390" s="10"/>
      <c r="G390" s="10"/>
      <c r="H390" s="10"/>
    </row>
    <row r="391" spans="1:8" ht="14.25" customHeight="1" x14ac:dyDescent="0.35">
      <c r="A391" s="10"/>
      <c r="B391" s="10"/>
      <c r="C391" s="10"/>
      <c r="D391" s="10"/>
      <c r="E391" s="10"/>
      <c r="F391" s="10"/>
      <c r="G391" s="10"/>
      <c r="H391" s="10"/>
    </row>
    <row r="392" spans="1:8" ht="14.25" customHeight="1" x14ac:dyDescent="0.35">
      <c r="A392" s="10"/>
      <c r="B392" s="10"/>
      <c r="C392" s="10"/>
      <c r="D392" s="10"/>
      <c r="E392" s="10"/>
      <c r="F392" s="10"/>
      <c r="G392" s="10"/>
      <c r="H392" s="10"/>
    </row>
    <row r="393" spans="1:8" ht="14.25" customHeight="1" x14ac:dyDescent="0.35">
      <c r="A393" s="10"/>
      <c r="B393" s="10"/>
      <c r="C393" s="10"/>
      <c r="D393" s="10"/>
      <c r="E393" s="10"/>
      <c r="F393" s="10"/>
      <c r="G393" s="10"/>
      <c r="H393" s="10"/>
    </row>
    <row r="394" spans="1:8" ht="14.25" customHeight="1" x14ac:dyDescent="0.35">
      <c r="A394" s="10"/>
      <c r="B394" s="10"/>
      <c r="C394" s="10"/>
      <c r="D394" s="10"/>
      <c r="E394" s="10"/>
      <c r="F394" s="10"/>
      <c r="G394" s="10"/>
      <c r="H394" s="10"/>
    </row>
    <row r="395" spans="1:8" ht="14.25" customHeight="1" x14ac:dyDescent="0.35">
      <c r="A395" s="10"/>
      <c r="B395" s="10"/>
      <c r="C395" s="10"/>
      <c r="D395" s="10"/>
      <c r="E395" s="10"/>
      <c r="F395" s="10"/>
      <c r="G395" s="10"/>
      <c r="H395" s="10"/>
    </row>
    <row r="396" spans="1:8" ht="14.25" customHeight="1" x14ac:dyDescent="0.35">
      <c r="A396" s="10"/>
      <c r="B396" s="10"/>
      <c r="C396" s="10"/>
      <c r="D396" s="10"/>
      <c r="E396" s="10"/>
      <c r="F396" s="10"/>
      <c r="G396" s="10"/>
      <c r="H396" s="10"/>
    </row>
    <row r="397" spans="1:8" ht="14.25" customHeight="1" x14ac:dyDescent="0.35">
      <c r="A397" s="10"/>
      <c r="B397" s="10"/>
      <c r="C397" s="10"/>
      <c r="D397" s="10"/>
      <c r="E397" s="10"/>
      <c r="F397" s="10"/>
      <c r="G397" s="10"/>
      <c r="H397" s="10"/>
    </row>
    <row r="398" spans="1:8" ht="14.25" customHeight="1" x14ac:dyDescent="0.35">
      <c r="A398" s="10"/>
      <c r="B398" s="10"/>
      <c r="C398" s="10"/>
      <c r="D398" s="10"/>
      <c r="E398" s="10"/>
      <c r="F398" s="10"/>
      <c r="G398" s="10"/>
      <c r="H398" s="10"/>
    </row>
    <row r="399" spans="1:8" ht="14.25" customHeight="1" x14ac:dyDescent="0.35">
      <c r="A399" s="10"/>
      <c r="B399" s="10"/>
      <c r="C399" s="10"/>
      <c r="D399" s="10"/>
      <c r="E399" s="10"/>
      <c r="F399" s="10"/>
      <c r="G399" s="10"/>
      <c r="H399" s="10"/>
    </row>
    <row r="400" spans="1:8" ht="14.25" customHeight="1" x14ac:dyDescent="0.35">
      <c r="A400" s="10"/>
      <c r="B400" s="10"/>
      <c r="C400" s="10"/>
      <c r="D400" s="10"/>
      <c r="E400" s="10"/>
      <c r="F400" s="10"/>
      <c r="G400" s="10"/>
      <c r="H400" s="10"/>
    </row>
    <row r="401" spans="1:8" ht="14.25" customHeight="1" x14ac:dyDescent="0.35">
      <c r="A401" s="10"/>
      <c r="B401" s="10"/>
      <c r="C401" s="10"/>
      <c r="D401" s="10"/>
      <c r="E401" s="10"/>
      <c r="F401" s="10"/>
      <c r="G401" s="10"/>
      <c r="H401" s="10"/>
    </row>
    <row r="402" spans="1:8" ht="14.25" customHeight="1" x14ac:dyDescent="0.35">
      <c r="A402" s="10"/>
      <c r="B402" s="10"/>
      <c r="C402" s="10"/>
      <c r="D402" s="10"/>
      <c r="E402" s="10"/>
      <c r="F402" s="10"/>
      <c r="G402" s="10"/>
      <c r="H402" s="10"/>
    </row>
    <row r="403" spans="1:8" ht="14.25" customHeight="1" x14ac:dyDescent="0.35">
      <c r="A403" s="10"/>
      <c r="B403" s="10"/>
      <c r="C403" s="10"/>
      <c r="D403" s="10"/>
      <c r="E403" s="10"/>
      <c r="F403" s="10"/>
      <c r="G403" s="10"/>
      <c r="H403" s="10"/>
    </row>
    <row r="404" spans="1:8" ht="14.25" customHeight="1" x14ac:dyDescent="0.35">
      <c r="A404" s="10"/>
      <c r="B404" s="10"/>
      <c r="C404" s="10"/>
      <c r="D404" s="10"/>
      <c r="E404" s="10"/>
      <c r="F404" s="10"/>
      <c r="G404" s="10"/>
      <c r="H404" s="10"/>
    </row>
    <row r="405" spans="1:8" ht="14.25" customHeight="1" x14ac:dyDescent="0.35">
      <c r="A405" s="10"/>
      <c r="B405" s="10"/>
      <c r="C405" s="10"/>
      <c r="D405" s="10"/>
      <c r="E405" s="10"/>
      <c r="F405" s="10"/>
      <c r="G405" s="10"/>
      <c r="H405" s="10"/>
    </row>
    <row r="406" spans="1:8" ht="14.25" customHeight="1" x14ac:dyDescent="0.35">
      <c r="A406" s="10"/>
      <c r="B406" s="10"/>
      <c r="C406" s="10"/>
      <c r="D406" s="10"/>
      <c r="E406" s="10"/>
      <c r="F406" s="10"/>
      <c r="G406" s="10"/>
      <c r="H406" s="10"/>
    </row>
    <row r="407" spans="1:8" ht="14.25" customHeight="1" x14ac:dyDescent="0.35">
      <c r="A407" s="10"/>
      <c r="B407" s="10"/>
      <c r="C407" s="10"/>
      <c r="D407" s="10"/>
      <c r="E407" s="10"/>
      <c r="F407" s="10"/>
      <c r="G407" s="10"/>
      <c r="H407" s="10"/>
    </row>
    <row r="408" spans="1:8" ht="14.25" customHeight="1" x14ac:dyDescent="0.35">
      <c r="A408" s="10"/>
      <c r="B408" s="10"/>
      <c r="C408" s="10"/>
      <c r="D408" s="10"/>
      <c r="E408" s="10"/>
      <c r="F408" s="10"/>
      <c r="G408" s="10"/>
      <c r="H408" s="10"/>
    </row>
    <row r="409" spans="1:8" ht="14.25" customHeight="1" x14ac:dyDescent="0.35">
      <c r="A409" s="10"/>
      <c r="B409" s="10"/>
      <c r="C409" s="10"/>
      <c r="D409" s="10"/>
      <c r="E409" s="10"/>
      <c r="F409" s="10"/>
      <c r="G409" s="10"/>
      <c r="H409" s="10"/>
    </row>
    <row r="410" spans="1:8" ht="14.25" customHeight="1" x14ac:dyDescent="0.35">
      <c r="A410" s="10"/>
      <c r="B410" s="10"/>
      <c r="C410" s="10"/>
      <c r="D410" s="10"/>
      <c r="E410" s="10"/>
      <c r="F410" s="10"/>
      <c r="G410" s="10"/>
      <c r="H410" s="10"/>
    </row>
    <row r="411" spans="1:8" ht="14.25" customHeight="1" x14ac:dyDescent="0.35">
      <c r="A411" s="10"/>
      <c r="B411" s="10"/>
      <c r="C411" s="10"/>
      <c r="D411" s="10"/>
      <c r="E411" s="10"/>
      <c r="F411" s="10"/>
      <c r="G411" s="10"/>
      <c r="H411" s="10"/>
    </row>
    <row r="412" spans="1:8" ht="14.25" customHeight="1" x14ac:dyDescent="0.35">
      <c r="A412" s="10"/>
      <c r="B412" s="10"/>
      <c r="C412" s="10"/>
      <c r="D412" s="10"/>
      <c r="E412" s="10"/>
      <c r="F412" s="10"/>
      <c r="G412" s="10"/>
      <c r="H412" s="10"/>
    </row>
    <row r="413" spans="1:8" ht="14.25" customHeight="1" x14ac:dyDescent="0.35">
      <c r="A413" s="10"/>
      <c r="B413" s="10"/>
      <c r="C413" s="10"/>
      <c r="D413" s="10"/>
      <c r="E413" s="10"/>
      <c r="F413" s="10"/>
      <c r="G413" s="10"/>
      <c r="H413" s="10"/>
    </row>
    <row r="414" spans="1:8" ht="14.25" customHeight="1" x14ac:dyDescent="0.35">
      <c r="A414" s="10"/>
      <c r="B414" s="10"/>
      <c r="C414" s="10"/>
      <c r="D414" s="10"/>
      <c r="E414" s="10"/>
      <c r="F414" s="10"/>
      <c r="G414" s="10"/>
      <c r="H414" s="10"/>
    </row>
    <row r="415" spans="1:8" ht="14.25" customHeight="1" x14ac:dyDescent="0.35">
      <c r="A415" s="10"/>
      <c r="B415" s="10"/>
      <c r="C415" s="10"/>
      <c r="D415" s="10"/>
      <c r="E415" s="10"/>
      <c r="F415" s="10"/>
      <c r="G415" s="10"/>
      <c r="H415" s="10"/>
    </row>
    <row r="416" spans="1:8" ht="14.25" customHeight="1" x14ac:dyDescent="0.35">
      <c r="A416" s="10"/>
      <c r="B416" s="10"/>
      <c r="C416" s="10"/>
      <c r="D416" s="10"/>
      <c r="E416" s="10"/>
      <c r="F416" s="10"/>
      <c r="G416" s="10"/>
      <c r="H416" s="10"/>
    </row>
    <row r="417" spans="1:8" ht="14.25" customHeight="1" x14ac:dyDescent="0.35">
      <c r="A417" s="10"/>
      <c r="B417" s="10"/>
      <c r="C417" s="10"/>
      <c r="D417" s="10"/>
      <c r="E417" s="10"/>
      <c r="F417" s="10"/>
      <c r="G417" s="10"/>
      <c r="H417" s="10"/>
    </row>
    <row r="418" spans="1:8" ht="14.25" customHeight="1" x14ac:dyDescent="0.35">
      <c r="A418" s="10"/>
      <c r="B418" s="10"/>
      <c r="C418" s="10"/>
      <c r="D418" s="10"/>
      <c r="E418" s="10"/>
      <c r="F418" s="10"/>
      <c r="G418" s="10"/>
      <c r="H418" s="10"/>
    </row>
    <row r="419" spans="1:8" ht="14.25" customHeight="1" x14ac:dyDescent="0.35">
      <c r="A419" s="10"/>
      <c r="B419" s="10"/>
      <c r="C419" s="10"/>
      <c r="D419" s="10"/>
      <c r="E419" s="10"/>
      <c r="F419" s="10"/>
      <c r="G419" s="10"/>
      <c r="H419" s="10"/>
    </row>
    <row r="420" spans="1:8" ht="14.25" customHeight="1" x14ac:dyDescent="0.35">
      <c r="A420" s="10"/>
      <c r="B420" s="10"/>
      <c r="C420" s="10"/>
      <c r="D420" s="10"/>
      <c r="E420" s="10"/>
      <c r="F420" s="10"/>
      <c r="G420" s="10"/>
      <c r="H420" s="10"/>
    </row>
    <row r="421" spans="1:8" ht="14.25" customHeight="1" x14ac:dyDescent="0.35">
      <c r="A421" s="10"/>
      <c r="B421" s="10"/>
      <c r="C421" s="10"/>
      <c r="D421" s="10"/>
      <c r="E421" s="10"/>
      <c r="F421" s="10"/>
      <c r="G421" s="10"/>
      <c r="H421" s="10"/>
    </row>
    <row r="422" spans="1:8" ht="14.25" customHeight="1" x14ac:dyDescent="0.35">
      <c r="A422" s="10"/>
      <c r="B422" s="10"/>
      <c r="C422" s="10"/>
      <c r="D422" s="10"/>
      <c r="E422" s="10"/>
      <c r="F422" s="10"/>
      <c r="G422" s="10"/>
      <c r="H422" s="10"/>
    </row>
    <row r="423" spans="1:8" ht="14.25" customHeight="1" x14ac:dyDescent="0.35">
      <c r="A423" s="10"/>
      <c r="B423" s="10"/>
      <c r="C423" s="10"/>
      <c r="D423" s="10"/>
      <c r="E423" s="10"/>
      <c r="F423" s="10"/>
      <c r="G423" s="10"/>
      <c r="H423" s="10"/>
    </row>
    <row r="424" spans="1:8" ht="14.25" customHeight="1" x14ac:dyDescent="0.35">
      <c r="A424" s="10"/>
      <c r="B424" s="10"/>
      <c r="C424" s="10"/>
      <c r="D424" s="10"/>
      <c r="E424" s="10"/>
      <c r="F424" s="10"/>
      <c r="G424" s="10"/>
      <c r="H424" s="10"/>
    </row>
    <row r="425" spans="1:8" ht="14.25" customHeight="1" x14ac:dyDescent="0.35">
      <c r="A425" s="10"/>
      <c r="B425" s="10"/>
      <c r="C425" s="10"/>
      <c r="D425" s="10"/>
      <c r="E425" s="10"/>
      <c r="F425" s="10"/>
      <c r="G425" s="10"/>
      <c r="H425" s="10"/>
    </row>
    <row r="426" spans="1:8" ht="14.25" customHeight="1" x14ac:dyDescent="0.35">
      <c r="A426" s="10"/>
      <c r="B426" s="10"/>
      <c r="C426" s="10"/>
      <c r="D426" s="10"/>
      <c r="E426" s="10"/>
      <c r="F426" s="10"/>
      <c r="G426" s="10"/>
      <c r="H426" s="10"/>
    </row>
    <row r="427" spans="1:8" ht="14.25" customHeight="1" x14ac:dyDescent="0.35">
      <c r="A427" s="10"/>
      <c r="B427" s="10"/>
      <c r="C427" s="10"/>
      <c r="D427" s="10"/>
      <c r="E427" s="10"/>
      <c r="F427" s="10"/>
      <c r="G427" s="10"/>
      <c r="H427" s="10"/>
    </row>
    <row r="428" spans="1:8" ht="14.25" customHeight="1" x14ac:dyDescent="0.35">
      <c r="A428" s="10"/>
      <c r="B428" s="10"/>
      <c r="C428" s="10"/>
      <c r="D428" s="10"/>
      <c r="E428" s="10"/>
      <c r="F428" s="10"/>
      <c r="G428" s="10"/>
      <c r="H428" s="10"/>
    </row>
    <row r="429" spans="1:8" ht="14.25" customHeight="1" x14ac:dyDescent="0.35">
      <c r="A429" s="10"/>
      <c r="B429" s="10"/>
      <c r="C429" s="10"/>
      <c r="D429" s="10"/>
      <c r="E429" s="10"/>
      <c r="F429" s="10"/>
      <c r="G429" s="10"/>
      <c r="H429" s="10"/>
    </row>
    <row r="430" spans="1:8" ht="14.25" customHeight="1" x14ac:dyDescent="0.35">
      <c r="A430" s="10"/>
      <c r="B430" s="10"/>
      <c r="C430" s="10"/>
      <c r="D430" s="10"/>
      <c r="E430" s="10"/>
      <c r="F430" s="10"/>
      <c r="G430" s="10"/>
      <c r="H430" s="10"/>
    </row>
    <row r="431" spans="1:8" ht="14.25" customHeight="1" x14ac:dyDescent="0.35">
      <c r="A431" s="10"/>
      <c r="B431" s="10"/>
      <c r="C431" s="10"/>
      <c r="D431" s="10"/>
      <c r="E431" s="10"/>
      <c r="F431" s="10"/>
      <c r="G431" s="10"/>
      <c r="H431" s="10"/>
    </row>
    <row r="432" spans="1:8" ht="14.25" customHeight="1" x14ac:dyDescent="0.35">
      <c r="A432" s="10"/>
      <c r="B432" s="10"/>
      <c r="C432" s="10"/>
      <c r="D432" s="10"/>
      <c r="E432" s="10"/>
      <c r="F432" s="10"/>
      <c r="G432" s="10"/>
      <c r="H432" s="10"/>
    </row>
    <row r="433" spans="1:8" ht="14.25" customHeight="1" x14ac:dyDescent="0.35">
      <c r="A433" s="10"/>
      <c r="B433" s="10"/>
      <c r="C433" s="10"/>
      <c r="D433" s="10"/>
      <c r="E433" s="10"/>
      <c r="F433" s="10"/>
      <c r="G433" s="10"/>
      <c r="H433" s="10"/>
    </row>
    <row r="434" spans="1:8" ht="14.25" customHeight="1" x14ac:dyDescent="0.35">
      <c r="A434" s="10"/>
      <c r="B434" s="10"/>
      <c r="C434" s="10"/>
      <c r="D434" s="10"/>
      <c r="E434" s="10"/>
      <c r="F434" s="10"/>
      <c r="G434" s="10"/>
      <c r="H434" s="10"/>
    </row>
    <row r="435" spans="1:8" ht="14.25" customHeight="1" x14ac:dyDescent="0.35">
      <c r="A435" s="10"/>
      <c r="B435" s="10"/>
      <c r="C435" s="10"/>
      <c r="D435" s="10"/>
      <c r="E435" s="10"/>
      <c r="F435" s="10"/>
      <c r="G435" s="10"/>
      <c r="H435" s="10"/>
    </row>
    <row r="436" spans="1:8" ht="14.25" customHeight="1" x14ac:dyDescent="0.35">
      <c r="A436" s="10"/>
      <c r="B436" s="10"/>
      <c r="C436" s="10"/>
      <c r="D436" s="10"/>
      <c r="E436" s="10"/>
      <c r="F436" s="10"/>
      <c r="G436" s="10"/>
      <c r="H436" s="10"/>
    </row>
    <row r="437" spans="1:8" ht="14.25" customHeight="1" x14ac:dyDescent="0.35">
      <c r="A437" s="10"/>
      <c r="B437" s="10"/>
      <c r="C437" s="10"/>
      <c r="D437" s="10"/>
      <c r="E437" s="10"/>
      <c r="F437" s="10"/>
      <c r="G437" s="10"/>
      <c r="H437" s="10"/>
    </row>
    <row r="438" spans="1:8" ht="14.25" customHeight="1" x14ac:dyDescent="0.35">
      <c r="A438" s="10"/>
      <c r="B438" s="10"/>
      <c r="C438" s="10"/>
      <c r="D438" s="10"/>
      <c r="E438" s="10"/>
      <c r="F438" s="10"/>
      <c r="G438" s="10"/>
      <c r="H438" s="10"/>
    </row>
    <row r="439" spans="1:8" ht="14.25" customHeight="1" x14ac:dyDescent="0.35">
      <c r="A439" s="10"/>
      <c r="B439" s="10"/>
      <c r="C439" s="10"/>
      <c r="D439" s="10"/>
      <c r="E439" s="10"/>
      <c r="F439" s="10"/>
      <c r="G439" s="10"/>
      <c r="H439" s="10"/>
    </row>
    <row r="440" spans="1:8" ht="14.25" customHeight="1" x14ac:dyDescent="0.35">
      <c r="A440" s="10"/>
      <c r="B440" s="10"/>
      <c r="C440" s="10"/>
      <c r="D440" s="10"/>
      <c r="E440" s="10"/>
      <c r="F440" s="10"/>
      <c r="G440" s="10"/>
      <c r="H440" s="10"/>
    </row>
    <row r="441" spans="1:8" ht="14.25" customHeight="1" x14ac:dyDescent="0.35">
      <c r="A441" s="10"/>
      <c r="B441" s="10"/>
      <c r="C441" s="10"/>
      <c r="D441" s="10"/>
      <c r="E441" s="10"/>
      <c r="F441" s="10"/>
      <c r="G441" s="10"/>
      <c r="H441" s="10"/>
    </row>
    <row r="442" spans="1:8" ht="14.25" customHeight="1" x14ac:dyDescent="0.35">
      <c r="A442" s="10"/>
      <c r="B442" s="10"/>
      <c r="C442" s="10"/>
      <c r="D442" s="10"/>
      <c r="E442" s="10"/>
      <c r="F442" s="10"/>
      <c r="G442" s="10"/>
      <c r="H442" s="10"/>
    </row>
    <row r="443" spans="1:8" ht="14.25" customHeight="1" x14ac:dyDescent="0.35">
      <c r="A443" s="10"/>
      <c r="B443" s="10"/>
      <c r="C443" s="10"/>
      <c r="D443" s="10"/>
      <c r="E443" s="10"/>
      <c r="F443" s="10"/>
      <c r="G443" s="10"/>
      <c r="H443" s="10"/>
    </row>
    <row r="444" spans="1:8" ht="14.25" customHeight="1" x14ac:dyDescent="0.35">
      <c r="A444" s="10"/>
      <c r="B444" s="10"/>
      <c r="C444" s="10"/>
      <c r="D444" s="10"/>
      <c r="E444" s="10"/>
      <c r="F444" s="10"/>
      <c r="G444" s="10"/>
      <c r="H444" s="10"/>
    </row>
    <row r="445" spans="1:8" ht="14.25" customHeight="1" x14ac:dyDescent="0.35">
      <c r="A445" s="10"/>
      <c r="B445" s="10"/>
      <c r="C445" s="10"/>
      <c r="D445" s="10"/>
      <c r="E445" s="10"/>
      <c r="F445" s="10"/>
      <c r="G445" s="10"/>
      <c r="H445" s="10"/>
    </row>
    <row r="446" spans="1:8" ht="14.25" customHeight="1" x14ac:dyDescent="0.35">
      <c r="A446" s="10"/>
      <c r="B446" s="10"/>
      <c r="C446" s="10"/>
      <c r="D446" s="10"/>
      <c r="E446" s="10"/>
      <c r="F446" s="10"/>
      <c r="G446" s="10"/>
      <c r="H446" s="10"/>
    </row>
    <row r="447" spans="1:8" ht="14.25" customHeight="1" x14ac:dyDescent="0.35">
      <c r="A447" s="10"/>
      <c r="B447" s="10"/>
      <c r="C447" s="10"/>
      <c r="D447" s="10"/>
      <c r="E447" s="10"/>
      <c r="F447" s="10"/>
      <c r="G447" s="10"/>
      <c r="H447" s="10"/>
    </row>
    <row r="448" spans="1:8" ht="14.25" customHeight="1" x14ac:dyDescent="0.35">
      <c r="A448" s="10"/>
      <c r="B448" s="10"/>
      <c r="C448" s="10"/>
      <c r="D448" s="10"/>
      <c r="E448" s="10"/>
      <c r="F448" s="10"/>
      <c r="G448" s="10"/>
      <c r="H448" s="10"/>
    </row>
    <row r="449" spans="1:8" ht="14.25" customHeight="1" x14ac:dyDescent="0.35">
      <c r="A449" s="10"/>
      <c r="B449" s="10"/>
      <c r="C449" s="10"/>
      <c r="D449" s="10"/>
      <c r="E449" s="10"/>
      <c r="F449" s="10"/>
      <c r="G449" s="10"/>
      <c r="H449" s="10"/>
    </row>
    <row r="450" spans="1:8" ht="14.25" customHeight="1" x14ac:dyDescent="0.35">
      <c r="A450" s="10"/>
      <c r="B450" s="10"/>
      <c r="C450" s="10"/>
      <c r="D450" s="10"/>
      <c r="E450" s="10"/>
      <c r="F450" s="10"/>
      <c r="G450" s="10"/>
      <c r="H450" s="10"/>
    </row>
    <row r="451" spans="1:8" ht="14.25" customHeight="1" x14ac:dyDescent="0.35">
      <c r="A451" s="10"/>
      <c r="B451" s="10"/>
      <c r="C451" s="10"/>
      <c r="D451" s="10"/>
      <c r="E451" s="10"/>
      <c r="F451" s="10"/>
      <c r="G451" s="10"/>
      <c r="H451" s="10"/>
    </row>
    <row r="452" spans="1:8" ht="14.25" customHeight="1" x14ac:dyDescent="0.35">
      <c r="A452" s="10"/>
      <c r="B452" s="10"/>
      <c r="C452" s="10"/>
      <c r="D452" s="10"/>
      <c r="E452" s="10"/>
      <c r="F452" s="10"/>
      <c r="G452" s="10"/>
      <c r="H452" s="10"/>
    </row>
    <row r="453" spans="1:8" ht="14.25" customHeight="1" x14ac:dyDescent="0.35">
      <c r="A453" s="10"/>
      <c r="B453" s="10"/>
      <c r="C453" s="10"/>
      <c r="D453" s="10"/>
      <c r="E453" s="10"/>
      <c r="F453" s="10"/>
      <c r="G453" s="10"/>
      <c r="H453" s="10"/>
    </row>
    <row r="454" spans="1:8" ht="14.25" customHeight="1" x14ac:dyDescent="0.35">
      <c r="A454" s="10"/>
      <c r="B454" s="10"/>
      <c r="C454" s="10"/>
      <c r="D454" s="10"/>
      <c r="E454" s="10"/>
      <c r="F454" s="10"/>
      <c r="G454" s="10"/>
      <c r="H454" s="10"/>
    </row>
    <row r="455" spans="1:8" ht="14.25" customHeight="1" x14ac:dyDescent="0.35">
      <c r="A455" s="10"/>
      <c r="B455" s="10"/>
      <c r="C455" s="10"/>
      <c r="D455" s="10"/>
      <c r="E455" s="10"/>
      <c r="F455" s="10"/>
      <c r="G455" s="10"/>
      <c r="H455" s="10"/>
    </row>
    <row r="456" spans="1:8" ht="14.25" customHeight="1" x14ac:dyDescent="0.35">
      <c r="A456" s="10"/>
      <c r="B456" s="10"/>
      <c r="C456" s="10"/>
      <c r="D456" s="10"/>
      <c r="E456" s="10"/>
      <c r="F456" s="10"/>
      <c r="G456" s="10"/>
      <c r="H456" s="10"/>
    </row>
    <row r="457" spans="1:8" ht="14.25" customHeight="1" x14ac:dyDescent="0.35">
      <c r="A457" s="10"/>
      <c r="B457" s="10"/>
      <c r="C457" s="10"/>
      <c r="D457" s="10"/>
      <c r="E457" s="10"/>
      <c r="F457" s="10"/>
      <c r="G457" s="10"/>
      <c r="H457" s="10"/>
    </row>
    <row r="458" spans="1:8" ht="14.25" customHeight="1" x14ac:dyDescent="0.35">
      <c r="A458" s="10"/>
      <c r="B458" s="10"/>
      <c r="C458" s="10"/>
      <c r="D458" s="10"/>
      <c r="E458" s="10"/>
      <c r="F458" s="10"/>
      <c r="G458" s="10"/>
      <c r="H458" s="10"/>
    </row>
    <row r="459" spans="1:8" ht="14.25" customHeight="1" x14ac:dyDescent="0.35">
      <c r="A459" s="10"/>
      <c r="B459" s="10"/>
      <c r="C459" s="10"/>
      <c r="D459" s="10"/>
      <c r="E459" s="10"/>
      <c r="F459" s="10"/>
      <c r="G459" s="10"/>
      <c r="H459" s="10"/>
    </row>
    <row r="460" spans="1:8" ht="14.25" customHeight="1" x14ac:dyDescent="0.35">
      <c r="A460" s="10"/>
      <c r="B460" s="10"/>
      <c r="C460" s="10"/>
      <c r="D460" s="10"/>
      <c r="E460" s="10"/>
      <c r="F460" s="10"/>
      <c r="G460" s="10"/>
      <c r="H460" s="10"/>
    </row>
    <row r="461" spans="1:8" ht="14.25" customHeight="1" x14ac:dyDescent="0.35">
      <c r="A461" s="10"/>
      <c r="B461" s="10"/>
      <c r="C461" s="10"/>
      <c r="D461" s="10"/>
      <c r="E461" s="10"/>
      <c r="F461" s="10"/>
      <c r="G461" s="10"/>
      <c r="H461" s="10"/>
    </row>
    <row r="462" spans="1:8" ht="14.25" customHeight="1" x14ac:dyDescent="0.35">
      <c r="A462" s="10"/>
      <c r="B462" s="10"/>
      <c r="C462" s="10"/>
      <c r="D462" s="10"/>
      <c r="E462" s="10"/>
      <c r="F462" s="10"/>
      <c r="G462" s="10"/>
      <c r="H462" s="10"/>
    </row>
    <row r="463" spans="1:8" ht="14.25" customHeight="1" x14ac:dyDescent="0.35">
      <c r="A463" s="10"/>
      <c r="B463" s="10"/>
      <c r="C463" s="10"/>
      <c r="D463" s="10"/>
      <c r="E463" s="10"/>
      <c r="F463" s="10"/>
      <c r="G463" s="10"/>
      <c r="H463" s="10"/>
    </row>
    <row r="464" spans="1:8" ht="14.25" customHeight="1" x14ac:dyDescent="0.35">
      <c r="A464" s="10"/>
      <c r="B464" s="10"/>
      <c r="C464" s="10"/>
      <c r="D464" s="10"/>
      <c r="E464" s="10"/>
      <c r="F464" s="10"/>
      <c r="G464" s="10"/>
      <c r="H464" s="10"/>
    </row>
    <row r="465" spans="1:8" ht="14.25" customHeight="1" x14ac:dyDescent="0.35">
      <c r="A465" s="10"/>
      <c r="B465" s="10"/>
      <c r="C465" s="10"/>
      <c r="D465" s="10"/>
      <c r="E465" s="10"/>
      <c r="F465" s="10"/>
      <c r="G465" s="10"/>
      <c r="H465" s="10"/>
    </row>
    <row r="466" spans="1:8" ht="14.25" customHeight="1" x14ac:dyDescent="0.35">
      <c r="A466" s="10"/>
      <c r="B466" s="10"/>
      <c r="C466" s="10"/>
      <c r="D466" s="10"/>
      <c r="E466" s="10"/>
      <c r="F466" s="10"/>
      <c r="G466" s="10"/>
      <c r="H466" s="10"/>
    </row>
    <row r="467" spans="1:8" ht="14.25" customHeight="1" x14ac:dyDescent="0.35">
      <c r="A467" s="10"/>
      <c r="B467" s="10"/>
      <c r="C467" s="10"/>
      <c r="D467" s="10"/>
      <c r="E467" s="10"/>
      <c r="F467" s="10"/>
      <c r="G467" s="10"/>
      <c r="H467" s="10"/>
    </row>
    <row r="468" spans="1:8" ht="14.25" customHeight="1" x14ac:dyDescent="0.35">
      <c r="A468" s="10"/>
      <c r="B468" s="10"/>
      <c r="C468" s="10"/>
      <c r="D468" s="10"/>
      <c r="E468" s="10"/>
      <c r="F468" s="10"/>
      <c r="G468" s="10"/>
      <c r="H468" s="10"/>
    </row>
    <row r="469" spans="1:8" ht="14.25" customHeight="1" x14ac:dyDescent="0.35">
      <c r="A469" s="10"/>
      <c r="B469" s="10"/>
      <c r="C469" s="10"/>
      <c r="D469" s="10"/>
      <c r="E469" s="10"/>
      <c r="F469" s="10"/>
      <c r="G469" s="10"/>
      <c r="H469" s="10"/>
    </row>
    <row r="470" spans="1:8" ht="14.25" customHeight="1" x14ac:dyDescent="0.35">
      <c r="A470" s="10"/>
      <c r="B470" s="10"/>
      <c r="C470" s="10"/>
      <c r="D470" s="10"/>
      <c r="E470" s="10"/>
      <c r="F470" s="10"/>
      <c r="G470" s="10"/>
      <c r="H470" s="10"/>
    </row>
    <row r="471" spans="1:8" ht="14.25" customHeight="1" x14ac:dyDescent="0.35">
      <c r="A471" s="10"/>
      <c r="B471" s="10"/>
      <c r="C471" s="10"/>
      <c r="D471" s="10"/>
      <c r="E471" s="10"/>
      <c r="F471" s="10"/>
      <c r="G471" s="10"/>
      <c r="H471" s="10"/>
    </row>
    <row r="472" spans="1:8" ht="14.25" customHeight="1" x14ac:dyDescent="0.35">
      <c r="A472" s="10"/>
      <c r="B472" s="10"/>
      <c r="C472" s="10"/>
      <c r="D472" s="10"/>
      <c r="E472" s="10"/>
      <c r="F472" s="10"/>
      <c r="G472" s="10"/>
      <c r="H472" s="10"/>
    </row>
    <row r="473" spans="1:8" ht="14.25" customHeight="1" x14ac:dyDescent="0.35">
      <c r="A473" s="10"/>
      <c r="B473" s="10"/>
      <c r="C473" s="10"/>
      <c r="D473" s="10"/>
      <c r="E473" s="10"/>
      <c r="F473" s="10"/>
      <c r="G473" s="10"/>
      <c r="H473" s="10"/>
    </row>
    <row r="474" spans="1:8" ht="14.25" customHeight="1" x14ac:dyDescent="0.35">
      <c r="A474" s="10"/>
      <c r="B474" s="10"/>
      <c r="C474" s="10"/>
      <c r="D474" s="10"/>
      <c r="E474" s="10"/>
      <c r="F474" s="10"/>
      <c r="G474" s="10"/>
      <c r="H474" s="10"/>
    </row>
    <row r="475" spans="1:8" ht="14.25" customHeight="1" x14ac:dyDescent="0.35">
      <c r="A475" s="10"/>
      <c r="B475" s="10"/>
      <c r="C475" s="10"/>
      <c r="D475" s="10"/>
      <c r="E475" s="10"/>
      <c r="F475" s="10"/>
      <c r="G475" s="10"/>
      <c r="H475" s="10"/>
    </row>
    <row r="476" spans="1:8" ht="14.25" customHeight="1" x14ac:dyDescent="0.35">
      <c r="A476" s="10"/>
      <c r="B476" s="10"/>
      <c r="C476" s="10"/>
      <c r="D476" s="10"/>
      <c r="E476" s="10"/>
      <c r="F476" s="10"/>
      <c r="G476" s="10"/>
      <c r="H476" s="10"/>
    </row>
    <row r="477" spans="1:8" ht="14.25" customHeight="1" x14ac:dyDescent="0.35">
      <c r="A477" s="10"/>
      <c r="B477" s="10"/>
      <c r="C477" s="10"/>
      <c r="D477" s="10"/>
      <c r="E477" s="10"/>
      <c r="F477" s="10"/>
      <c r="G477" s="10"/>
      <c r="H477" s="10"/>
    </row>
    <row r="478" spans="1:8" ht="14.25" customHeight="1" x14ac:dyDescent="0.35">
      <c r="A478" s="10"/>
      <c r="B478" s="10"/>
      <c r="C478" s="10"/>
      <c r="D478" s="10"/>
      <c r="E478" s="10"/>
      <c r="F478" s="10"/>
      <c r="G478" s="10"/>
      <c r="H478" s="10"/>
    </row>
    <row r="479" spans="1:8" ht="14.25" customHeight="1" x14ac:dyDescent="0.35">
      <c r="A479" s="10"/>
      <c r="B479" s="10"/>
      <c r="C479" s="10"/>
      <c r="D479" s="10"/>
      <c r="E479" s="10"/>
      <c r="F479" s="10"/>
      <c r="G479" s="10"/>
      <c r="H479" s="10"/>
    </row>
    <row r="480" spans="1:8" ht="14.25" customHeight="1" x14ac:dyDescent="0.35">
      <c r="A480" s="10"/>
      <c r="B480" s="10"/>
      <c r="C480" s="10"/>
      <c r="D480" s="10"/>
      <c r="E480" s="10"/>
      <c r="F480" s="10"/>
      <c r="G480" s="10"/>
      <c r="H480" s="10"/>
    </row>
    <row r="481" spans="1:8" ht="14.25" customHeight="1" x14ac:dyDescent="0.35">
      <c r="A481" s="10"/>
      <c r="B481" s="10"/>
      <c r="C481" s="10"/>
      <c r="D481" s="10"/>
      <c r="E481" s="10"/>
      <c r="F481" s="10"/>
      <c r="G481" s="10"/>
      <c r="H481" s="10"/>
    </row>
    <row r="482" spans="1:8" ht="14.25" customHeight="1" x14ac:dyDescent="0.35">
      <c r="A482" s="10"/>
      <c r="B482" s="10"/>
      <c r="C482" s="10"/>
      <c r="D482" s="10"/>
      <c r="E482" s="10"/>
      <c r="F482" s="10"/>
      <c r="G482" s="10"/>
      <c r="H482" s="10"/>
    </row>
    <row r="483" spans="1:8" ht="14.25" customHeight="1" x14ac:dyDescent="0.35">
      <c r="A483" s="10"/>
      <c r="B483" s="10"/>
      <c r="C483" s="10"/>
      <c r="D483" s="10"/>
      <c r="E483" s="10"/>
      <c r="F483" s="10"/>
      <c r="G483" s="10"/>
      <c r="H483" s="10"/>
    </row>
    <row r="484" spans="1:8" ht="14.25" customHeight="1" x14ac:dyDescent="0.35">
      <c r="A484" s="10"/>
      <c r="B484" s="10"/>
      <c r="C484" s="10"/>
      <c r="D484" s="10"/>
      <c r="E484" s="10"/>
      <c r="F484" s="10"/>
      <c r="G484" s="10"/>
      <c r="H484" s="10"/>
    </row>
    <row r="485" spans="1:8" ht="14.25" customHeight="1" x14ac:dyDescent="0.35">
      <c r="A485" s="10"/>
      <c r="B485" s="10"/>
      <c r="C485" s="10"/>
      <c r="D485" s="10"/>
      <c r="E485" s="10"/>
      <c r="F485" s="10"/>
      <c r="G485" s="10"/>
      <c r="H485" s="10"/>
    </row>
    <row r="486" spans="1:8" ht="14.25" customHeight="1" x14ac:dyDescent="0.35">
      <c r="A486" s="10"/>
      <c r="B486" s="10"/>
      <c r="C486" s="10"/>
      <c r="D486" s="10"/>
      <c r="E486" s="10"/>
      <c r="F486" s="10"/>
      <c r="G486" s="10"/>
      <c r="H486" s="10"/>
    </row>
    <row r="487" spans="1:8" ht="14.25" customHeight="1" x14ac:dyDescent="0.35">
      <c r="A487" s="10"/>
      <c r="B487" s="10"/>
      <c r="C487" s="10"/>
      <c r="D487" s="10"/>
      <c r="E487" s="10"/>
      <c r="F487" s="10"/>
      <c r="G487" s="10"/>
      <c r="H487" s="10"/>
    </row>
    <row r="488" spans="1:8" ht="14.25" customHeight="1" x14ac:dyDescent="0.35">
      <c r="A488" s="10"/>
      <c r="B488" s="10"/>
      <c r="C488" s="10"/>
      <c r="D488" s="10"/>
      <c r="E488" s="10"/>
      <c r="F488" s="10"/>
      <c r="G488" s="10"/>
      <c r="H488" s="10"/>
    </row>
    <row r="489" spans="1:8" ht="14.25" customHeight="1" x14ac:dyDescent="0.35">
      <c r="A489" s="10"/>
      <c r="B489" s="10"/>
      <c r="C489" s="10"/>
      <c r="D489" s="10"/>
      <c r="E489" s="10"/>
      <c r="F489" s="10"/>
      <c r="G489" s="10"/>
      <c r="H489" s="10"/>
    </row>
    <row r="490" spans="1:8" ht="14.25" customHeight="1" x14ac:dyDescent="0.35">
      <c r="A490" s="10"/>
      <c r="B490" s="10"/>
      <c r="C490" s="10"/>
      <c r="D490" s="10"/>
      <c r="E490" s="10"/>
      <c r="F490" s="10"/>
      <c r="G490" s="10"/>
      <c r="H490" s="10"/>
    </row>
    <row r="491" spans="1:8" ht="14.25" customHeight="1" x14ac:dyDescent="0.35">
      <c r="A491" s="10"/>
      <c r="B491" s="10"/>
      <c r="C491" s="10"/>
      <c r="D491" s="10"/>
      <c r="E491" s="10"/>
      <c r="F491" s="10"/>
      <c r="G491" s="10"/>
      <c r="H491" s="10"/>
    </row>
    <row r="492" spans="1:8" ht="14.25" customHeight="1" x14ac:dyDescent="0.35">
      <c r="A492" s="10"/>
      <c r="B492" s="10"/>
      <c r="C492" s="10"/>
      <c r="D492" s="10"/>
      <c r="E492" s="10"/>
      <c r="F492" s="10"/>
      <c r="G492" s="10"/>
      <c r="H492" s="10"/>
    </row>
    <row r="493" spans="1:8" ht="14.25" customHeight="1" x14ac:dyDescent="0.35">
      <c r="A493" s="10"/>
      <c r="B493" s="10"/>
      <c r="C493" s="10"/>
      <c r="D493" s="10"/>
      <c r="E493" s="10"/>
      <c r="F493" s="10"/>
      <c r="G493" s="10"/>
      <c r="H493" s="10"/>
    </row>
    <row r="494" spans="1:8" ht="14.25" customHeight="1" x14ac:dyDescent="0.35">
      <c r="A494" s="10"/>
      <c r="B494" s="10"/>
      <c r="C494" s="10"/>
      <c r="D494" s="10"/>
      <c r="E494" s="10"/>
      <c r="F494" s="10"/>
      <c r="G494" s="10"/>
      <c r="H494" s="10"/>
    </row>
    <row r="495" spans="1:8" ht="14.25" customHeight="1" x14ac:dyDescent="0.35">
      <c r="A495" s="10"/>
      <c r="B495" s="10"/>
      <c r="C495" s="10"/>
      <c r="D495" s="10"/>
      <c r="E495" s="10"/>
      <c r="F495" s="10"/>
      <c r="G495" s="10"/>
      <c r="H495" s="10"/>
    </row>
    <row r="496" spans="1:8" ht="14.25" customHeight="1" x14ac:dyDescent="0.35">
      <c r="A496" s="10"/>
      <c r="B496" s="10"/>
      <c r="C496" s="10"/>
      <c r="D496" s="10"/>
      <c r="E496" s="10"/>
      <c r="F496" s="10"/>
      <c r="G496" s="10"/>
      <c r="H496" s="10"/>
    </row>
    <row r="497" spans="1:8" ht="14.25" customHeight="1" x14ac:dyDescent="0.35">
      <c r="A497" s="10"/>
      <c r="B497" s="10"/>
      <c r="C497" s="10"/>
      <c r="D497" s="10"/>
      <c r="E497" s="10"/>
      <c r="F497" s="10"/>
      <c r="G497" s="10"/>
      <c r="H497" s="10"/>
    </row>
    <row r="498" spans="1:8" ht="14.25" customHeight="1" x14ac:dyDescent="0.35">
      <c r="A498" s="10"/>
      <c r="B498" s="10"/>
      <c r="C498" s="10"/>
      <c r="D498" s="10"/>
      <c r="E498" s="10"/>
      <c r="F498" s="10"/>
      <c r="G498" s="10"/>
      <c r="H498" s="10"/>
    </row>
    <row r="499" spans="1:8" ht="14.25" customHeight="1" x14ac:dyDescent="0.35">
      <c r="A499" s="10"/>
      <c r="B499" s="10"/>
      <c r="C499" s="10"/>
      <c r="D499" s="10"/>
      <c r="E499" s="10"/>
      <c r="F499" s="10"/>
      <c r="G499" s="10"/>
      <c r="H499" s="10"/>
    </row>
    <row r="500" spans="1:8" ht="14.25" customHeight="1" x14ac:dyDescent="0.35">
      <c r="A500" s="10"/>
      <c r="B500" s="10"/>
      <c r="C500" s="10"/>
      <c r="D500" s="10"/>
      <c r="E500" s="10"/>
      <c r="F500" s="10"/>
      <c r="G500" s="10"/>
      <c r="H500" s="10"/>
    </row>
    <row r="501" spans="1:8" ht="14.25" customHeight="1" x14ac:dyDescent="0.35">
      <c r="A501" s="10"/>
      <c r="B501" s="10"/>
      <c r="C501" s="10"/>
      <c r="D501" s="10"/>
      <c r="E501" s="10"/>
      <c r="F501" s="10"/>
      <c r="G501" s="10"/>
      <c r="H501" s="10"/>
    </row>
    <row r="502" spans="1:8" ht="14.25" customHeight="1" x14ac:dyDescent="0.35">
      <c r="A502" s="10"/>
      <c r="B502" s="10"/>
      <c r="C502" s="10"/>
      <c r="D502" s="10"/>
      <c r="E502" s="10"/>
      <c r="F502" s="10"/>
      <c r="G502" s="10"/>
      <c r="H502" s="10"/>
    </row>
    <row r="503" spans="1:8" ht="14.25" customHeight="1" x14ac:dyDescent="0.35">
      <c r="A503" s="10"/>
      <c r="B503" s="10"/>
      <c r="C503" s="10"/>
      <c r="D503" s="10"/>
      <c r="E503" s="10"/>
      <c r="F503" s="10"/>
      <c r="G503" s="10"/>
      <c r="H503" s="10"/>
    </row>
    <row r="504" spans="1:8" ht="14.25" customHeight="1" x14ac:dyDescent="0.35">
      <c r="A504" s="10"/>
      <c r="B504" s="10"/>
      <c r="C504" s="10"/>
      <c r="D504" s="10"/>
      <c r="E504" s="10"/>
      <c r="F504" s="10"/>
      <c r="G504" s="10"/>
      <c r="H504" s="10"/>
    </row>
    <row r="505" spans="1:8" ht="14.25" customHeight="1" x14ac:dyDescent="0.35">
      <c r="A505" s="10"/>
      <c r="B505" s="10"/>
      <c r="C505" s="10"/>
      <c r="D505" s="10"/>
      <c r="E505" s="10"/>
      <c r="F505" s="10"/>
      <c r="G505" s="10"/>
      <c r="H505" s="10"/>
    </row>
    <row r="506" spans="1:8" ht="14.25" customHeight="1" x14ac:dyDescent="0.35">
      <c r="A506" s="10"/>
      <c r="B506" s="10"/>
      <c r="C506" s="10"/>
      <c r="D506" s="10"/>
      <c r="E506" s="10"/>
      <c r="F506" s="10"/>
      <c r="G506" s="10"/>
      <c r="H506" s="10"/>
    </row>
    <row r="507" spans="1:8" ht="14.25" customHeight="1" x14ac:dyDescent="0.35">
      <c r="A507" s="10"/>
      <c r="B507" s="10"/>
      <c r="C507" s="10"/>
      <c r="D507" s="10"/>
      <c r="E507" s="10"/>
      <c r="F507" s="10"/>
      <c r="G507" s="10"/>
      <c r="H507" s="10"/>
    </row>
    <row r="508" spans="1:8" ht="14.25" customHeight="1" x14ac:dyDescent="0.35">
      <c r="A508" s="10"/>
      <c r="B508" s="10"/>
      <c r="C508" s="10"/>
      <c r="D508" s="10"/>
      <c r="E508" s="10"/>
      <c r="F508" s="10"/>
      <c r="G508" s="10"/>
      <c r="H508" s="10"/>
    </row>
    <row r="509" spans="1:8" ht="14.25" customHeight="1" x14ac:dyDescent="0.35">
      <c r="A509" s="10"/>
      <c r="B509" s="10"/>
      <c r="C509" s="10"/>
      <c r="D509" s="10"/>
      <c r="E509" s="10"/>
      <c r="F509" s="10"/>
      <c r="G509" s="10"/>
      <c r="H509" s="10"/>
    </row>
    <row r="510" spans="1:8" ht="14.25" customHeight="1" x14ac:dyDescent="0.35">
      <c r="A510" s="10"/>
      <c r="B510" s="10"/>
      <c r="C510" s="10"/>
      <c r="D510" s="10"/>
      <c r="E510" s="10"/>
      <c r="F510" s="10"/>
      <c r="G510" s="10"/>
      <c r="H510" s="10"/>
    </row>
    <row r="511" spans="1:8" ht="14.25" customHeight="1" x14ac:dyDescent="0.35">
      <c r="A511" s="10"/>
      <c r="B511" s="10"/>
      <c r="C511" s="10"/>
      <c r="D511" s="10"/>
      <c r="E511" s="10"/>
      <c r="F511" s="10"/>
      <c r="G511" s="10"/>
      <c r="H511" s="10"/>
    </row>
    <row r="512" spans="1:8" ht="14.25" customHeight="1" x14ac:dyDescent="0.35">
      <c r="A512" s="10"/>
      <c r="B512" s="10"/>
      <c r="C512" s="10"/>
      <c r="D512" s="10"/>
      <c r="E512" s="10"/>
      <c r="F512" s="10"/>
      <c r="G512" s="10"/>
      <c r="H512" s="10"/>
    </row>
    <row r="513" spans="1:8" ht="14.25" customHeight="1" x14ac:dyDescent="0.35">
      <c r="A513" s="10"/>
      <c r="B513" s="10"/>
      <c r="C513" s="10"/>
      <c r="D513" s="10"/>
      <c r="E513" s="10"/>
      <c r="F513" s="10"/>
      <c r="G513" s="10"/>
      <c r="H513" s="10"/>
    </row>
    <row r="514" spans="1:8" ht="14.25" customHeight="1" x14ac:dyDescent="0.35">
      <c r="A514" s="10"/>
      <c r="B514" s="10"/>
      <c r="C514" s="10"/>
      <c r="D514" s="10"/>
      <c r="E514" s="10"/>
      <c r="F514" s="10"/>
      <c r="G514" s="10"/>
      <c r="H514" s="10"/>
    </row>
    <row r="515" spans="1:8" ht="14.25" customHeight="1" x14ac:dyDescent="0.35">
      <c r="A515" s="10"/>
      <c r="B515" s="10"/>
      <c r="C515" s="10"/>
      <c r="D515" s="10"/>
      <c r="E515" s="10"/>
      <c r="F515" s="10"/>
      <c r="G515" s="10"/>
      <c r="H515" s="10"/>
    </row>
    <row r="516" spans="1:8" ht="14.25" customHeight="1" x14ac:dyDescent="0.35">
      <c r="A516" s="10"/>
      <c r="B516" s="10"/>
      <c r="C516" s="10"/>
      <c r="D516" s="10"/>
      <c r="E516" s="10"/>
      <c r="F516" s="10"/>
      <c r="G516" s="10"/>
      <c r="H516" s="10"/>
    </row>
    <row r="517" spans="1:8" ht="14.25" customHeight="1" x14ac:dyDescent="0.35">
      <c r="A517" s="10"/>
      <c r="B517" s="10"/>
      <c r="C517" s="10"/>
      <c r="D517" s="10"/>
      <c r="E517" s="10"/>
      <c r="F517" s="10"/>
      <c r="G517" s="10"/>
      <c r="H517" s="10"/>
    </row>
    <row r="518" spans="1:8" ht="14.25" customHeight="1" x14ac:dyDescent="0.35">
      <c r="A518" s="10"/>
      <c r="B518" s="10"/>
      <c r="C518" s="10"/>
      <c r="D518" s="10"/>
      <c r="E518" s="10"/>
      <c r="F518" s="10"/>
      <c r="G518" s="10"/>
      <c r="H518" s="10"/>
    </row>
    <row r="519" spans="1:8" ht="14.25" customHeight="1" x14ac:dyDescent="0.35">
      <c r="A519" s="10"/>
      <c r="B519" s="10"/>
      <c r="C519" s="10"/>
      <c r="D519" s="10"/>
      <c r="E519" s="10"/>
      <c r="F519" s="10"/>
      <c r="G519" s="10"/>
      <c r="H519" s="10"/>
    </row>
    <row r="520" spans="1:8" ht="14.25" customHeight="1" x14ac:dyDescent="0.35">
      <c r="A520" s="10"/>
      <c r="B520" s="10"/>
      <c r="C520" s="10"/>
      <c r="D520" s="10"/>
      <c r="E520" s="10"/>
      <c r="F520" s="10"/>
      <c r="G520" s="10"/>
      <c r="H520" s="10"/>
    </row>
    <row r="521" spans="1:8" ht="14.25" customHeight="1" x14ac:dyDescent="0.35">
      <c r="A521" s="10"/>
      <c r="B521" s="10"/>
      <c r="C521" s="10"/>
      <c r="D521" s="10"/>
      <c r="E521" s="10"/>
      <c r="F521" s="10"/>
      <c r="G521" s="10"/>
      <c r="H521" s="10"/>
    </row>
    <row r="522" spans="1:8" ht="14.25" customHeight="1" x14ac:dyDescent="0.35">
      <c r="A522" s="10"/>
      <c r="B522" s="10"/>
      <c r="C522" s="10"/>
      <c r="D522" s="10"/>
      <c r="E522" s="10"/>
      <c r="F522" s="10"/>
      <c r="G522" s="10"/>
      <c r="H522" s="10"/>
    </row>
    <row r="523" spans="1:8" ht="14.25" customHeight="1" x14ac:dyDescent="0.35">
      <c r="A523" s="10"/>
      <c r="B523" s="10"/>
      <c r="C523" s="10"/>
      <c r="D523" s="10"/>
      <c r="E523" s="10"/>
      <c r="F523" s="10"/>
      <c r="G523" s="10"/>
      <c r="H523" s="10"/>
    </row>
    <row r="524" spans="1:8" ht="14.25" customHeight="1" x14ac:dyDescent="0.35">
      <c r="A524" s="10"/>
      <c r="B524" s="10"/>
      <c r="C524" s="10"/>
      <c r="D524" s="10"/>
      <c r="E524" s="10"/>
      <c r="F524" s="10"/>
      <c r="G524" s="10"/>
      <c r="H524" s="10"/>
    </row>
    <row r="525" spans="1:8" ht="14.25" customHeight="1" x14ac:dyDescent="0.35">
      <c r="A525" s="10"/>
      <c r="B525" s="10"/>
      <c r="C525" s="10"/>
      <c r="D525" s="10"/>
      <c r="E525" s="10"/>
      <c r="F525" s="10"/>
      <c r="G525" s="10"/>
      <c r="H525" s="10"/>
    </row>
    <row r="526" spans="1:8" ht="14.25" customHeight="1" x14ac:dyDescent="0.35">
      <c r="A526" s="10"/>
      <c r="B526" s="10"/>
      <c r="C526" s="10"/>
      <c r="D526" s="10"/>
      <c r="E526" s="10"/>
      <c r="F526" s="10"/>
      <c r="G526" s="10"/>
      <c r="H526" s="10"/>
    </row>
    <row r="527" spans="1:8" ht="14.25" customHeight="1" x14ac:dyDescent="0.35">
      <c r="A527" s="10"/>
      <c r="B527" s="10"/>
      <c r="C527" s="10"/>
      <c r="D527" s="10"/>
      <c r="E527" s="10"/>
      <c r="F527" s="10"/>
      <c r="G527" s="10"/>
      <c r="H527" s="10"/>
    </row>
    <row r="528" spans="1:8" ht="14.25" customHeight="1" x14ac:dyDescent="0.35">
      <c r="A528" s="10"/>
      <c r="B528" s="10"/>
      <c r="C528" s="10"/>
      <c r="D528" s="10"/>
      <c r="E528" s="10"/>
      <c r="F528" s="10"/>
      <c r="G528" s="10"/>
      <c r="H528" s="10"/>
    </row>
    <row r="529" spans="1:8" ht="14.25" customHeight="1" x14ac:dyDescent="0.35">
      <c r="A529" s="10"/>
      <c r="B529" s="10"/>
      <c r="C529" s="10"/>
      <c r="D529" s="10"/>
      <c r="E529" s="10"/>
      <c r="F529" s="10"/>
      <c r="G529" s="10"/>
      <c r="H529" s="10"/>
    </row>
    <row r="530" spans="1:8" ht="14.25" customHeight="1" x14ac:dyDescent="0.35">
      <c r="A530" s="10"/>
      <c r="B530" s="10"/>
      <c r="C530" s="10"/>
      <c r="D530" s="10"/>
      <c r="E530" s="10"/>
      <c r="F530" s="10"/>
      <c r="G530" s="10"/>
      <c r="H530" s="10"/>
    </row>
    <row r="531" spans="1:8" ht="14.25" customHeight="1" x14ac:dyDescent="0.35">
      <c r="A531" s="10"/>
      <c r="B531" s="10"/>
      <c r="C531" s="10"/>
      <c r="D531" s="10"/>
      <c r="E531" s="10"/>
      <c r="F531" s="10"/>
      <c r="G531" s="10"/>
      <c r="H531" s="10"/>
    </row>
    <row r="532" spans="1:8" ht="14.25" customHeight="1" x14ac:dyDescent="0.35">
      <c r="A532" s="10"/>
      <c r="B532" s="10"/>
      <c r="C532" s="10"/>
      <c r="D532" s="10"/>
      <c r="E532" s="10"/>
      <c r="F532" s="10"/>
      <c r="G532" s="10"/>
      <c r="H532" s="10"/>
    </row>
    <row r="533" spans="1:8" ht="14.25" customHeight="1" x14ac:dyDescent="0.35">
      <c r="A533" s="10"/>
      <c r="B533" s="10"/>
      <c r="C533" s="10"/>
      <c r="D533" s="10"/>
      <c r="E533" s="10"/>
      <c r="F533" s="10"/>
      <c r="G533" s="10"/>
      <c r="H533" s="10"/>
    </row>
    <row r="534" spans="1:8" ht="14.25" customHeight="1" x14ac:dyDescent="0.35">
      <c r="A534" s="10"/>
      <c r="B534" s="10"/>
      <c r="C534" s="10"/>
      <c r="D534" s="10"/>
      <c r="E534" s="10"/>
      <c r="F534" s="10"/>
      <c r="G534" s="10"/>
      <c r="H534" s="10"/>
    </row>
    <row r="535" spans="1:8" ht="14.25" customHeight="1" x14ac:dyDescent="0.35">
      <c r="A535" s="10"/>
      <c r="B535" s="10"/>
      <c r="C535" s="10"/>
      <c r="D535" s="10"/>
      <c r="E535" s="10"/>
      <c r="F535" s="10"/>
      <c r="G535" s="10"/>
      <c r="H535" s="10"/>
    </row>
    <row r="536" spans="1:8" ht="14.25" customHeight="1" x14ac:dyDescent="0.35">
      <c r="A536" s="10"/>
      <c r="B536" s="10"/>
      <c r="C536" s="10"/>
      <c r="D536" s="10"/>
      <c r="E536" s="10"/>
      <c r="F536" s="10"/>
      <c r="G536" s="10"/>
      <c r="H536" s="10"/>
    </row>
    <row r="537" spans="1:8" ht="14.25" customHeight="1" x14ac:dyDescent="0.35">
      <c r="A537" s="10"/>
      <c r="B537" s="10"/>
      <c r="C537" s="10"/>
      <c r="D537" s="10"/>
      <c r="E537" s="10"/>
      <c r="F537" s="10"/>
      <c r="G537" s="10"/>
      <c r="H537" s="10"/>
    </row>
    <row r="538" spans="1:8" ht="14.25" customHeight="1" x14ac:dyDescent="0.35">
      <c r="A538" s="10"/>
      <c r="B538" s="10"/>
      <c r="C538" s="10"/>
      <c r="D538" s="10"/>
      <c r="E538" s="10"/>
      <c r="F538" s="10"/>
      <c r="G538" s="10"/>
      <c r="H538" s="10"/>
    </row>
    <row r="539" spans="1:8" ht="14.25" customHeight="1" x14ac:dyDescent="0.35">
      <c r="A539" s="10"/>
      <c r="B539" s="10"/>
      <c r="C539" s="10"/>
      <c r="D539" s="10"/>
      <c r="E539" s="10"/>
      <c r="F539" s="10"/>
      <c r="G539" s="10"/>
      <c r="H539" s="10"/>
    </row>
    <row r="540" spans="1:8" ht="14.25" customHeight="1" x14ac:dyDescent="0.35">
      <c r="A540" s="10"/>
      <c r="B540" s="10"/>
      <c r="C540" s="10"/>
      <c r="D540" s="10"/>
      <c r="E540" s="10"/>
      <c r="F540" s="10"/>
      <c r="G540" s="10"/>
      <c r="H540" s="10"/>
    </row>
    <row r="541" spans="1:8" ht="14.25" customHeight="1" x14ac:dyDescent="0.35">
      <c r="A541" s="10"/>
      <c r="B541" s="10"/>
      <c r="C541" s="10"/>
      <c r="D541" s="10"/>
      <c r="E541" s="10"/>
      <c r="F541" s="10"/>
      <c r="G541" s="10"/>
      <c r="H541" s="10"/>
    </row>
    <row r="542" spans="1:8" ht="14.25" customHeight="1" x14ac:dyDescent="0.35">
      <c r="A542" s="10"/>
      <c r="B542" s="10"/>
      <c r="C542" s="10"/>
      <c r="D542" s="10"/>
      <c r="E542" s="10"/>
      <c r="F542" s="10"/>
      <c r="G542" s="10"/>
      <c r="H542" s="10"/>
    </row>
    <row r="543" spans="1:8" ht="14.25" customHeight="1" x14ac:dyDescent="0.35">
      <c r="A543" s="10"/>
      <c r="B543" s="10"/>
      <c r="C543" s="10"/>
      <c r="D543" s="10"/>
      <c r="E543" s="10"/>
      <c r="F543" s="10"/>
      <c r="G543" s="10"/>
      <c r="H543" s="10"/>
    </row>
    <row r="544" spans="1:8" ht="14.25" customHeight="1" x14ac:dyDescent="0.35">
      <c r="A544" s="10"/>
      <c r="B544" s="10"/>
      <c r="C544" s="10"/>
      <c r="D544" s="10"/>
      <c r="E544" s="10"/>
      <c r="F544" s="10"/>
      <c r="G544" s="10"/>
      <c r="H544" s="10"/>
    </row>
    <row r="545" spans="1:8" ht="14.25" customHeight="1" x14ac:dyDescent="0.35">
      <c r="A545" s="10"/>
      <c r="B545" s="10"/>
      <c r="C545" s="10"/>
      <c r="D545" s="10"/>
      <c r="E545" s="10"/>
      <c r="F545" s="10"/>
      <c r="G545" s="10"/>
      <c r="H545" s="10"/>
    </row>
    <row r="546" spans="1:8" ht="14.25" customHeight="1" x14ac:dyDescent="0.35">
      <c r="A546" s="10"/>
      <c r="B546" s="10"/>
      <c r="C546" s="10"/>
      <c r="D546" s="10"/>
      <c r="E546" s="10"/>
      <c r="F546" s="10"/>
      <c r="G546" s="10"/>
      <c r="H546" s="10"/>
    </row>
    <row r="547" spans="1:8" ht="14.25" customHeight="1" x14ac:dyDescent="0.35">
      <c r="A547" s="10"/>
      <c r="B547" s="10"/>
      <c r="C547" s="10"/>
      <c r="D547" s="10"/>
      <c r="E547" s="10"/>
      <c r="F547" s="10"/>
      <c r="G547" s="10"/>
      <c r="H547" s="10"/>
    </row>
    <row r="548" spans="1:8" ht="14.25" customHeight="1" x14ac:dyDescent="0.35">
      <c r="A548" s="10"/>
      <c r="B548" s="10"/>
      <c r="C548" s="10"/>
      <c r="D548" s="10"/>
      <c r="E548" s="10"/>
      <c r="F548" s="10"/>
      <c r="G548" s="10"/>
      <c r="H548" s="10"/>
    </row>
    <row r="549" spans="1:8" ht="14.25" customHeight="1" x14ac:dyDescent="0.35">
      <c r="A549" s="10"/>
      <c r="B549" s="10"/>
      <c r="C549" s="10"/>
      <c r="D549" s="10"/>
      <c r="E549" s="10"/>
      <c r="F549" s="10"/>
      <c r="G549" s="10"/>
      <c r="H549" s="10"/>
    </row>
    <row r="550" spans="1:8" ht="14.25" customHeight="1" x14ac:dyDescent="0.35">
      <c r="A550" s="10"/>
      <c r="B550" s="10"/>
      <c r="C550" s="10"/>
      <c r="D550" s="10"/>
      <c r="E550" s="10"/>
      <c r="F550" s="10"/>
      <c r="G550" s="10"/>
      <c r="H550" s="10"/>
    </row>
    <row r="551" spans="1:8" ht="14.25" customHeight="1" x14ac:dyDescent="0.35">
      <c r="A551" s="10"/>
      <c r="B551" s="10"/>
      <c r="C551" s="10"/>
      <c r="D551" s="10"/>
      <c r="E551" s="10"/>
      <c r="F551" s="10"/>
      <c r="G551" s="10"/>
      <c r="H551" s="10"/>
    </row>
    <row r="552" spans="1:8" ht="14.25" customHeight="1" x14ac:dyDescent="0.35">
      <c r="A552" s="10"/>
      <c r="B552" s="10"/>
      <c r="C552" s="10"/>
      <c r="D552" s="10"/>
      <c r="E552" s="10"/>
      <c r="F552" s="10"/>
      <c r="G552" s="10"/>
      <c r="H552" s="10"/>
    </row>
    <row r="553" spans="1:8" ht="14.25" customHeight="1" x14ac:dyDescent="0.35">
      <c r="A553" s="10"/>
      <c r="B553" s="10"/>
      <c r="C553" s="10"/>
      <c r="D553" s="10"/>
      <c r="E553" s="10"/>
      <c r="F553" s="10"/>
      <c r="G553" s="10"/>
      <c r="H553" s="10"/>
    </row>
    <row r="554" spans="1:8" ht="14.25" customHeight="1" x14ac:dyDescent="0.35">
      <c r="A554" s="10"/>
      <c r="B554" s="10"/>
      <c r="C554" s="10"/>
      <c r="D554" s="10"/>
      <c r="E554" s="10"/>
      <c r="F554" s="10"/>
      <c r="G554" s="10"/>
      <c r="H554" s="10"/>
    </row>
    <row r="555" spans="1:8" ht="14.25" customHeight="1" x14ac:dyDescent="0.35">
      <c r="A555" s="10"/>
      <c r="B555" s="10"/>
      <c r="C555" s="10"/>
      <c r="D555" s="10"/>
      <c r="E555" s="10"/>
      <c r="F555" s="10"/>
      <c r="G555" s="10"/>
      <c r="H555" s="10"/>
    </row>
    <row r="556" spans="1:8" ht="14.25" customHeight="1" x14ac:dyDescent="0.35">
      <c r="A556" s="10"/>
      <c r="B556" s="10"/>
      <c r="C556" s="10"/>
      <c r="D556" s="10"/>
      <c r="E556" s="10"/>
      <c r="F556" s="10"/>
      <c r="G556" s="10"/>
      <c r="H556" s="10"/>
    </row>
    <row r="557" spans="1:8" ht="14.25" customHeight="1" x14ac:dyDescent="0.35">
      <c r="A557" s="10"/>
      <c r="B557" s="10"/>
      <c r="C557" s="10"/>
      <c r="D557" s="10"/>
      <c r="E557" s="10"/>
      <c r="F557" s="10"/>
      <c r="G557" s="10"/>
      <c r="H557" s="10"/>
    </row>
    <row r="558" spans="1:8" ht="14.25" customHeight="1" x14ac:dyDescent="0.35">
      <c r="A558" s="10"/>
      <c r="B558" s="10"/>
      <c r="C558" s="10"/>
      <c r="D558" s="10"/>
      <c r="E558" s="10"/>
      <c r="F558" s="10"/>
      <c r="G558" s="10"/>
      <c r="H558" s="10"/>
    </row>
    <row r="559" spans="1:8" ht="14.25" customHeight="1" x14ac:dyDescent="0.35">
      <c r="A559" s="10"/>
      <c r="B559" s="10"/>
      <c r="C559" s="10"/>
      <c r="D559" s="10"/>
      <c r="E559" s="10"/>
      <c r="F559" s="10"/>
      <c r="G559" s="10"/>
      <c r="H559" s="10"/>
    </row>
    <row r="560" spans="1:8" ht="14.25" customHeight="1" x14ac:dyDescent="0.35">
      <c r="A560" s="10"/>
      <c r="B560" s="10"/>
      <c r="C560" s="10"/>
      <c r="D560" s="10"/>
      <c r="E560" s="10"/>
      <c r="F560" s="10"/>
      <c r="G560" s="10"/>
      <c r="H560" s="10"/>
    </row>
    <row r="561" spans="1:8" ht="14.25" customHeight="1" x14ac:dyDescent="0.35">
      <c r="A561" s="10"/>
      <c r="B561" s="10"/>
      <c r="C561" s="10"/>
      <c r="D561" s="10"/>
      <c r="E561" s="10"/>
      <c r="F561" s="10"/>
      <c r="G561" s="10"/>
      <c r="H561" s="10"/>
    </row>
    <row r="562" spans="1:8" ht="14.25" customHeight="1" x14ac:dyDescent="0.35">
      <c r="A562" s="10"/>
      <c r="B562" s="10"/>
      <c r="C562" s="10"/>
      <c r="D562" s="10"/>
      <c r="E562" s="10"/>
      <c r="F562" s="10"/>
      <c r="G562" s="10"/>
      <c r="H562" s="10"/>
    </row>
    <row r="563" spans="1:8" ht="14.25" customHeight="1" x14ac:dyDescent="0.35">
      <c r="A563" s="10"/>
      <c r="B563" s="10"/>
      <c r="C563" s="10"/>
      <c r="D563" s="10"/>
      <c r="E563" s="10"/>
      <c r="F563" s="10"/>
      <c r="G563" s="10"/>
      <c r="H563" s="10"/>
    </row>
    <row r="564" spans="1:8" ht="14.25" customHeight="1" x14ac:dyDescent="0.35">
      <c r="A564" s="10"/>
      <c r="B564" s="10"/>
      <c r="C564" s="10"/>
      <c r="D564" s="10"/>
      <c r="E564" s="10"/>
      <c r="F564" s="10"/>
      <c r="G564" s="10"/>
      <c r="H564" s="10"/>
    </row>
    <row r="565" spans="1:8" ht="14.25" customHeight="1" x14ac:dyDescent="0.35">
      <c r="A565" s="10"/>
      <c r="B565" s="10"/>
      <c r="C565" s="10"/>
      <c r="D565" s="10"/>
      <c r="E565" s="10"/>
      <c r="F565" s="10"/>
      <c r="G565" s="10"/>
      <c r="H565" s="10"/>
    </row>
    <row r="566" spans="1:8" ht="14.25" customHeight="1" x14ac:dyDescent="0.35">
      <c r="A566" s="10"/>
      <c r="B566" s="10"/>
      <c r="C566" s="10"/>
      <c r="D566" s="10"/>
      <c r="E566" s="10"/>
      <c r="F566" s="10"/>
      <c r="G566" s="10"/>
      <c r="H566" s="10"/>
    </row>
    <row r="567" spans="1:8" ht="14.25" customHeight="1" x14ac:dyDescent="0.35">
      <c r="A567" s="10"/>
      <c r="B567" s="10"/>
      <c r="C567" s="10"/>
      <c r="D567" s="10"/>
      <c r="E567" s="10"/>
      <c r="F567" s="10"/>
      <c r="G567" s="10"/>
      <c r="H567" s="10"/>
    </row>
    <row r="568" spans="1:8" ht="14.25" customHeight="1" x14ac:dyDescent="0.35">
      <c r="A568" s="10"/>
      <c r="B568" s="10"/>
      <c r="C568" s="10"/>
      <c r="D568" s="10"/>
      <c r="E568" s="10"/>
      <c r="F568" s="10"/>
      <c r="G568" s="10"/>
      <c r="H568" s="10"/>
    </row>
    <row r="569" spans="1:8" ht="14.25" customHeight="1" x14ac:dyDescent="0.35">
      <c r="A569" s="10"/>
      <c r="B569" s="10"/>
      <c r="C569" s="10"/>
      <c r="D569" s="10"/>
      <c r="E569" s="10"/>
      <c r="F569" s="10"/>
      <c r="G569" s="10"/>
      <c r="H569" s="10"/>
    </row>
    <row r="570" spans="1:8" ht="14.25" customHeight="1" x14ac:dyDescent="0.35">
      <c r="A570" s="10"/>
      <c r="B570" s="10"/>
      <c r="C570" s="10"/>
      <c r="D570" s="10"/>
      <c r="E570" s="10"/>
      <c r="F570" s="10"/>
      <c r="G570" s="10"/>
      <c r="H570" s="10"/>
    </row>
    <row r="571" spans="1:8" ht="14.25" customHeight="1" x14ac:dyDescent="0.35">
      <c r="A571" s="10"/>
      <c r="B571" s="10"/>
      <c r="C571" s="10"/>
      <c r="D571" s="10"/>
      <c r="E571" s="10"/>
      <c r="F571" s="10"/>
      <c r="G571" s="10"/>
      <c r="H571" s="10"/>
    </row>
    <row r="572" spans="1:8" ht="14.25" customHeight="1" x14ac:dyDescent="0.35">
      <c r="A572" s="10"/>
      <c r="B572" s="10"/>
      <c r="C572" s="10"/>
      <c r="D572" s="10"/>
      <c r="E572" s="10"/>
      <c r="F572" s="10"/>
      <c r="G572" s="10"/>
      <c r="H572" s="10"/>
    </row>
    <row r="573" spans="1:8" ht="14.25" customHeight="1" x14ac:dyDescent="0.35">
      <c r="A573" s="10"/>
      <c r="B573" s="10"/>
      <c r="C573" s="10"/>
      <c r="D573" s="10"/>
      <c r="E573" s="10"/>
      <c r="F573" s="10"/>
      <c r="G573" s="10"/>
      <c r="H573" s="10"/>
    </row>
    <row r="574" spans="1:8" ht="14.25" customHeight="1" x14ac:dyDescent="0.35">
      <c r="A574" s="10"/>
      <c r="B574" s="10"/>
      <c r="C574" s="10"/>
      <c r="D574" s="10"/>
      <c r="E574" s="10"/>
      <c r="F574" s="10"/>
      <c r="G574" s="10"/>
      <c r="H574" s="10"/>
    </row>
    <row r="575" spans="1:8" ht="14.25" customHeight="1" x14ac:dyDescent="0.35">
      <c r="A575" s="10"/>
      <c r="B575" s="10"/>
      <c r="C575" s="10"/>
      <c r="D575" s="10"/>
      <c r="E575" s="10"/>
      <c r="F575" s="10"/>
      <c r="G575" s="10"/>
      <c r="H575" s="10"/>
    </row>
    <row r="576" spans="1:8" ht="14.25" customHeight="1" x14ac:dyDescent="0.35">
      <c r="A576" s="10"/>
      <c r="B576" s="10"/>
      <c r="C576" s="10"/>
      <c r="D576" s="10"/>
      <c r="E576" s="10"/>
      <c r="F576" s="10"/>
      <c r="G576" s="10"/>
      <c r="H576" s="10"/>
    </row>
    <row r="577" spans="1:8" ht="14.25" customHeight="1" x14ac:dyDescent="0.35">
      <c r="A577" s="10"/>
      <c r="B577" s="10"/>
      <c r="C577" s="10"/>
      <c r="D577" s="10"/>
      <c r="E577" s="10"/>
      <c r="F577" s="10"/>
      <c r="G577" s="10"/>
      <c r="H577" s="10"/>
    </row>
    <row r="578" spans="1:8" ht="14.25" customHeight="1" x14ac:dyDescent="0.35">
      <c r="A578" s="10"/>
      <c r="B578" s="10"/>
      <c r="C578" s="10"/>
      <c r="D578" s="10"/>
      <c r="E578" s="10"/>
      <c r="F578" s="10"/>
      <c r="G578" s="10"/>
      <c r="H578" s="10"/>
    </row>
    <row r="579" spans="1:8" ht="14.25" customHeight="1" x14ac:dyDescent="0.35">
      <c r="A579" s="10"/>
      <c r="B579" s="10"/>
      <c r="C579" s="10"/>
      <c r="D579" s="10"/>
      <c r="E579" s="10"/>
      <c r="F579" s="10"/>
      <c r="G579" s="10"/>
      <c r="H579" s="10"/>
    </row>
    <row r="580" spans="1:8" ht="14.25" customHeight="1" x14ac:dyDescent="0.35">
      <c r="A580" s="10"/>
      <c r="B580" s="10"/>
      <c r="C580" s="10"/>
      <c r="D580" s="10"/>
      <c r="E580" s="10"/>
      <c r="F580" s="10"/>
      <c r="G580" s="10"/>
      <c r="H580" s="10"/>
    </row>
    <row r="581" spans="1:8" ht="14.25" customHeight="1" x14ac:dyDescent="0.35">
      <c r="A581" s="10"/>
      <c r="B581" s="10"/>
      <c r="C581" s="10"/>
      <c r="D581" s="10"/>
      <c r="E581" s="10"/>
      <c r="F581" s="10"/>
      <c r="G581" s="10"/>
      <c r="H581" s="10"/>
    </row>
    <row r="582" spans="1:8" ht="14.25" customHeight="1" x14ac:dyDescent="0.35">
      <c r="A582" s="10"/>
      <c r="B582" s="10"/>
      <c r="C582" s="10"/>
      <c r="D582" s="10"/>
      <c r="E582" s="10"/>
      <c r="F582" s="10"/>
      <c r="G582" s="10"/>
      <c r="H582" s="10"/>
    </row>
    <row r="583" spans="1:8" ht="14.25" customHeight="1" x14ac:dyDescent="0.35">
      <c r="A583" s="10"/>
      <c r="B583" s="10"/>
      <c r="C583" s="10"/>
      <c r="D583" s="10"/>
      <c r="E583" s="10"/>
      <c r="F583" s="10"/>
      <c r="G583" s="10"/>
      <c r="H583" s="10"/>
    </row>
    <row r="584" spans="1:8" ht="14.25" customHeight="1" x14ac:dyDescent="0.35">
      <c r="A584" s="10"/>
      <c r="B584" s="10"/>
      <c r="C584" s="10"/>
      <c r="D584" s="10"/>
      <c r="E584" s="10"/>
      <c r="F584" s="10"/>
      <c r="G584" s="10"/>
      <c r="H584" s="10"/>
    </row>
    <row r="585" spans="1:8" ht="14.25" customHeight="1" x14ac:dyDescent="0.35">
      <c r="A585" s="10"/>
      <c r="B585" s="10"/>
      <c r="C585" s="10"/>
      <c r="D585" s="10"/>
      <c r="E585" s="10"/>
      <c r="F585" s="10"/>
      <c r="G585" s="10"/>
      <c r="H585" s="10"/>
    </row>
    <row r="586" spans="1:8" ht="14.25" customHeight="1" x14ac:dyDescent="0.35">
      <c r="A586" s="10"/>
      <c r="B586" s="10"/>
      <c r="C586" s="10"/>
      <c r="D586" s="10"/>
      <c r="E586" s="10"/>
      <c r="F586" s="10"/>
      <c r="G586" s="10"/>
      <c r="H586" s="10"/>
    </row>
    <row r="587" spans="1:8" ht="14.25" customHeight="1" x14ac:dyDescent="0.35">
      <c r="A587" s="10"/>
      <c r="B587" s="10"/>
      <c r="C587" s="10"/>
      <c r="D587" s="10"/>
      <c r="E587" s="10"/>
      <c r="F587" s="10"/>
      <c r="G587" s="10"/>
      <c r="H587" s="10"/>
    </row>
    <row r="588" spans="1:8" ht="14.25" customHeight="1" x14ac:dyDescent="0.35">
      <c r="A588" s="10"/>
      <c r="B588" s="10"/>
      <c r="C588" s="10"/>
      <c r="D588" s="10"/>
      <c r="E588" s="10"/>
      <c r="F588" s="10"/>
      <c r="G588" s="10"/>
      <c r="H588" s="10"/>
    </row>
    <row r="589" spans="1:8" ht="14.25" customHeight="1" x14ac:dyDescent="0.35">
      <c r="A589" s="10"/>
      <c r="B589" s="10"/>
      <c r="C589" s="10"/>
      <c r="D589" s="10"/>
      <c r="E589" s="10"/>
      <c r="F589" s="10"/>
      <c r="G589" s="10"/>
      <c r="H589" s="10"/>
    </row>
    <row r="590" spans="1:8" ht="14.25" customHeight="1" x14ac:dyDescent="0.35">
      <c r="A590" s="10"/>
      <c r="B590" s="10"/>
      <c r="C590" s="10"/>
      <c r="D590" s="10"/>
      <c r="E590" s="10"/>
      <c r="F590" s="10"/>
      <c r="G590" s="10"/>
      <c r="H590" s="10"/>
    </row>
    <row r="591" spans="1:8" ht="14.25" customHeight="1" x14ac:dyDescent="0.35">
      <c r="A591" s="10"/>
      <c r="B591" s="10"/>
      <c r="C591" s="10"/>
      <c r="D591" s="10"/>
      <c r="E591" s="10"/>
      <c r="F591" s="10"/>
      <c r="G591" s="10"/>
      <c r="H591" s="10"/>
    </row>
    <row r="592" spans="1:8" ht="14.25" customHeight="1" x14ac:dyDescent="0.35">
      <c r="A592" s="10"/>
      <c r="B592" s="10"/>
      <c r="C592" s="10"/>
      <c r="D592" s="10"/>
      <c r="E592" s="10"/>
      <c r="F592" s="10"/>
      <c r="G592" s="10"/>
      <c r="H592" s="10"/>
    </row>
    <row r="593" spans="1:8" ht="14.25" customHeight="1" x14ac:dyDescent="0.35">
      <c r="A593" s="10"/>
      <c r="B593" s="10"/>
      <c r="C593" s="10"/>
      <c r="D593" s="10"/>
      <c r="E593" s="10"/>
      <c r="F593" s="10"/>
      <c r="G593" s="10"/>
      <c r="H593" s="10"/>
    </row>
    <row r="594" spans="1:8" ht="14.25" customHeight="1" x14ac:dyDescent="0.35">
      <c r="A594" s="10"/>
      <c r="B594" s="10"/>
      <c r="C594" s="10"/>
      <c r="D594" s="10"/>
      <c r="E594" s="10"/>
      <c r="F594" s="10"/>
      <c r="G594" s="10"/>
      <c r="H594" s="10"/>
    </row>
    <row r="595" spans="1:8" ht="14.25" customHeight="1" x14ac:dyDescent="0.35">
      <c r="A595" s="10"/>
      <c r="B595" s="10"/>
      <c r="C595" s="10"/>
      <c r="D595" s="10"/>
      <c r="E595" s="10"/>
      <c r="F595" s="10"/>
      <c r="G595" s="10"/>
      <c r="H595" s="10"/>
    </row>
    <row r="596" spans="1:8" ht="14.25" customHeight="1" x14ac:dyDescent="0.35">
      <c r="A596" s="10"/>
      <c r="B596" s="10"/>
      <c r="C596" s="10"/>
      <c r="D596" s="10"/>
      <c r="E596" s="10"/>
      <c r="F596" s="10"/>
      <c r="G596" s="10"/>
      <c r="H596" s="10"/>
    </row>
    <row r="597" spans="1:8" ht="14.25" customHeight="1" x14ac:dyDescent="0.35">
      <c r="A597" s="10"/>
      <c r="B597" s="10"/>
      <c r="C597" s="10"/>
      <c r="D597" s="10"/>
      <c r="E597" s="10"/>
      <c r="F597" s="10"/>
      <c r="G597" s="10"/>
      <c r="H597" s="10"/>
    </row>
    <row r="598" spans="1:8" ht="14.25" customHeight="1" x14ac:dyDescent="0.35">
      <c r="A598" s="10"/>
      <c r="B598" s="10"/>
      <c r="C598" s="10"/>
      <c r="D598" s="10"/>
      <c r="E598" s="10"/>
      <c r="F598" s="10"/>
      <c r="G598" s="10"/>
      <c r="H598" s="10"/>
    </row>
    <row r="599" spans="1:8" ht="14.25" customHeight="1" x14ac:dyDescent="0.35">
      <c r="A599" s="10"/>
      <c r="B599" s="10"/>
      <c r="C599" s="10"/>
      <c r="D599" s="10"/>
      <c r="E599" s="10"/>
      <c r="F599" s="10"/>
      <c r="G599" s="10"/>
      <c r="H599" s="10"/>
    </row>
    <row r="600" spans="1:8" ht="14.25" customHeight="1" x14ac:dyDescent="0.35">
      <c r="A600" s="10"/>
      <c r="B600" s="10"/>
      <c r="C600" s="10"/>
      <c r="D600" s="10"/>
      <c r="E600" s="10"/>
      <c r="F600" s="10"/>
      <c r="G600" s="10"/>
      <c r="H600" s="10"/>
    </row>
    <row r="601" spans="1:8" ht="14.25" customHeight="1" x14ac:dyDescent="0.35">
      <c r="A601" s="10"/>
      <c r="B601" s="10"/>
      <c r="C601" s="10"/>
      <c r="D601" s="10"/>
      <c r="E601" s="10"/>
      <c r="F601" s="10"/>
      <c r="G601" s="10"/>
      <c r="H601" s="10"/>
    </row>
    <row r="602" spans="1:8" ht="14.25" customHeight="1" x14ac:dyDescent="0.35">
      <c r="A602" s="10"/>
      <c r="B602" s="10"/>
      <c r="C602" s="10"/>
      <c r="D602" s="10"/>
      <c r="E602" s="10"/>
      <c r="F602" s="10"/>
      <c r="G602" s="10"/>
      <c r="H602" s="10"/>
    </row>
    <row r="603" spans="1:8" ht="14.25" customHeight="1" x14ac:dyDescent="0.35">
      <c r="A603" s="10"/>
      <c r="B603" s="10"/>
      <c r="C603" s="10"/>
      <c r="D603" s="10"/>
      <c r="E603" s="10"/>
      <c r="F603" s="10"/>
      <c r="G603" s="10"/>
      <c r="H603" s="10"/>
    </row>
    <row r="604" spans="1:8" ht="14.25" customHeight="1" x14ac:dyDescent="0.35">
      <c r="A604" s="10"/>
      <c r="B604" s="10"/>
      <c r="C604" s="10"/>
      <c r="D604" s="10"/>
      <c r="E604" s="10"/>
      <c r="F604" s="10"/>
      <c r="G604" s="10"/>
      <c r="H604" s="10"/>
    </row>
    <row r="605" spans="1:8" ht="14.25" customHeight="1" x14ac:dyDescent="0.35">
      <c r="A605" s="10"/>
      <c r="B605" s="10"/>
      <c r="C605" s="10"/>
      <c r="D605" s="10"/>
      <c r="E605" s="10"/>
      <c r="F605" s="10"/>
      <c r="G605" s="10"/>
      <c r="H605" s="10"/>
    </row>
    <row r="606" spans="1:8" ht="14.25" customHeight="1" x14ac:dyDescent="0.35">
      <c r="A606" s="10"/>
      <c r="B606" s="10"/>
      <c r="C606" s="10"/>
      <c r="D606" s="10"/>
      <c r="E606" s="10"/>
      <c r="F606" s="10"/>
      <c r="G606" s="10"/>
      <c r="H606" s="10"/>
    </row>
    <row r="607" spans="1:8" ht="14.25" customHeight="1" x14ac:dyDescent="0.35">
      <c r="A607" s="10"/>
      <c r="B607" s="10"/>
      <c r="C607" s="10"/>
      <c r="D607" s="10"/>
      <c r="E607" s="10"/>
      <c r="F607" s="10"/>
      <c r="G607" s="10"/>
      <c r="H607" s="10"/>
    </row>
    <row r="608" spans="1:8" ht="14.25" customHeight="1" x14ac:dyDescent="0.35">
      <c r="A608" s="10"/>
      <c r="B608" s="10"/>
      <c r="C608" s="10"/>
      <c r="D608" s="10"/>
      <c r="E608" s="10"/>
      <c r="F608" s="10"/>
      <c r="G608" s="10"/>
      <c r="H608" s="10"/>
    </row>
    <row r="609" spans="1:8" ht="14.25" customHeight="1" x14ac:dyDescent="0.35">
      <c r="A609" s="10"/>
      <c r="B609" s="10"/>
      <c r="C609" s="10"/>
      <c r="D609" s="10"/>
      <c r="E609" s="10"/>
      <c r="F609" s="10"/>
      <c r="G609" s="10"/>
      <c r="H609" s="10"/>
    </row>
    <row r="610" spans="1:8" ht="14.25" customHeight="1" x14ac:dyDescent="0.35">
      <c r="A610" s="10"/>
      <c r="B610" s="10"/>
      <c r="C610" s="10"/>
      <c r="D610" s="10"/>
      <c r="E610" s="10"/>
      <c r="F610" s="10"/>
      <c r="G610" s="10"/>
      <c r="H610" s="10"/>
    </row>
    <row r="611" spans="1:8" ht="14.25" customHeight="1" x14ac:dyDescent="0.35">
      <c r="A611" s="10"/>
      <c r="B611" s="10"/>
      <c r="C611" s="10"/>
      <c r="D611" s="10"/>
      <c r="E611" s="10"/>
      <c r="F611" s="10"/>
      <c r="G611" s="10"/>
      <c r="H611" s="10"/>
    </row>
    <row r="612" spans="1:8" ht="14.25" customHeight="1" x14ac:dyDescent="0.35">
      <c r="A612" s="10"/>
      <c r="B612" s="10"/>
      <c r="C612" s="10"/>
      <c r="D612" s="10"/>
      <c r="E612" s="10"/>
      <c r="F612" s="10"/>
      <c r="G612" s="10"/>
      <c r="H612" s="10"/>
    </row>
    <row r="613" spans="1:8" ht="14.25" customHeight="1" x14ac:dyDescent="0.35">
      <c r="A613" s="10"/>
      <c r="B613" s="10"/>
      <c r="C613" s="10"/>
      <c r="D613" s="10"/>
      <c r="E613" s="10"/>
      <c r="F613" s="10"/>
      <c r="G613" s="10"/>
      <c r="H613" s="10"/>
    </row>
    <row r="614" spans="1:8" ht="14.25" customHeight="1" x14ac:dyDescent="0.35">
      <c r="A614" s="10"/>
      <c r="B614" s="10"/>
      <c r="C614" s="10"/>
      <c r="D614" s="10"/>
      <c r="E614" s="10"/>
      <c r="F614" s="10"/>
      <c r="G614" s="10"/>
      <c r="H614" s="10"/>
    </row>
    <row r="615" spans="1:8" ht="14.25" customHeight="1" x14ac:dyDescent="0.35">
      <c r="A615" s="10"/>
      <c r="B615" s="10"/>
      <c r="C615" s="10"/>
      <c r="D615" s="10"/>
      <c r="E615" s="10"/>
      <c r="F615" s="10"/>
      <c r="G615" s="10"/>
      <c r="H615" s="10"/>
    </row>
    <row r="616" spans="1:8" ht="14.25" customHeight="1" x14ac:dyDescent="0.35">
      <c r="A616" s="10"/>
      <c r="B616" s="10"/>
      <c r="C616" s="10"/>
      <c r="D616" s="10"/>
      <c r="E616" s="10"/>
      <c r="F616" s="10"/>
      <c r="G616" s="10"/>
      <c r="H616" s="10"/>
    </row>
    <row r="617" spans="1:8" ht="14.25" customHeight="1" x14ac:dyDescent="0.35">
      <c r="A617" s="10"/>
      <c r="B617" s="10"/>
      <c r="C617" s="10"/>
      <c r="D617" s="10"/>
      <c r="E617" s="10"/>
      <c r="F617" s="10"/>
      <c r="G617" s="10"/>
      <c r="H617" s="10"/>
    </row>
    <row r="618" spans="1:8" ht="14.25" customHeight="1" x14ac:dyDescent="0.35">
      <c r="A618" s="10"/>
      <c r="B618" s="10"/>
      <c r="C618" s="10"/>
      <c r="D618" s="10"/>
      <c r="E618" s="10"/>
      <c r="F618" s="10"/>
      <c r="G618" s="10"/>
      <c r="H618" s="10"/>
    </row>
    <row r="619" spans="1:8" ht="14.25" customHeight="1" x14ac:dyDescent="0.35">
      <c r="A619" s="10"/>
      <c r="B619" s="10"/>
      <c r="C619" s="10"/>
      <c r="D619" s="10"/>
      <c r="E619" s="10"/>
      <c r="F619" s="10"/>
      <c r="G619" s="10"/>
      <c r="H619" s="10"/>
    </row>
    <row r="620" spans="1:8" ht="14.25" customHeight="1" x14ac:dyDescent="0.35">
      <c r="A620" s="10"/>
      <c r="B620" s="10"/>
      <c r="C620" s="10"/>
      <c r="D620" s="10"/>
      <c r="E620" s="10"/>
      <c r="F620" s="10"/>
      <c r="G620" s="10"/>
      <c r="H620" s="10"/>
    </row>
    <row r="621" spans="1:8" ht="14.25" customHeight="1" x14ac:dyDescent="0.35">
      <c r="A621" s="10"/>
      <c r="B621" s="10"/>
      <c r="C621" s="10"/>
      <c r="D621" s="10"/>
      <c r="E621" s="10"/>
      <c r="F621" s="10"/>
      <c r="G621" s="10"/>
      <c r="H621" s="10"/>
    </row>
    <row r="622" spans="1:8" ht="14.25" customHeight="1" x14ac:dyDescent="0.35">
      <c r="A622" s="10"/>
      <c r="B622" s="10"/>
      <c r="C622" s="10"/>
      <c r="D622" s="10"/>
      <c r="E622" s="10"/>
      <c r="F622" s="10"/>
      <c r="G622" s="10"/>
      <c r="H622" s="10"/>
    </row>
    <row r="623" spans="1:8" ht="14.25" customHeight="1" x14ac:dyDescent="0.35">
      <c r="A623" s="10"/>
      <c r="B623" s="10"/>
      <c r="C623" s="10"/>
      <c r="D623" s="10"/>
      <c r="E623" s="10"/>
      <c r="F623" s="10"/>
      <c r="G623" s="10"/>
      <c r="H623" s="10"/>
    </row>
    <row r="624" spans="1:8" ht="14.25" customHeight="1" x14ac:dyDescent="0.35">
      <c r="A624" s="10"/>
      <c r="B624" s="10"/>
      <c r="C624" s="10"/>
      <c r="D624" s="10"/>
      <c r="E624" s="10"/>
      <c r="F624" s="10"/>
      <c r="G624" s="10"/>
      <c r="H624" s="10"/>
    </row>
    <row r="625" spans="1:8" ht="14.25" customHeight="1" x14ac:dyDescent="0.35">
      <c r="A625" s="10"/>
      <c r="B625" s="10"/>
      <c r="C625" s="10"/>
      <c r="D625" s="10"/>
      <c r="E625" s="10"/>
      <c r="F625" s="10"/>
      <c r="G625" s="10"/>
      <c r="H625" s="10"/>
    </row>
    <row r="626" spans="1:8" ht="14.25" customHeight="1" x14ac:dyDescent="0.35">
      <c r="A626" s="10"/>
      <c r="B626" s="10"/>
      <c r="C626" s="10"/>
      <c r="D626" s="10"/>
      <c r="E626" s="10"/>
      <c r="F626" s="10"/>
      <c r="G626" s="10"/>
      <c r="H626" s="10"/>
    </row>
    <row r="627" spans="1:8" ht="14.25" customHeight="1" x14ac:dyDescent="0.35">
      <c r="A627" s="10"/>
      <c r="B627" s="10"/>
      <c r="C627" s="10"/>
      <c r="D627" s="10"/>
      <c r="E627" s="10"/>
      <c r="F627" s="10"/>
      <c r="G627" s="10"/>
      <c r="H627" s="10"/>
    </row>
    <row r="628" spans="1:8" ht="14.25" customHeight="1" x14ac:dyDescent="0.35">
      <c r="A628" s="10"/>
      <c r="B628" s="10"/>
      <c r="C628" s="10"/>
      <c r="D628" s="10"/>
      <c r="E628" s="10"/>
      <c r="F628" s="10"/>
      <c r="G628" s="10"/>
      <c r="H628" s="10"/>
    </row>
    <row r="629" spans="1:8" ht="14.25" customHeight="1" x14ac:dyDescent="0.35">
      <c r="A629" s="10"/>
      <c r="B629" s="10"/>
      <c r="C629" s="10"/>
      <c r="D629" s="10"/>
      <c r="E629" s="10"/>
      <c r="F629" s="10"/>
      <c r="G629" s="10"/>
      <c r="H629" s="10"/>
    </row>
    <row r="630" spans="1:8" ht="14.25" customHeight="1" x14ac:dyDescent="0.35">
      <c r="A630" s="10"/>
      <c r="B630" s="10"/>
      <c r="C630" s="10"/>
      <c r="D630" s="10"/>
      <c r="E630" s="10"/>
      <c r="F630" s="10"/>
      <c r="G630" s="10"/>
      <c r="H630" s="10"/>
    </row>
    <row r="631" spans="1:8" ht="14.25" customHeight="1" x14ac:dyDescent="0.35">
      <c r="A631" s="10"/>
      <c r="B631" s="10"/>
      <c r="C631" s="10"/>
      <c r="D631" s="10"/>
      <c r="E631" s="10"/>
      <c r="F631" s="10"/>
      <c r="G631" s="10"/>
      <c r="H631" s="10"/>
    </row>
    <row r="632" spans="1:8" ht="14.25" customHeight="1" x14ac:dyDescent="0.35">
      <c r="A632" s="10"/>
      <c r="B632" s="10"/>
      <c r="C632" s="10"/>
      <c r="D632" s="10"/>
      <c r="E632" s="10"/>
      <c r="F632" s="10"/>
      <c r="G632" s="10"/>
      <c r="H632" s="10"/>
    </row>
    <row r="633" spans="1:8" ht="14.25" customHeight="1" x14ac:dyDescent="0.35">
      <c r="A633" s="10"/>
      <c r="B633" s="10"/>
      <c r="C633" s="10"/>
      <c r="D633" s="10"/>
      <c r="E633" s="10"/>
      <c r="F633" s="10"/>
      <c r="G633" s="10"/>
      <c r="H633" s="10"/>
    </row>
    <row r="634" spans="1:8" ht="14.25" customHeight="1" x14ac:dyDescent="0.35">
      <c r="A634" s="10"/>
      <c r="B634" s="10"/>
      <c r="C634" s="10"/>
      <c r="D634" s="10"/>
      <c r="E634" s="10"/>
      <c r="F634" s="10"/>
      <c r="G634" s="10"/>
      <c r="H634" s="10"/>
    </row>
    <row r="635" spans="1:8" ht="14.25" customHeight="1" x14ac:dyDescent="0.35">
      <c r="A635" s="10"/>
      <c r="B635" s="10"/>
      <c r="C635" s="10"/>
      <c r="D635" s="10"/>
      <c r="E635" s="10"/>
      <c r="F635" s="10"/>
      <c r="G635" s="10"/>
      <c r="H635" s="10"/>
    </row>
    <row r="636" spans="1:8" ht="14.25" customHeight="1" x14ac:dyDescent="0.35">
      <c r="A636" s="10"/>
      <c r="B636" s="10"/>
      <c r="C636" s="10"/>
      <c r="D636" s="10"/>
      <c r="E636" s="10"/>
      <c r="F636" s="10"/>
      <c r="G636" s="10"/>
      <c r="H636" s="10"/>
    </row>
    <row r="637" spans="1:8" ht="14.25" customHeight="1" x14ac:dyDescent="0.35">
      <c r="A637" s="10"/>
      <c r="B637" s="10"/>
      <c r="C637" s="10"/>
      <c r="D637" s="10"/>
      <c r="E637" s="10"/>
      <c r="F637" s="10"/>
      <c r="G637" s="10"/>
      <c r="H637" s="10"/>
    </row>
    <row r="638" spans="1:8" ht="14.25" customHeight="1" x14ac:dyDescent="0.35">
      <c r="A638" s="10"/>
      <c r="B638" s="10"/>
      <c r="C638" s="10"/>
      <c r="D638" s="10"/>
      <c r="E638" s="10"/>
      <c r="F638" s="10"/>
      <c r="G638" s="10"/>
      <c r="H638" s="10"/>
    </row>
    <row r="639" spans="1:8" ht="14.25" customHeight="1" x14ac:dyDescent="0.35">
      <c r="A639" s="10"/>
      <c r="B639" s="10"/>
      <c r="C639" s="10"/>
      <c r="D639" s="10"/>
      <c r="E639" s="10"/>
      <c r="F639" s="10"/>
      <c r="G639" s="10"/>
      <c r="H639" s="10"/>
    </row>
    <row r="640" spans="1:8" ht="14.25" customHeight="1" x14ac:dyDescent="0.35">
      <c r="A640" s="10"/>
      <c r="B640" s="10"/>
      <c r="C640" s="10"/>
      <c r="D640" s="10"/>
      <c r="E640" s="10"/>
      <c r="F640" s="10"/>
      <c r="G640" s="10"/>
      <c r="H640" s="10"/>
    </row>
    <row r="641" spans="1:8" ht="14.25" customHeight="1" x14ac:dyDescent="0.35">
      <c r="A641" s="10"/>
      <c r="B641" s="10"/>
      <c r="C641" s="10"/>
      <c r="D641" s="10"/>
      <c r="E641" s="10"/>
      <c r="F641" s="10"/>
      <c r="G641" s="10"/>
      <c r="H641" s="10"/>
    </row>
    <row r="642" spans="1:8" ht="14.25" customHeight="1" x14ac:dyDescent="0.35">
      <c r="A642" s="10"/>
      <c r="B642" s="10"/>
      <c r="C642" s="10"/>
      <c r="D642" s="10"/>
      <c r="E642" s="10"/>
      <c r="F642" s="10"/>
      <c r="G642" s="10"/>
      <c r="H642" s="10"/>
    </row>
    <row r="643" spans="1:8" ht="14.25" customHeight="1" x14ac:dyDescent="0.35">
      <c r="A643" s="10"/>
      <c r="B643" s="10"/>
      <c r="C643" s="10"/>
      <c r="D643" s="10"/>
      <c r="E643" s="10"/>
      <c r="F643" s="10"/>
      <c r="G643" s="10"/>
      <c r="H643" s="10"/>
    </row>
    <row r="644" spans="1:8" ht="14.25" customHeight="1" x14ac:dyDescent="0.35">
      <c r="A644" s="10"/>
      <c r="B644" s="10"/>
      <c r="C644" s="10"/>
      <c r="D644" s="10"/>
      <c r="E644" s="10"/>
      <c r="F644" s="10"/>
      <c r="G644" s="10"/>
      <c r="H644" s="10"/>
    </row>
    <row r="645" spans="1:8" ht="14.25" customHeight="1" x14ac:dyDescent="0.35">
      <c r="A645" s="10"/>
      <c r="B645" s="10"/>
      <c r="C645" s="10"/>
      <c r="D645" s="10"/>
      <c r="E645" s="10"/>
      <c r="F645" s="10"/>
      <c r="G645" s="10"/>
      <c r="H645" s="10"/>
    </row>
    <row r="646" spans="1:8" ht="14.25" customHeight="1" x14ac:dyDescent="0.35">
      <c r="A646" s="10"/>
      <c r="B646" s="10"/>
      <c r="C646" s="10"/>
      <c r="D646" s="10"/>
      <c r="E646" s="10"/>
      <c r="F646" s="10"/>
      <c r="G646" s="10"/>
      <c r="H646" s="10"/>
    </row>
    <row r="647" spans="1:8" ht="14.25" customHeight="1" x14ac:dyDescent="0.35">
      <c r="A647" s="10"/>
      <c r="B647" s="10"/>
      <c r="C647" s="10"/>
      <c r="D647" s="10"/>
      <c r="E647" s="10"/>
      <c r="F647" s="10"/>
      <c r="G647" s="10"/>
      <c r="H647" s="10"/>
    </row>
    <row r="648" spans="1:8" ht="14.25" customHeight="1" x14ac:dyDescent="0.35">
      <c r="A648" s="10"/>
      <c r="B648" s="10"/>
      <c r="C648" s="10"/>
      <c r="D648" s="10"/>
      <c r="E648" s="10"/>
      <c r="F648" s="10"/>
      <c r="G648" s="10"/>
      <c r="H648" s="10"/>
    </row>
    <row r="649" spans="1:8" ht="14.25" customHeight="1" x14ac:dyDescent="0.35">
      <c r="A649" s="10"/>
      <c r="B649" s="10"/>
      <c r="C649" s="10"/>
      <c r="D649" s="10"/>
      <c r="E649" s="10"/>
      <c r="F649" s="10"/>
      <c r="G649" s="10"/>
      <c r="H649" s="10"/>
    </row>
    <row r="650" spans="1:8" ht="14.25" customHeight="1" x14ac:dyDescent="0.35">
      <c r="A650" s="10"/>
      <c r="B650" s="10"/>
      <c r="C650" s="10"/>
      <c r="D650" s="10"/>
      <c r="E650" s="10"/>
      <c r="F650" s="10"/>
      <c r="G650" s="10"/>
      <c r="H650" s="10"/>
    </row>
    <row r="651" spans="1:8" ht="14.25" customHeight="1" x14ac:dyDescent="0.35">
      <c r="A651" s="10"/>
      <c r="B651" s="10"/>
      <c r="C651" s="10"/>
      <c r="D651" s="10"/>
      <c r="E651" s="10"/>
      <c r="F651" s="10"/>
      <c r="G651" s="10"/>
      <c r="H651" s="10"/>
    </row>
    <row r="652" spans="1:8" ht="14.25" customHeight="1" x14ac:dyDescent="0.35">
      <c r="A652" s="10"/>
      <c r="B652" s="10"/>
      <c r="C652" s="10"/>
      <c r="D652" s="10"/>
      <c r="E652" s="10"/>
      <c r="F652" s="10"/>
      <c r="G652" s="10"/>
      <c r="H652" s="10"/>
    </row>
    <row r="653" spans="1:8" ht="14.25" customHeight="1" x14ac:dyDescent="0.35">
      <c r="A653" s="10"/>
      <c r="B653" s="10"/>
      <c r="C653" s="10"/>
      <c r="D653" s="10"/>
      <c r="E653" s="10"/>
      <c r="F653" s="10"/>
      <c r="G653" s="10"/>
      <c r="H653" s="10"/>
    </row>
    <row r="654" spans="1:8" ht="14.25" customHeight="1" x14ac:dyDescent="0.35">
      <c r="A654" s="10"/>
      <c r="B654" s="10"/>
      <c r="C654" s="10"/>
      <c r="D654" s="10"/>
      <c r="E654" s="10"/>
      <c r="F654" s="10"/>
      <c r="G654" s="10"/>
      <c r="H654" s="10"/>
    </row>
    <row r="655" spans="1:8" ht="14.25" customHeight="1" x14ac:dyDescent="0.35">
      <c r="A655" s="10"/>
      <c r="B655" s="10"/>
      <c r="C655" s="10"/>
      <c r="D655" s="10"/>
      <c r="E655" s="10"/>
      <c r="F655" s="10"/>
      <c r="G655" s="10"/>
      <c r="H655" s="10"/>
    </row>
    <row r="656" spans="1:8" ht="14.25" customHeight="1" x14ac:dyDescent="0.35">
      <c r="A656" s="10"/>
      <c r="B656" s="10"/>
      <c r="C656" s="10"/>
      <c r="D656" s="10"/>
      <c r="E656" s="10"/>
      <c r="F656" s="10"/>
      <c r="G656" s="10"/>
      <c r="H656" s="10"/>
    </row>
    <row r="657" spans="1:8" ht="14.25" customHeight="1" x14ac:dyDescent="0.35">
      <c r="A657" s="10"/>
      <c r="B657" s="10"/>
      <c r="C657" s="10"/>
      <c r="D657" s="10"/>
      <c r="E657" s="10"/>
      <c r="F657" s="10"/>
      <c r="G657" s="10"/>
      <c r="H657" s="10"/>
    </row>
    <row r="658" spans="1:8" ht="14.25" customHeight="1" x14ac:dyDescent="0.35">
      <c r="A658" s="10"/>
      <c r="B658" s="10"/>
      <c r="C658" s="10"/>
      <c r="D658" s="10"/>
      <c r="E658" s="10"/>
      <c r="F658" s="10"/>
      <c r="G658" s="10"/>
      <c r="H658" s="10"/>
    </row>
    <row r="659" spans="1:8" ht="14.25" customHeight="1" x14ac:dyDescent="0.35">
      <c r="A659" s="10"/>
      <c r="B659" s="10"/>
      <c r="C659" s="10"/>
      <c r="D659" s="10"/>
      <c r="E659" s="10"/>
      <c r="F659" s="10"/>
      <c r="G659" s="10"/>
      <c r="H659" s="10"/>
    </row>
    <row r="660" spans="1:8" ht="14.25" customHeight="1" x14ac:dyDescent="0.35">
      <c r="A660" s="10"/>
      <c r="B660" s="10"/>
      <c r="C660" s="10"/>
      <c r="D660" s="10"/>
      <c r="E660" s="10"/>
      <c r="F660" s="10"/>
      <c r="G660" s="10"/>
      <c r="H660" s="10"/>
    </row>
    <row r="661" spans="1:8" ht="14.25" customHeight="1" x14ac:dyDescent="0.35">
      <c r="A661" s="10"/>
      <c r="B661" s="10"/>
      <c r="C661" s="10"/>
      <c r="D661" s="10"/>
      <c r="E661" s="10"/>
      <c r="F661" s="10"/>
      <c r="G661" s="10"/>
      <c r="H661" s="10"/>
    </row>
    <row r="662" spans="1:8" ht="14.25" customHeight="1" x14ac:dyDescent="0.35">
      <c r="A662" s="10"/>
      <c r="B662" s="10"/>
      <c r="C662" s="10"/>
      <c r="D662" s="10"/>
      <c r="E662" s="10"/>
      <c r="F662" s="10"/>
      <c r="G662" s="10"/>
      <c r="H662" s="10"/>
    </row>
    <row r="663" spans="1:8" ht="14.25" customHeight="1" x14ac:dyDescent="0.35">
      <c r="A663" s="10"/>
      <c r="B663" s="10"/>
      <c r="C663" s="10"/>
      <c r="D663" s="10"/>
      <c r="E663" s="10"/>
      <c r="F663" s="10"/>
      <c r="G663" s="10"/>
      <c r="H663" s="10"/>
    </row>
    <row r="664" spans="1:8" ht="14.25" customHeight="1" x14ac:dyDescent="0.35">
      <c r="A664" s="10"/>
      <c r="B664" s="10"/>
      <c r="C664" s="10"/>
      <c r="D664" s="10"/>
      <c r="E664" s="10"/>
      <c r="F664" s="10"/>
      <c r="G664" s="10"/>
      <c r="H664" s="10"/>
    </row>
    <row r="665" spans="1:8" ht="14.25" customHeight="1" x14ac:dyDescent="0.35">
      <c r="A665" s="10"/>
      <c r="B665" s="10"/>
      <c r="C665" s="10"/>
      <c r="D665" s="10"/>
      <c r="E665" s="10"/>
      <c r="F665" s="10"/>
      <c r="G665" s="10"/>
      <c r="H665" s="10"/>
    </row>
    <row r="666" spans="1:8" ht="14.25" customHeight="1" x14ac:dyDescent="0.35">
      <c r="A666" s="10"/>
      <c r="B666" s="10"/>
      <c r="C666" s="10"/>
      <c r="D666" s="10"/>
      <c r="E666" s="10"/>
      <c r="F666" s="10"/>
      <c r="G666" s="10"/>
      <c r="H666" s="10"/>
    </row>
    <row r="667" spans="1:8" ht="14.25" customHeight="1" x14ac:dyDescent="0.35">
      <c r="A667" s="10"/>
      <c r="B667" s="10"/>
      <c r="C667" s="10"/>
      <c r="D667" s="10"/>
      <c r="E667" s="10"/>
      <c r="F667" s="10"/>
      <c r="G667" s="10"/>
      <c r="H667" s="10"/>
    </row>
    <row r="668" spans="1:8" ht="14.25" customHeight="1" x14ac:dyDescent="0.35">
      <c r="A668" s="10"/>
      <c r="B668" s="10"/>
      <c r="C668" s="10"/>
      <c r="D668" s="10"/>
      <c r="E668" s="10"/>
      <c r="F668" s="10"/>
      <c r="G668" s="10"/>
      <c r="H668" s="10"/>
    </row>
    <row r="669" spans="1:8" ht="14.25" customHeight="1" x14ac:dyDescent="0.35">
      <c r="A669" s="10"/>
      <c r="B669" s="10"/>
      <c r="C669" s="10"/>
      <c r="D669" s="10"/>
      <c r="E669" s="10"/>
      <c r="F669" s="10"/>
      <c r="G669" s="10"/>
      <c r="H669" s="10"/>
    </row>
    <row r="670" spans="1:8" ht="14.25" customHeight="1" x14ac:dyDescent="0.35">
      <c r="A670" s="10"/>
      <c r="B670" s="10"/>
      <c r="C670" s="10"/>
      <c r="D670" s="10"/>
      <c r="E670" s="10"/>
      <c r="F670" s="10"/>
      <c r="G670" s="10"/>
      <c r="H670" s="10"/>
    </row>
    <row r="671" spans="1:8" ht="14.25" customHeight="1" x14ac:dyDescent="0.35">
      <c r="A671" s="10"/>
      <c r="B671" s="10"/>
      <c r="C671" s="10"/>
      <c r="D671" s="10"/>
      <c r="E671" s="10"/>
      <c r="F671" s="10"/>
      <c r="G671" s="10"/>
      <c r="H671" s="10"/>
    </row>
    <row r="672" spans="1:8" ht="14.25" customHeight="1" x14ac:dyDescent="0.35">
      <c r="A672" s="10"/>
      <c r="B672" s="10"/>
      <c r="C672" s="10"/>
      <c r="D672" s="10"/>
      <c r="E672" s="10"/>
      <c r="F672" s="10"/>
      <c r="G672" s="10"/>
      <c r="H672" s="10"/>
    </row>
    <row r="673" spans="1:8" ht="14.25" customHeight="1" x14ac:dyDescent="0.35">
      <c r="A673" s="10"/>
      <c r="B673" s="10"/>
      <c r="C673" s="10"/>
      <c r="D673" s="10"/>
      <c r="E673" s="10"/>
      <c r="F673" s="10"/>
      <c r="G673" s="10"/>
      <c r="H673" s="10"/>
    </row>
    <row r="674" spans="1:8" ht="14.25" customHeight="1" x14ac:dyDescent="0.35">
      <c r="A674" s="10"/>
      <c r="B674" s="10"/>
      <c r="C674" s="10"/>
      <c r="D674" s="10"/>
      <c r="E674" s="10"/>
      <c r="F674" s="10"/>
      <c r="G674" s="10"/>
      <c r="H674" s="10"/>
    </row>
    <row r="675" spans="1:8" ht="14.25" customHeight="1" x14ac:dyDescent="0.35">
      <c r="A675" s="10"/>
      <c r="B675" s="10"/>
      <c r="C675" s="10"/>
      <c r="D675" s="10"/>
      <c r="E675" s="10"/>
      <c r="F675" s="10"/>
      <c r="G675" s="10"/>
      <c r="H675" s="10"/>
    </row>
    <row r="676" spans="1:8" ht="14.25" customHeight="1" x14ac:dyDescent="0.35">
      <c r="A676" s="10"/>
      <c r="B676" s="10"/>
      <c r="C676" s="10"/>
      <c r="D676" s="10"/>
      <c r="E676" s="10"/>
      <c r="F676" s="10"/>
      <c r="G676" s="10"/>
      <c r="H676" s="10"/>
    </row>
    <row r="677" spans="1:8" ht="14.25" customHeight="1" x14ac:dyDescent="0.35">
      <c r="A677" s="10"/>
      <c r="B677" s="10"/>
      <c r="C677" s="10"/>
      <c r="D677" s="10"/>
      <c r="E677" s="10"/>
      <c r="F677" s="10"/>
      <c r="G677" s="10"/>
      <c r="H677" s="10"/>
    </row>
    <row r="678" spans="1:8" ht="14.25" customHeight="1" x14ac:dyDescent="0.35">
      <c r="A678" s="10"/>
      <c r="B678" s="10"/>
      <c r="C678" s="10"/>
      <c r="D678" s="10"/>
      <c r="E678" s="10"/>
      <c r="F678" s="10"/>
      <c r="G678" s="10"/>
      <c r="H678" s="10"/>
    </row>
    <row r="679" spans="1:8" ht="14.25" customHeight="1" x14ac:dyDescent="0.35">
      <c r="A679" s="10"/>
      <c r="B679" s="10"/>
      <c r="C679" s="10"/>
      <c r="D679" s="10"/>
      <c r="E679" s="10"/>
      <c r="F679" s="10"/>
      <c r="G679" s="10"/>
      <c r="H679" s="10"/>
    </row>
    <row r="680" spans="1:8" ht="14.25" customHeight="1" x14ac:dyDescent="0.35">
      <c r="A680" s="10"/>
      <c r="B680" s="10"/>
      <c r="C680" s="10"/>
      <c r="D680" s="10"/>
      <c r="E680" s="10"/>
      <c r="F680" s="10"/>
      <c r="G680" s="10"/>
      <c r="H680" s="10"/>
    </row>
    <row r="681" spans="1:8" ht="14.25" customHeight="1" x14ac:dyDescent="0.35">
      <c r="A681" s="10"/>
      <c r="B681" s="10"/>
      <c r="C681" s="10"/>
      <c r="D681" s="10"/>
      <c r="E681" s="10"/>
      <c r="F681" s="10"/>
      <c r="G681" s="10"/>
      <c r="H681" s="10"/>
    </row>
    <row r="682" spans="1:8" ht="14.25" customHeight="1" x14ac:dyDescent="0.35">
      <c r="A682" s="10"/>
      <c r="B682" s="10"/>
      <c r="C682" s="10"/>
      <c r="D682" s="10"/>
      <c r="E682" s="10"/>
      <c r="F682" s="10"/>
      <c r="G682" s="10"/>
      <c r="H682" s="10"/>
    </row>
    <row r="683" spans="1:8" ht="14.25" customHeight="1" x14ac:dyDescent="0.35">
      <c r="A683" s="10"/>
      <c r="B683" s="10"/>
      <c r="C683" s="10"/>
      <c r="D683" s="10"/>
      <c r="E683" s="10"/>
      <c r="F683" s="10"/>
      <c r="G683" s="10"/>
      <c r="H683" s="10"/>
    </row>
    <row r="684" spans="1:8" ht="14.25" customHeight="1" x14ac:dyDescent="0.35">
      <c r="A684" s="10"/>
      <c r="B684" s="10"/>
      <c r="C684" s="10"/>
      <c r="D684" s="10"/>
      <c r="E684" s="10"/>
      <c r="F684" s="10"/>
      <c r="G684" s="10"/>
      <c r="H684" s="10"/>
    </row>
    <row r="685" spans="1:8" ht="14.25" customHeight="1" x14ac:dyDescent="0.35">
      <c r="A685" s="10"/>
      <c r="B685" s="10"/>
      <c r="C685" s="10"/>
      <c r="D685" s="10"/>
      <c r="E685" s="10"/>
      <c r="F685" s="10"/>
      <c r="G685" s="10"/>
      <c r="H685" s="10"/>
    </row>
    <row r="686" spans="1:8" ht="14.25" customHeight="1" x14ac:dyDescent="0.35">
      <c r="A686" s="10"/>
      <c r="B686" s="10"/>
      <c r="C686" s="10"/>
      <c r="D686" s="10"/>
      <c r="E686" s="10"/>
      <c r="F686" s="10"/>
      <c r="G686" s="10"/>
      <c r="H686" s="10"/>
    </row>
    <row r="687" spans="1:8" ht="14.25" customHeight="1" x14ac:dyDescent="0.35">
      <c r="A687" s="10"/>
      <c r="B687" s="10"/>
      <c r="C687" s="10"/>
      <c r="D687" s="10"/>
      <c r="E687" s="10"/>
      <c r="F687" s="10"/>
      <c r="G687" s="10"/>
      <c r="H687" s="10"/>
    </row>
    <row r="688" spans="1:8" ht="14.25" customHeight="1" x14ac:dyDescent="0.35">
      <c r="A688" s="10"/>
      <c r="B688" s="10"/>
      <c r="C688" s="10"/>
      <c r="D688" s="10"/>
      <c r="E688" s="10"/>
      <c r="F688" s="10"/>
      <c r="G688" s="10"/>
      <c r="H688" s="10"/>
    </row>
    <row r="689" spans="1:8" ht="14.25" customHeight="1" x14ac:dyDescent="0.35">
      <c r="A689" s="10"/>
      <c r="B689" s="10"/>
      <c r="C689" s="10"/>
      <c r="D689" s="10"/>
      <c r="E689" s="10"/>
      <c r="F689" s="10"/>
      <c r="G689" s="10"/>
      <c r="H689" s="10"/>
    </row>
    <row r="690" spans="1:8" ht="14.25" customHeight="1" x14ac:dyDescent="0.35">
      <c r="A690" s="10"/>
      <c r="B690" s="10"/>
      <c r="C690" s="10"/>
      <c r="D690" s="10"/>
      <c r="E690" s="10"/>
      <c r="F690" s="10"/>
      <c r="G690" s="10"/>
      <c r="H690" s="10"/>
    </row>
    <row r="691" spans="1:8" ht="14.25" customHeight="1" x14ac:dyDescent="0.35">
      <c r="A691" s="10"/>
      <c r="B691" s="10"/>
      <c r="C691" s="10"/>
      <c r="D691" s="10"/>
      <c r="E691" s="10"/>
      <c r="F691" s="10"/>
      <c r="G691" s="10"/>
      <c r="H691" s="10"/>
    </row>
    <row r="692" spans="1:8" ht="14.25" customHeight="1" x14ac:dyDescent="0.35">
      <c r="A692" s="10"/>
      <c r="B692" s="10"/>
      <c r="C692" s="10"/>
      <c r="D692" s="10"/>
      <c r="E692" s="10"/>
      <c r="F692" s="10"/>
      <c r="G692" s="10"/>
      <c r="H692" s="10"/>
    </row>
    <row r="693" spans="1:8" ht="14.25" customHeight="1" x14ac:dyDescent="0.35">
      <c r="A693" s="10"/>
      <c r="B693" s="10"/>
      <c r="C693" s="10"/>
      <c r="D693" s="10"/>
      <c r="E693" s="10"/>
      <c r="F693" s="10"/>
      <c r="G693" s="10"/>
      <c r="H693" s="10"/>
    </row>
    <row r="694" spans="1:8" ht="14.25" customHeight="1" x14ac:dyDescent="0.35">
      <c r="A694" s="10"/>
      <c r="B694" s="10"/>
      <c r="C694" s="10"/>
      <c r="D694" s="10"/>
      <c r="E694" s="10"/>
      <c r="F694" s="10"/>
      <c r="G694" s="10"/>
      <c r="H694" s="10"/>
    </row>
    <row r="695" spans="1:8" ht="14.25" customHeight="1" x14ac:dyDescent="0.35">
      <c r="A695" s="10"/>
      <c r="B695" s="10"/>
      <c r="C695" s="10"/>
      <c r="D695" s="10"/>
      <c r="E695" s="10"/>
      <c r="F695" s="10"/>
      <c r="G695" s="10"/>
      <c r="H695" s="10"/>
    </row>
    <row r="696" spans="1:8" ht="14.25" customHeight="1" x14ac:dyDescent="0.35">
      <c r="A696" s="10"/>
      <c r="B696" s="10"/>
      <c r="C696" s="10"/>
      <c r="D696" s="10"/>
      <c r="E696" s="10"/>
      <c r="F696" s="10"/>
      <c r="G696" s="10"/>
      <c r="H696" s="10"/>
    </row>
    <row r="697" spans="1:8" ht="14.25" customHeight="1" x14ac:dyDescent="0.35">
      <c r="A697" s="10"/>
      <c r="B697" s="10"/>
      <c r="C697" s="10"/>
      <c r="D697" s="10"/>
      <c r="E697" s="10"/>
      <c r="F697" s="10"/>
      <c r="G697" s="10"/>
      <c r="H697" s="10"/>
    </row>
    <row r="698" spans="1:8" ht="14.25" customHeight="1" x14ac:dyDescent="0.35">
      <c r="A698" s="10"/>
      <c r="B698" s="10"/>
      <c r="C698" s="10"/>
      <c r="D698" s="10"/>
      <c r="E698" s="10"/>
      <c r="F698" s="10"/>
      <c r="G698" s="10"/>
      <c r="H698" s="10"/>
    </row>
    <row r="699" spans="1:8" ht="14.25" customHeight="1" x14ac:dyDescent="0.35">
      <c r="A699" s="10"/>
      <c r="B699" s="10"/>
      <c r="C699" s="10"/>
      <c r="D699" s="10"/>
      <c r="E699" s="10"/>
      <c r="F699" s="10"/>
      <c r="G699" s="10"/>
      <c r="H699" s="10"/>
    </row>
    <row r="700" spans="1:8" ht="14.25" customHeight="1" x14ac:dyDescent="0.35">
      <c r="A700" s="10"/>
      <c r="B700" s="10"/>
      <c r="C700" s="10"/>
      <c r="D700" s="10"/>
      <c r="E700" s="10"/>
      <c r="F700" s="10"/>
      <c r="G700" s="10"/>
      <c r="H700" s="10"/>
    </row>
    <row r="701" spans="1:8" ht="14.25" customHeight="1" x14ac:dyDescent="0.35">
      <c r="A701" s="10"/>
      <c r="B701" s="10"/>
      <c r="C701" s="10"/>
      <c r="D701" s="10"/>
      <c r="E701" s="10"/>
      <c r="F701" s="10"/>
      <c r="G701" s="10"/>
      <c r="H701" s="10"/>
    </row>
    <row r="702" spans="1:8" ht="14.25" customHeight="1" x14ac:dyDescent="0.35">
      <c r="A702" s="10"/>
      <c r="B702" s="10"/>
      <c r="C702" s="10"/>
      <c r="D702" s="10"/>
      <c r="E702" s="10"/>
      <c r="F702" s="10"/>
      <c r="G702" s="10"/>
      <c r="H702" s="10"/>
    </row>
    <row r="703" spans="1:8" ht="14.25" customHeight="1" x14ac:dyDescent="0.35">
      <c r="A703" s="10"/>
      <c r="B703" s="10"/>
      <c r="C703" s="10"/>
      <c r="D703" s="10"/>
      <c r="E703" s="10"/>
      <c r="F703" s="10"/>
      <c r="G703" s="10"/>
      <c r="H703" s="10"/>
    </row>
    <row r="704" spans="1:8" ht="14.25" customHeight="1" x14ac:dyDescent="0.35">
      <c r="A704" s="10"/>
      <c r="B704" s="10"/>
      <c r="C704" s="10"/>
      <c r="D704" s="10"/>
      <c r="E704" s="10"/>
      <c r="F704" s="10"/>
      <c r="G704" s="10"/>
      <c r="H704" s="10"/>
    </row>
    <row r="705" spans="1:8" ht="14.25" customHeight="1" x14ac:dyDescent="0.35">
      <c r="A705" s="10"/>
      <c r="B705" s="10"/>
      <c r="C705" s="10"/>
      <c r="D705" s="10"/>
      <c r="E705" s="10"/>
      <c r="F705" s="10"/>
      <c r="G705" s="10"/>
      <c r="H705" s="10"/>
    </row>
    <row r="706" spans="1:8" ht="14.25" customHeight="1" x14ac:dyDescent="0.35">
      <c r="A706" s="10"/>
      <c r="B706" s="10"/>
      <c r="C706" s="10"/>
      <c r="D706" s="10"/>
      <c r="E706" s="10"/>
      <c r="F706" s="10"/>
      <c r="G706" s="10"/>
      <c r="H706" s="10"/>
    </row>
    <row r="707" spans="1:8" ht="14.25" customHeight="1" x14ac:dyDescent="0.35">
      <c r="A707" s="10"/>
      <c r="B707" s="10"/>
      <c r="C707" s="10"/>
      <c r="D707" s="10"/>
      <c r="E707" s="10"/>
      <c r="F707" s="10"/>
      <c r="G707" s="10"/>
      <c r="H707" s="10"/>
    </row>
    <row r="708" spans="1:8" ht="14.25" customHeight="1" x14ac:dyDescent="0.35">
      <c r="A708" s="10"/>
      <c r="B708" s="10"/>
      <c r="C708" s="10"/>
      <c r="D708" s="10"/>
      <c r="E708" s="10"/>
      <c r="F708" s="10"/>
      <c r="G708" s="10"/>
      <c r="H708" s="10"/>
    </row>
    <row r="709" spans="1:8" ht="14.25" customHeight="1" x14ac:dyDescent="0.35">
      <c r="A709" s="10"/>
      <c r="B709" s="10"/>
      <c r="C709" s="10"/>
      <c r="D709" s="10"/>
      <c r="E709" s="10"/>
      <c r="F709" s="10"/>
      <c r="G709" s="10"/>
      <c r="H709" s="10"/>
    </row>
    <row r="710" spans="1:8" ht="14.25" customHeight="1" x14ac:dyDescent="0.35">
      <c r="A710" s="10"/>
      <c r="B710" s="10"/>
      <c r="C710" s="10"/>
      <c r="D710" s="10"/>
      <c r="E710" s="10"/>
      <c r="F710" s="10"/>
      <c r="G710" s="10"/>
      <c r="H710" s="10"/>
    </row>
    <row r="711" spans="1:8" ht="14.25" customHeight="1" x14ac:dyDescent="0.35">
      <c r="A711" s="10"/>
      <c r="B711" s="10"/>
      <c r="C711" s="10"/>
      <c r="D711" s="10"/>
      <c r="E711" s="10"/>
      <c r="F711" s="10"/>
      <c r="G711" s="10"/>
      <c r="H711" s="10"/>
    </row>
    <row r="712" spans="1:8" ht="14.25" customHeight="1" x14ac:dyDescent="0.35">
      <c r="A712" s="10"/>
      <c r="B712" s="10"/>
      <c r="C712" s="10"/>
      <c r="D712" s="10"/>
      <c r="E712" s="10"/>
      <c r="F712" s="10"/>
      <c r="G712" s="10"/>
      <c r="H712" s="10"/>
    </row>
    <row r="713" spans="1:8" ht="14.25" customHeight="1" x14ac:dyDescent="0.35">
      <c r="A713" s="10"/>
      <c r="B713" s="10"/>
      <c r="C713" s="10"/>
      <c r="D713" s="10"/>
      <c r="E713" s="10"/>
      <c r="F713" s="10"/>
      <c r="G713" s="10"/>
      <c r="H713" s="10"/>
    </row>
    <row r="714" spans="1:8" ht="14.25" customHeight="1" x14ac:dyDescent="0.35">
      <c r="A714" s="10"/>
      <c r="B714" s="10"/>
      <c r="C714" s="10"/>
      <c r="D714" s="10"/>
      <c r="E714" s="10"/>
      <c r="F714" s="10"/>
      <c r="G714" s="10"/>
      <c r="H714" s="10"/>
    </row>
    <row r="715" spans="1:8" ht="14.25" customHeight="1" x14ac:dyDescent="0.35">
      <c r="A715" s="10"/>
      <c r="B715" s="10"/>
      <c r="C715" s="10"/>
      <c r="D715" s="10"/>
      <c r="E715" s="10"/>
      <c r="F715" s="10"/>
      <c r="G715" s="10"/>
      <c r="H715" s="10"/>
    </row>
    <row r="716" spans="1:8" ht="14.25" customHeight="1" x14ac:dyDescent="0.35">
      <c r="A716" s="10"/>
      <c r="B716" s="10"/>
      <c r="C716" s="10"/>
      <c r="D716" s="10"/>
      <c r="E716" s="10"/>
      <c r="F716" s="10"/>
      <c r="G716" s="10"/>
      <c r="H716" s="10"/>
    </row>
    <row r="717" spans="1:8" ht="14.25" customHeight="1" x14ac:dyDescent="0.35">
      <c r="A717" s="10"/>
      <c r="B717" s="10"/>
      <c r="C717" s="10"/>
      <c r="D717" s="10"/>
      <c r="E717" s="10"/>
      <c r="F717" s="10"/>
      <c r="G717" s="10"/>
      <c r="H717" s="10"/>
    </row>
    <row r="718" spans="1:8" ht="14.25" customHeight="1" x14ac:dyDescent="0.35">
      <c r="A718" s="10"/>
      <c r="B718" s="10"/>
      <c r="C718" s="10"/>
      <c r="D718" s="10"/>
      <c r="E718" s="10"/>
      <c r="F718" s="10"/>
      <c r="G718" s="10"/>
      <c r="H718" s="10"/>
    </row>
    <row r="719" spans="1:8" ht="14.25" customHeight="1" x14ac:dyDescent="0.35">
      <c r="A719" s="10"/>
      <c r="B719" s="10"/>
      <c r="C719" s="10"/>
      <c r="D719" s="10"/>
      <c r="E719" s="10"/>
      <c r="F719" s="10"/>
      <c r="G719" s="10"/>
      <c r="H719" s="10"/>
    </row>
    <row r="720" spans="1:8" ht="14.25" customHeight="1" x14ac:dyDescent="0.35">
      <c r="A720" s="10"/>
      <c r="B720" s="10"/>
      <c r="C720" s="10"/>
      <c r="D720" s="10"/>
      <c r="E720" s="10"/>
      <c r="F720" s="10"/>
      <c r="G720" s="10"/>
      <c r="H720" s="10"/>
    </row>
    <row r="721" spans="1:8" ht="14.25" customHeight="1" x14ac:dyDescent="0.35">
      <c r="A721" s="10"/>
      <c r="B721" s="10"/>
      <c r="C721" s="10"/>
      <c r="D721" s="10"/>
      <c r="E721" s="10"/>
      <c r="F721" s="10"/>
      <c r="G721" s="10"/>
      <c r="H721" s="10"/>
    </row>
    <row r="722" spans="1:8" ht="14.25" customHeight="1" x14ac:dyDescent="0.35">
      <c r="A722" s="10"/>
      <c r="B722" s="10"/>
      <c r="C722" s="10"/>
      <c r="D722" s="10"/>
      <c r="E722" s="10"/>
      <c r="F722" s="10"/>
      <c r="G722" s="10"/>
      <c r="H722" s="10"/>
    </row>
    <row r="723" spans="1:8" ht="14.25" customHeight="1" x14ac:dyDescent="0.35">
      <c r="A723" s="10"/>
      <c r="B723" s="10"/>
      <c r="C723" s="10"/>
      <c r="D723" s="10"/>
      <c r="E723" s="10"/>
      <c r="F723" s="10"/>
      <c r="G723" s="10"/>
      <c r="H723" s="10"/>
    </row>
    <row r="724" spans="1:8" ht="14.25" customHeight="1" x14ac:dyDescent="0.35">
      <c r="A724" s="10"/>
      <c r="B724" s="10"/>
      <c r="C724" s="10"/>
      <c r="D724" s="10"/>
      <c r="E724" s="10"/>
      <c r="F724" s="10"/>
      <c r="G724" s="10"/>
      <c r="H724" s="10"/>
    </row>
    <row r="725" spans="1:8" ht="14.25" customHeight="1" x14ac:dyDescent="0.35">
      <c r="A725" s="10"/>
      <c r="B725" s="10"/>
      <c r="C725" s="10"/>
      <c r="D725" s="10"/>
      <c r="E725" s="10"/>
      <c r="F725" s="10"/>
      <c r="G725" s="10"/>
      <c r="H725" s="10"/>
    </row>
    <row r="726" spans="1:8" ht="14.25" customHeight="1" x14ac:dyDescent="0.35">
      <c r="A726" s="10"/>
      <c r="B726" s="10"/>
      <c r="C726" s="10"/>
      <c r="D726" s="10"/>
      <c r="E726" s="10"/>
      <c r="F726" s="10"/>
      <c r="G726" s="10"/>
      <c r="H726" s="10"/>
    </row>
    <row r="727" spans="1:8" ht="14.25" customHeight="1" x14ac:dyDescent="0.35">
      <c r="A727" s="10"/>
      <c r="B727" s="10"/>
      <c r="C727" s="10"/>
      <c r="D727" s="10"/>
      <c r="E727" s="10"/>
      <c r="F727" s="10"/>
      <c r="G727" s="10"/>
      <c r="H727" s="10"/>
    </row>
    <row r="728" spans="1:8" ht="14.25" customHeight="1" x14ac:dyDescent="0.35">
      <c r="A728" s="10"/>
      <c r="B728" s="10"/>
      <c r="C728" s="10"/>
      <c r="D728" s="10"/>
      <c r="E728" s="10"/>
      <c r="F728" s="10"/>
      <c r="G728" s="10"/>
      <c r="H728" s="10"/>
    </row>
    <row r="729" spans="1:8" ht="14.25" customHeight="1" x14ac:dyDescent="0.35">
      <c r="A729" s="10"/>
      <c r="B729" s="10"/>
      <c r="C729" s="10"/>
      <c r="D729" s="10"/>
      <c r="E729" s="10"/>
      <c r="F729" s="10"/>
      <c r="G729" s="10"/>
      <c r="H729" s="10"/>
    </row>
    <row r="730" spans="1:8" ht="14.25" customHeight="1" x14ac:dyDescent="0.35">
      <c r="A730" s="10"/>
      <c r="B730" s="10"/>
      <c r="C730" s="10"/>
      <c r="D730" s="10"/>
      <c r="E730" s="10"/>
      <c r="F730" s="10"/>
      <c r="G730" s="10"/>
      <c r="H730" s="10"/>
    </row>
    <row r="731" spans="1:8" ht="14.25" customHeight="1" x14ac:dyDescent="0.35">
      <c r="A731" s="10"/>
      <c r="B731" s="10"/>
      <c r="C731" s="10"/>
      <c r="D731" s="10"/>
      <c r="E731" s="10"/>
      <c r="F731" s="10"/>
      <c r="G731" s="10"/>
      <c r="H731" s="10"/>
    </row>
    <row r="732" spans="1:8" ht="14.25" customHeight="1" x14ac:dyDescent="0.35">
      <c r="A732" s="10"/>
      <c r="B732" s="10"/>
      <c r="C732" s="10"/>
      <c r="D732" s="10"/>
      <c r="E732" s="10"/>
      <c r="F732" s="10"/>
      <c r="G732" s="10"/>
      <c r="H732" s="10"/>
    </row>
    <row r="733" spans="1:8" ht="14.25" customHeight="1" x14ac:dyDescent="0.35">
      <c r="A733" s="10"/>
      <c r="B733" s="10"/>
      <c r="C733" s="10"/>
      <c r="D733" s="10"/>
      <c r="E733" s="10"/>
      <c r="F733" s="10"/>
      <c r="G733" s="10"/>
      <c r="H733" s="10"/>
    </row>
    <row r="734" spans="1:8" ht="14.25" customHeight="1" x14ac:dyDescent="0.35">
      <c r="A734" s="10"/>
      <c r="B734" s="10"/>
      <c r="C734" s="10"/>
      <c r="D734" s="10"/>
      <c r="E734" s="10"/>
      <c r="F734" s="10"/>
      <c r="G734" s="10"/>
      <c r="H734" s="10"/>
    </row>
    <row r="735" spans="1:8" ht="14.25" customHeight="1" x14ac:dyDescent="0.35">
      <c r="A735" s="10"/>
      <c r="B735" s="10"/>
      <c r="C735" s="10"/>
      <c r="D735" s="10"/>
      <c r="E735" s="10"/>
      <c r="F735" s="10"/>
      <c r="G735" s="10"/>
      <c r="H735" s="10"/>
    </row>
    <row r="736" spans="1:8" ht="14.25" customHeight="1" x14ac:dyDescent="0.35">
      <c r="A736" s="10"/>
      <c r="B736" s="10"/>
      <c r="C736" s="10"/>
      <c r="D736" s="10"/>
      <c r="E736" s="10"/>
      <c r="F736" s="10"/>
      <c r="G736" s="10"/>
      <c r="H736" s="10"/>
    </row>
    <row r="737" spans="1:8" ht="14.25" customHeight="1" x14ac:dyDescent="0.35">
      <c r="A737" s="10"/>
      <c r="B737" s="10"/>
      <c r="C737" s="10"/>
      <c r="D737" s="10"/>
      <c r="E737" s="10"/>
      <c r="F737" s="10"/>
      <c r="G737" s="10"/>
      <c r="H737" s="10"/>
    </row>
    <row r="738" spans="1:8" ht="14.25" customHeight="1" x14ac:dyDescent="0.35">
      <c r="A738" s="10"/>
      <c r="B738" s="10"/>
      <c r="C738" s="10"/>
      <c r="D738" s="10"/>
      <c r="E738" s="10"/>
      <c r="F738" s="10"/>
      <c r="G738" s="10"/>
      <c r="H738" s="10"/>
    </row>
    <row r="739" spans="1:8" ht="14.25" customHeight="1" x14ac:dyDescent="0.35">
      <c r="A739" s="10"/>
      <c r="B739" s="10"/>
      <c r="C739" s="10"/>
      <c r="D739" s="10"/>
      <c r="E739" s="10"/>
      <c r="F739" s="10"/>
      <c r="G739" s="10"/>
      <c r="H739" s="10"/>
    </row>
    <row r="740" spans="1:8" ht="14.25" customHeight="1" x14ac:dyDescent="0.35">
      <c r="A740" s="10"/>
      <c r="B740" s="10"/>
      <c r="C740" s="10"/>
      <c r="D740" s="10"/>
      <c r="E740" s="10"/>
      <c r="F740" s="10"/>
      <c r="G740" s="10"/>
      <c r="H740" s="10"/>
    </row>
    <row r="741" spans="1:8" ht="14.25" customHeight="1" x14ac:dyDescent="0.35">
      <c r="A741" s="10"/>
      <c r="B741" s="10"/>
      <c r="C741" s="10"/>
      <c r="D741" s="10"/>
      <c r="E741" s="10"/>
      <c r="F741" s="10"/>
      <c r="G741" s="10"/>
      <c r="H741" s="10"/>
    </row>
    <row r="742" spans="1:8" ht="14.25" customHeight="1" x14ac:dyDescent="0.35">
      <c r="A742" s="10"/>
      <c r="B742" s="10"/>
      <c r="C742" s="10"/>
      <c r="D742" s="10"/>
      <c r="E742" s="10"/>
      <c r="F742" s="10"/>
      <c r="G742" s="10"/>
      <c r="H742" s="10"/>
    </row>
    <row r="743" spans="1:8" ht="14.25" customHeight="1" x14ac:dyDescent="0.35">
      <c r="A743" s="10"/>
      <c r="B743" s="10"/>
      <c r="C743" s="10"/>
      <c r="D743" s="10"/>
      <c r="E743" s="10"/>
      <c r="F743" s="10"/>
      <c r="G743" s="10"/>
      <c r="H743" s="10"/>
    </row>
    <row r="744" spans="1:8" ht="14.25" customHeight="1" x14ac:dyDescent="0.35">
      <c r="A744" s="10"/>
      <c r="B744" s="10"/>
      <c r="C744" s="10"/>
      <c r="D744" s="10"/>
      <c r="E744" s="10"/>
      <c r="F744" s="10"/>
      <c r="G744" s="10"/>
      <c r="H744" s="10"/>
    </row>
    <row r="745" spans="1:8" ht="14.25" customHeight="1" x14ac:dyDescent="0.35">
      <c r="A745" s="10"/>
      <c r="B745" s="10"/>
      <c r="C745" s="10"/>
      <c r="D745" s="10"/>
      <c r="E745" s="10"/>
      <c r="F745" s="10"/>
      <c r="G745" s="10"/>
      <c r="H745" s="10"/>
    </row>
    <row r="746" spans="1:8" ht="14.25" customHeight="1" x14ac:dyDescent="0.35">
      <c r="A746" s="10"/>
      <c r="B746" s="10"/>
      <c r="C746" s="10"/>
      <c r="D746" s="10"/>
      <c r="E746" s="10"/>
      <c r="F746" s="10"/>
      <c r="G746" s="10"/>
      <c r="H746" s="10"/>
    </row>
    <row r="747" spans="1:8" ht="14.25" customHeight="1" x14ac:dyDescent="0.35">
      <c r="A747" s="10"/>
      <c r="B747" s="10"/>
      <c r="C747" s="10"/>
      <c r="D747" s="10"/>
      <c r="E747" s="10"/>
      <c r="F747" s="10"/>
      <c r="G747" s="10"/>
      <c r="H747" s="10"/>
    </row>
    <row r="748" spans="1:8" ht="14.25" customHeight="1" x14ac:dyDescent="0.35">
      <c r="A748" s="10"/>
      <c r="B748" s="10"/>
      <c r="C748" s="10"/>
      <c r="D748" s="10"/>
      <c r="E748" s="10"/>
      <c r="F748" s="10"/>
      <c r="G748" s="10"/>
      <c r="H748" s="10"/>
    </row>
    <row r="749" spans="1:8" ht="14.25" customHeight="1" x14ac:dyDescent="0.35">
      <c r="A749" s="10"/>
      <c r="B749" s="10"/>
      <c r="C749" s="10"/>
      <c r="D749" s="10"/>
      <c r="E749" s="10"/>
      <c r="F749" s="10"/>
      <c r="G749" s="10"/>
      <c r="H749" s="10"/>
    </row>
    <row r="750" spans="1:8" ht="14.25" customHeight="1" x14ac:dyDescent="0.35">
      <c r="A750" s="10"/>
      <c r="B750" s="10"/>
      <c r="C750" s="10"/>
      <c r="D750" s="10"/>
      <c r="E750" s="10"/>
      <c r="F750" s="10"/>
      <c r="G750" s="10"/>
      <c r="H750" s="10"/>
    </row>
    <row r="751" spans="1:8" ht="14.25" customHeight="1" x14ac:dyDescent="0.35">
      <c r="A751" s="10"/>
      <c r="B751" s="10"/>
      <c r="C751" s="10"/>
      <c r="D751" s="10"/>
      <c r="E751" s="10"/>
      <c r="F751" s="10"/>
      <c r="G751" s="10"/>
      <c r="H751" s="10"/>
    </row>
    <row r="752" spans="1:8" ht="14.25" customHeight="1" x14ac:dyDescent="0.35">
      <c r="A752" s="10"/>
      <c r="B752" s="10"/>
      <c r="C752" s="10"/>
      <c r="D752" s="10"/>
      <c r="E752" s="10"/>
      <c r="F752" s="10"/>
      <c r="G752" s="10"/>
      <c r="H752" s="10"/>
    </row>
    <row r="753" spans="1:8" ht="14.25" customHeight="1" x14ac:dyDescent="0.35">
      <c r="A753" s="10"/>
      <c r="B753" s="10"/>
      <c r="C753" s="10"/>
      <c r="D753" s="10"/>
      <c r="E753" s="10"/>
      <c r="F753" s="10"/>
      <c r="G753" s="10"/>
      <c r="H753" s="10"/>
    </row>
    <row r="754" spans="1:8" ht="14.25" customHeight="1" x14ac:dyDescent="0.35">
      <c r="A754" s="10"/>
      <c r="B754" s="10"/>
      <c r="C754" s="10"/>
      <c r="D754" s="10"/>
      <c r="E754" s="10"/>
      <c r="F754" s="10"/>
      <c r="G754" s="10"/>
      <c r="H754" s="10"/>
    </row>
    <row r="755" spans="1:8" ht="14.25" customHeight="1" x14ac:dyDescent="0.35">
      <c r="A755" s="10"/>
      <c r="B755" s="10"/>
      <c r="C755" s="10"/>
      <c r="D755" s="10"/>
      <c r="E755" s="10"/>
      <c r="F755" s="10"/>
      <c r="G755" s="10"/>
      <c r="H755" s="10"/>
    </row>
    <row r="756" spans="1:8" ht="14.25" customHeight="1" x14ac:dyDescent="0.35">
      <c r="A756" s="10"/>
      <c r="B756" s="10"/>
      <c r="C756" s="10"/>
      <c r="D756" s="10"/>
      <c r="E756" s="10"/>
      <c r="F756" s="10"/>
      <c r="G756" s="10"/>
      <c r="H756" s="10"/>
    </row>
    <row r="757" spans="1:8" ht="14.25" customHeight="1" x14ac:dyDescent="0.35">
      <c r="A757" s="10"/>
      <c r="B757" s="10"/>
      <c r="C757" s="10"/>
      <c r="D757" s="10"/>
      <c r="E757" s="10"/>
      <c r="F757" s="10"/>
      <c r="G757" s="10"/>
      <c r="H757" s="10"/>
    </row>
    <row r="758" spans="1:8" ht="14.25" customHeight="1" x14ac:dyDescent="0.35">
      <c r="A758" s="10"/>
      <c r="B758" s="10"/>
      <c r="C758" s="10"/>
      <c r="D758" s="10"/>
      <c r="E758" s="10"/>
      <c r="F758" s="10"/>
      <c r="G758" s="10"/>
      <c r="H758" s="10"/>
    </row>
    <row r="759" spans="1:8" ht="14.25" customHeight="1" x14ac:dyDescent="0.35">
      <c r="A759" s="10"/>
      <c r="B759" s="10"/>
      <c r="C759" s="10"/>
      <c r="D759" s="10"/>
      <c r="E759" s="10"/>
      <c r="F759" s="10"/>
      <c r="G759" s="10"/>
      <c r="H759" s="10"/>
    </row>
    <row r="760" spans="1:8" ht="14.25" customHeight="1" x14ac:dyDescent="0.35">
      <c r="A760" s="10"/>
      <c r="B760" s="10"/>
      <c r="C760" s="10"/>
      <c r="D760" s="10"/>
      <c r="E760" s="10"/>
      <c r="F760" s="10"/>
      <c r="G760" s="10"/>
      <c r="H760" s="10"/>
    </row>
    <row r="761" spans="1:8" ht="14.25" customHeight="1" x14ac:dyDescent="0.35">
      <c r="A761" s="10"/>
      <c r="B761" s="10"/>
      <c r="C761" s="10"/>
      <c r="D761" s="10"/>
      <c r="E761" s="10"/>
      <c r="F761" s="10"/>
      <c r="G761" s="10"/>
      <c r="H761" s="10"/>
    </row>
    <row r="762" spans="1:8" ht="14.25" customHeight="1" x14ac:dyDescent="0.35">
      <c r="A762" s="10"/>
      <c r="B762" s="10"/>
      <c r="C762" s="10"/>
      <c r="D762" s="10"/>
      <c r="E762" s="10"/>
      <c r="F762" s="10"/>
      <c r="G762" s="10"/>
      <c r="H762" s="10"/>
    </row>
    <row r="763" spans="1:8" ht="14.25" customHeight="1" x14ac:dyDescent="0.35">
      <c r="A763" s="10"/>
      <c r="B763" s="10"/>
      <c r="C763" s="10"/>
      <c r="D763" s="10"/>
      <c r="E763" s="10"/>
      <c r="F763" s="10"/>
      <c r="G763" s="10"/>
      <c r="H763" s="10"/>
    </row>
    <row r="764" spans="1:8" ht="14.25" customHeight="1" x14ac:dyDescent="0.35">
      <c r="A764" s="10"/>
      <c r="B764" s="10"/>
      <c r="C764" s="10"/>
      <c r="D764" s="10"/>
      <c r="E764" s="10"/>
      <c r="F764" s="10"/>
      <c r="G764" s="10"/>
      <c r="H764" s="10"/>
    </row>
    <row r="765" spans="1:8" ht="14.25" customHeight="1" x14ac:dyDescent="0.35">
      <c r="A765" s="10"/>
      <c r="B765" s="10"/>
      <c r="C765" s="10"/>
      <c r="D765" s="10"/>
      <c r="E765" s="10"/>
      <c r="F765" s="10"/>
      <c r="G765" s="10"/>
      <c r="H765" s="10"/>
    </row>
    <row r="766" spans="1:8" ht="14.25" customHeight="1" x14ac:dyDescent="0.35">
      <c r="A766" s="10"/>
      <c r="B766" s="10"/>
      <c r="C766" s="10"/>
      <c r="D766" s="10"/>
      <c r="E766" s="10"/>
      <c r="F766" s="10"/>
      <c r="G766" s="10"/>
      <c r="H766" s="10"/>
    </row>
    <row r="767" spans="1:8" ht="14.25" customHeight="1" x14ac:dyDescent="0.35">
      <c r="A767" s="10"/>
      <c r="B767" s="10"/>
      <c r="C767" s="10"/>
      <c r="D767" s="10"/>
      <c r="E767" s="10"/>
      <c r="F767" s="10"/>
      <c r="G767" s="10"/>
      <c r="H767" s="10"/>
    </row>
    <row r="768" spans="1:8" ht="14.25" customHeight="1" x14ac:dyDescent="0.35">
      <c r="A768" s="10"/>
      <c r="B768" s="10"/>
      <c r="C768" s="10"/>
      <c r="D768" s="10"/>
      <c r="E768" s="10"/>
      <c r="F768" s="10"/>
      <c r="G768" s="10"/>
      <c r="H768" s="10"/>
    </row>
    <row r="769" spans="1:8" ht="14.25" customHeight="1" x14ac:dyDescent="0.35">
      <c r="A769" s="10"/>
      <c r="B769" s="10"/>
      <c r="C769" s="10"/>
      <c r="D769" s="10"/>
      <c r="E769" s="10"/>
      <c r="F769" s="10"/>
      <c r="G769" s="10"/>
      <c r="H769" s="10"/>
    </row>
    <row r="770" spans="1:8" ht="14.25" customHeight="1" x14ac:dyDescent="0.35">
      <c r="A770" s="10"/>
      <c r="B770" s="10"/>
      <c r="C770" s="10"/>
      <c r="D770" s="10"/>
      <c r="E770" s="10"/>
      <c r="F770" s="10"/>
      <c r="G770" s="10"/>
      <c r="H770" s="10"/>
    </row>
    <row r="771" spans="1:8" ht="14.25" customHeight="1" x14ac:dyDescent="0.35">
      <c r="A771" s="10"/>
      <c r="B771" s="10"/>
      <c r="C771" s="10"/>
      <c r="D771" s="10"/>
      <c r="E771" s="10"/>
      <c r="F771" s="10"/>
      <c r="G771" s="10"/>
      <c r="H771" s="10"/>
    </row>
    <row r="772" spans="1:8" ht="14.25" customHeight="1" x14ac:dyDescent="0.35">
      <c r="A772" s="10"/>
      <c r="B772" s="10"/>
      <c r="C772" s="10"/>
      <c r="D772" s="10"/>
      <c r="E772" s="10"/>
      <c r="F772" s="10"/>
      <c r="G772" s="10"/>
      <c r="H772" s="10"/>
    </row>
    <row r="773" spans="1:8" ht="14.25" customHeight="1" x14ac:dyDescent="0.35">
      <c r="A773" s="10"/>
      <c r="B773" s="10"/>
      <c r="C773" s="10"/>
      <c r="D773" s="10"/>
      <c r="E773" s="10"/>
      <c r="F773" s="10"/>
      <c r="G773" s="10"/>
      <c r="H773" s="10"/>
    </row>
    <row r="774" spans="1:8" ht="14.25" customHeight="1" x14ac:dyDescent="0.35">
      <c r="A774" s="10"/>
      <c r="B774" s="10"/>
      <c r="C774" s="10"/>
      <c r="D774" s="10"/>
      <c r="E774" s="10"/>
      <c r="F774" s="10"/>
      <c r="G774" s="10"/>
      <c r="H774" s="10"/>
    </row>
    <row r="775" spans="1:8" ht="14.25" customHeight="1" x14ac:dyDescent="0.35">
      <c r="A775" s="10"/>
      <c r="B775" s="10"/>
      <c r="C775" s="10"/>
      <c r="D775" s="10"/>
      <c r="E775" s="10"/>
      <c r="F775" s="10"/>
      <c r="G775" s="10"/>
      <c r="H775" s="10"/>
    </row>
    <row r="776" spans="1:8" ht="14.25" customHeight="1" x14ac:dyDescent="0.35">
      <c r="A776" s="10"/>
      <c r="B776" s="10"/>
      <c r="C776" s="10"/>
      <c r="D776" s="10"/>
      <c r="E776" s="10"/>
      <c r="F776" s="10"/>
      <c r="G776" s="10"/>
      <c r="H776" s="10"/>
    </row>
    <row r="777" spans="1:8" ht="14.25" customHeight="1" x14ac:dyDescent="0.35">
      <c r="A777" s="10"/>
      <c r="B777" s="10"/>
      <c r="C777" s="10"/>
      <c r="D777" s="10"/>
      <c r="E777" s="10"/>
      <c r="F777" s="10"/>
      <c r="G777" s="10"/>
      <c r="H777" s="10"/>
    </row>
    <row r="778" spans="1:8" ht="14.25" customHeight="1" x14ac:dyDescent="0.35">
      <c r="A778" s="10"/>
      <c r="B778" s="10"/>
      <c r="C778" s="10"/>
      <c r="D778" s="10"/>
      <c r="E778" s="10"/>
      <c r="F778" s="10"/>
      <c r="G778" s="10"/>
      <c r="H778" s="10"/>
    </row>
    <row r="779" spans="1:8" ht="14.25" customHeight="1" x14ac:dyDescent="0.35">
      <c r="A779" s="10"/>
      <c r="B779" s="10"/>
      <c r="C779" s="10"/>
      <c r="D779" s="10"/>
      <c r="E779" s="10"/>
      <c r="F779" s="10"/>
      <c r="G779" s="10"/>
      <c r="H779" s="10"/>
    </row>
    <row r="780" spans="1:8" ht="14.25" customHeight="1" x14ac:dyDescent="0.35">
      <c r="A780" s="10"/>
      <c r="B780" s="10"/>
      <c r="C780" s="10"/>
      <c r="D780" s="10"/>
      <c r="E780" s="10"/>
      <c r="F780" s="10"/>
      <c r="G780" s="10"/>
      <c r="H780" s="10"/>
    </row>
    <row r="781" spans="1:8" ht="14.25" customHeight="1" x14ac:dyDescent="0.35">
      <c r="A781" s="10"/>
      <c r="B781" s="10"/>
      <c r="C781" s="10"/>
      <c r="D781" s="10"/>
      <c r="E781" s="10"/>
      <c r="F781" s="10"/>
      <c r="G781" s="10"/>
      <c r="H781" s="10"/>
    </row>
    <row r="782" spans="1:8" ht="14.25" customHeight="1" x14ac:dyDescent="0.35">
      <c r="A782" s="10"/>
      <c r="B782" s="10"/>
      <c r="C782" s="10"/>
      <c r="D782" s="10"/>
      <c r="E782" s="10"/>
      <c r="F782" s="10"/>
      <c r="G782" s="10"/>
      <c r="H782" s="10"/>
    </row>
    <row r="783" spans="1:8" ht="14.25" customHeight="1" x14ac:dyDescent="0.35">
      <c r="A783" s="10"/>
      <c r="B783" s="10"/>
      <c r="C783" s="10"/>
      <c r="D783" s="10"/>
      <c r="E783" s="10"/>
      <c r="F783" s="10"/>
      <c r="G783" s="10"/>
      <c r="H783" s="10"/>
    </row>
    <row r="784" spans="1:8" ht="14.25" customHeight="1" x14ac:dyDescent="0.35">
      <c r="A784" s="10"/>
      <c r="B784" s="10"/>
      <c r="C784" s="10"/>
      <c r="D784" s="10"/>
      <c r="E784" s="10"/>
      <c r="F784" s="10"/>
      <c r="G784" s="10"/>
      <c r="H784" s="10"/>
    </row>
    <row r="785" spans="1:8" ht="14.25" customHeight="1" x14ac:dyDescent="0.35">
      <c r="A785" s="10"/>
      <c r="B785" s="10"/>
      <c r="C785" s="10"/>
      <c r="D785" s="10"/>
      <c r="E785" s="10"/>
      <c r="F785" s="10"/>
      <c r="G785" s="10"/>
      <c r="H785" s="10"/>
    </row>
    <row r="786" spans="1:8" ht="14.25" customHeight="1" x14ac:dyDescent="0.35">
      <c r="A786" s="10"/>
      <c r="B786" s="10"/>
      <c r="C786" s="10"/>
      <c r="D786" s="10"/>
      <c r="E786" s="10"/>
      <c r="F786" s="10"/>
      <c r="G786" s="10"/>
      <c r="H786" s="10"/>
    </row>
    <row r="787" spans="1:8" ht="14.25" customHeight="1" x14ac:dyDescent="0.35">
      <c r="A787" s="10"/>
      <c r="B787" s="10"/>
      <c r="C787" s="10"/>
      <c r="D787" s="10"/>
      <c r="E787" s="10"/>
      <c r="F787" s="10"/>
      <c r="G787" s="10"/>
      <c r="H787" s="10"/>
    </row>
    <row r="788" spans="1:8" ht="14.25" customHeight="1" x14ac:dyDescent="0.35">
      <c r="A788" s="10"/>
      <c r="B788" s="10"/>
      <c r="C788" s="10"/>
      <c r="D788" s="10"/>
      <c r="E788" s="10"/>
      <c r="F788" s="10"/>
      <c r="G788" s="10"/>
      <c r="H788" s="10"/>
    </row>
    <row r="789" spans="1:8" ht="14.25" customHeight="1" x14ac:dyDescent="0.35">
      <c r="A789" s="10"/>
      <c r="B789" s="10"/>
      <c r="C789" s="10"/>
      <c r="D789" s="10"/>
      <c r="E789" s="10"/>
      <c r="F789" s="10"/>
      <c r="G789" s="10"/>
      <c r="H789" s="10"/>
    </row>
    <row r="790" spans="1:8" ht="14.25" customHeight="1" x14ac:dyDescent="0.35">
      <c r="A790" s="10"/>
      <c r="B790" s="10"/>
      <c r="C790" s="10"/>
      <c r="D790" s="10"/>
      <c r="E790" s="10"/>
      <c r="F790" s="10"/>
      <c r="G790" s="10"/>
      <c r="H790" s="10"/>
    </row>
    <row r="791" spans="1:8" ht="14.25" customHeight="1" x14ac:dyDescent="0.35">
      <c r="A791" s="10"/>
      <c r="B791" s="10"/>
      <c r="C791" s="10"/>
      <c r="D791" s="10"/>
      <c r="E791" s="10"/>
      <c r="F791" s="10"/>
      <c r="G791" s="10"/>
      <c r="H791" s="10"/>
    </row>
    <row r="792" spans="1:8" ht="14.25" customHeight="1" x14ac:dyDescent="0.35">
      <c r="A792" s="10"/>
      <c r="B792" s="10"/>
      <c r="C792" s="10"/>
      <c r="D792" s="10"/>
      <c r="E792" s="10"/>
      <c r="F792" s="10"/>
      <c r="G792" s="10"/>
      <c r="H792" s="10"/>
    </row>
    <row r="793" spans="1:8" ht="14.25" customHeight="1" x14ac:dyDescent="0.35">
      <c r="A793" s="10"/>
      <c r="B793" s="10"/>
      <c r="C793" s="10"/>
      <c r="D793" s="10"/>
      <c r="E793" s="10"/>
      <c r="F793" s="10"/>
      <c r="G793" s="10"/>
      <c r="H793" s="10"/>
    </row>
    <row r="794" spans="1:8" ht="14.25" customHeight="1" x14ac:dyDescent="0.35">
      <c r="A794" s="10"/>
      <c r="B794" s="10"/>
      <c r="C794" s="10"/>
      <c r="D794" s="10"/>
      <c r="E794" s="10"/>
      <c r="F794" s="10"/>
      <c r="G794" s="10"/>
      <c r="H794" s="10"/>
    </row>
    <row r="795" spans="1:8" ht="14.25" customHeight="1" x14ac:dyDescent="0.35">
      <c r="A795" s="10"/>
      <c r="B795" s="10"/>
      <c r="C795" s="10"/>
      <c r="D795" s="10"/>
      <c r="E795" s="10"/>
      <c r="F795" s="10"/>
      <c r="G795" s="10"/>
      <c r="H795" s="10"/>
    </row>
    <row r="796" spans="1:8" ht="14.25" customHeight="1" x14ac:dyDescent="0.35">
      <c r="A796" s="10"/>
      <c r="B796" s="10"/>
      <c r="C796" s="10"/>
      <c r="D796" s="10"/>
      <c r="E796" s="10"/>
      <c r="F796" s="10"/>
      <c r="G796" s="10"/>
      <c r="H796" s="10"/>
    </row>
    <row r="797" spans="1:8" ht="14.25" customHeight="1" x14ac:dyDescent="0.35">
      <c r="A797" s="10"/>
      <c r="B797" s="10"/>
      <c r="C797" s="10"/>
      <c r="D797" s="10"/>
      <c r="E797" s="10"/>
      <c r="F797" s="10"/>
      <c r="G797" s="10"/>
      <c r="H797" s="10"/>
    </row>
    <row r="798" spans="1:8" ht="14.25" customHeight="1" x14ac:dyDescent="0.35">
      <c r="A798" s="10"/>
      <c r="B798" s="10"/>
      <c r="C798" s="10"/>
      <c r="D798" s="10"/>
      <c r="E798" s="10"/>
      <c r="F798" s="10"/>
      <c r="G798" s="10"/>
      <c r="H798" s="10"/>
    </row>
    <row r="799" spans="1:8" ht="14.25" customHeight="1" x14ac:dyDescent="0.35">
      <c r="A799" s="10"/>
      <c r="B799" s="10"/>
      <c r="C799" s="10"/>
      <c r="D799" s="10"/>
      <c r="E799" s="10"/>
      <c r="F799" s="10"/>
      <c r="G799" s="10"/>
      <c r="H799" s="10"/>
    </row>
    <row r="800" spans="1:8" ht="14.25" customHeight="1" x14ac:dyDescent="0.35">
      <c r="A800" s="10"/>
      <c r="B800" s="10"/>
      <c r="C800" s="10"/>
      <c r="D800" s="10"/>
      <c r="E800" s="10"/>
      <c r="F800" s="10"/>
      <c r="G800" s="10"/>
      <c r="H800" s="10"/>
    </row>
    <row r="801" spans="1:8" ht="14.25" customHeight="1" x14ac:dyDescent="0.35">
      <c r="A801" s="10"/>
      <c r="B801" s="10"/>
      <c r="C801" s="10"/>
      <c r="D801" s="10"/>
      <c r="E801" s="10"/>
      <c r="F801" s="10"/>
      <c r="G801" s="10"/>
      <c r="H801" s="10"/>
    </row>
    <row r="802" spans="1:8" ht="14.25" customHeight="1" x14ac:dyDescent="0.35">
      <c r="A802" s="10"/>
      <c r="B802" s="10"/>
      <c r="C802" s="10"/>
      <c r="D802" s="10"/>
      <c r="E802" s="10"/>
      <c r="F802" s="10"/>
      <c r="G802" s="10"/>
      <c r="H802" s="10"/>
    </row>
    <row r="803" spans="1:8" ht="14.25" customHeight="1" x14ac:dyDescent="0.35">
      <c r="A803" s="10"/>
      <c r="B803" s="10"/>
      <c r="C803" s="10"/>
      <c r="D803" s="10"/>
      <c r="E803" s="10"/>
      <c r="F803" s="10"/>
      <c r="G803" s="10"/>
      <c r="H803" s="10"/>
    </row>
    <row r="804" spans="1:8" ht="14.25" customHeight="1" x14ac:dyDescent="0.35">
      <c r="A804" s="10"/>
      <c r="B804" s="10"/>
      <c r="C804" s="10"/>
      <c r="D804" s="10"/>
      <c r="E804" s="10"/>
      <c r="F804" s="10"/>
      <c r="G804" s="10"/>
      <c r="H804" s="10"/>
    </row>
    <row r="805" spans="1:8" ht="14.25" customHeight="1" x14ac:dyDescent="0.35">
      <c r="A805" s="10"/>
      <c r="B805" s="10"/>
      <c r="C805" s="10"/>
      <c r="D805" s="10"/>
      <c r="E805" s="10"/>
      <c r="F805" s="10"/>
      <c r="G805" s="10"/>
      <c r="H805" s="10"/>
    </row>
    <row r="806" spans="1:8" ht="14.25" customHeight="1" x14ac:dyDescent="0.35">
      <c r="A806" s="10"/>
      <c r="B806" s="10"/>
      <c r="C806" s="10"/>
      <c r="D806" s="10"/>
      <c r="E806" s="10"/>
      <c r="F806" s="10"/>
      <c r="G806" s="10"/>
      <c r="H806" s="10"/>
    </row>
    <row r="807" spans="1:8" ht="14.25" customHeight="1" x14ac:dyDescent="0.35">
      <c r="A807" s="10"/>
      <c r="B807" s="10"/>
      <c r="C807" s="10"/>
      <c r="D807" s="10"/>
      <c r="E807" s="10"/>
      <c r="F807" s="10"/>
      <c r="G807" s="10"/>
      <c r="H807" s="10"/>
    </row>
    <row r="808" spans="1:8" ht="14.25" customHeight="1" x14ac:dyDescent="0.35">
      <c r="A808" s="10"/>
      <c r="B808" s="10"/>
      <c r="C808" s="10"/>
      <c r="D808" s="10"/>
      <c r="E808" s="10"/>
      <c r="F808" s="10"/>
      <c r="G808" s="10"/>
      <c r="H808" s="10"/>
    </row>
    <row r="809" spans="1:8" ht="14.25" customHeight="1" x14ac:dyDescent="0.35">
      <c r="A809" s="10"/>
      <c r="B809" s="10"/>
      <c r="C809" s="10"/>
      <c r="D809" s="10"/>
      <c r="E809" s="10"/>
      <c r="F809" s="10"/>
      <c r="G809" s="10"/>
      <c r="H809" s="10"/>
    </row>
    <row r="810" spans="1:8" ht="14.25" customHeight="1" x14ac:dyDescent="0.35">
      <c r="A810" s="10"/>
      <c r="B810" s="10"/>
      <c r="C810" s="10"/>
      <c r="D810" s="10"/>
      <c r="E810" s="10"/>
      <c r="F810" s="10"/>
      <c r="G810" s="10"/>
      <c r="H810" s="10"/>
    </row>
    <row r="811" spans="1:8" ht="14.25" customHeight="1" x14ac:dyDescent="0.35">
      <c r="A811" s="10"/>
      <c r="B811" s="10"/>
      <c r="C811" s="10"/>
      <c r="D811" s="10"/>
      <c r="E811" s="10"/>
      <c r="F811" s="10"/>
      <c r="G811" s="10"/>
      <c r="H811" s="10"/>
    </row>
    <row r="812" spans="1:8" ht="14.25" customHeight="1" x14ac:dyDescent="0.35">
      <c r="A812" s="10"/>
      <c r="B812" s="10"/>
      <c r="C812" s="10"/>
      <c r="D812" s="10"/>
      <c r="E812" s="10"/>
      <c r="F812" s="10"/>
      <c r="G812" s="10"/>
      <c r="H812" s="10"/>
    </row>
    <row r="813" spans="1:8" ht="14.25" customHeight="1" x14ac:dyDescent="0.35">
      <c r="A813" s="10"/>
      <c r="B813" s="10"/>
      <c r="C813" s="10"/>
      <c r="D813" s="10"/>
      <c r="E813" s="10"/>
      <c r="F813" s="10"/>
      <c r="G813" s="10"/>
      <c r="H813" s="10"/>
    </row>
    <row r="814" spans="1:8" ht="14.25" customHeight="1" x14ac:dyDescent="0.35">
      <c r="A814" s="10"/>
      <c r="B814" s="10"/>
      <c r="C814" s="10"/>
      <c r="D814" s="10"/>
      <c r="E814" s="10"/>
      <c r="F814" s="10"/>
      <c r="G814" s="10"/>
      <c r="H814" s="10"/>
    </row>
    <row r="815" spans="1:8" ht="14.25" customHeight="1" x14ac:dyDescent="0.35">
      <c r="A815" s="10"/>
      <c r="B815" s="10"/>
      <c r="C815" s="10"/>
      <c r="D815" s="10"/>
      <c r="E815" s="10"/>
      <c r="F815" s="10"/>
      <c r="G815" s="10"/>
      <c r="H815" s="10"/>
    </row>
    <row r="816" spans="1:8" ht="14.25" customHeight="1" x14ac:dyDescent="0.35">
      <c r="A816" s="10"/>
      <c r="B816" s="10"/>
      <c r="C816" s="10"/>
      <c r="D816" s="10"/>
      <c r="E816" s="10"/>
      <c r="F816" s="10"/>
      <c r="G816" s="10"/>
      <c r="H816" s="10"/>
    </row>
    <row r="817" spans="1:8" ht="14.25" customHeight="1" x14ac:dyDescent="0.35">
      <c r="A817" s="10"/>
      <c r="B817" s="10"/>
      <c r="C817" s="10"/>
      <c r="D817" s="10"/>
      <c r="E817" s="10"/>
      <c r="F817" s="10"/>
      <c r="G817" s="10"/>
      <c r="H817" s="10"/>
    </row>
    <row r="818" spans="1:8" ht="14.25" customHeight="1" x14ac:dyDescent="0.35">
      <c r="A818" s="10"/>
      <c r="B818" s="10"/>
      <c r="C818" s="10"/>
      <c r="D818" s="10"/>
      <c r="E818" s="10"/>
      <c r="F818" s="10"/>
      <c r="G818" s="10"/>
      <c r="H818" s="10"/>
    </row>
    <row r="819" spans="1:8" ht="14.25" customHeight="1" x14ac:dyDescent="0.35">
      <c r="A819" s="10"/>
      <c r="B819" s="10"/>
      <c r="C819" s="10"/>
      <c r="D819" s="10"/>
      <c r="E819" s="10"/>
      <c r="F819" s="10"/>
      <c r="G819" s="10"/>
      <c r="H819" s="10"/>
    </row>
    <row r="820" spans="1:8" ht="14.25" customHeight="1" x14ac:dyDescent="0.35">
      <c r="A820" s="10"/>
      <c r="B820" s="10"/>
      <c r="C820" s="10"/>
      <c r="D820" s="10"/>
      <c r="E820" s="10"/>
      <c r="F820" s="10"/>
      <c r="G820" s="10"/>
      <c r="H820" s="10"/>
    </row>
    <row r="821" spans="1:8" ht="14.25" customHeight="1" x14ac:dyDescent="0.35">
      <c r="A821" s="10"/>
      <c r="B821" s="10"/>
      <c r="C821" s="10"/>
      <c r="D821" s="10"/>
      <c r="E821" s="10"/>
      <c r="F821" s="10"/>
      <c r="G821" s="10"/>
      <c r="H821" s="10"/>
    </row>
    <row r="822" spans="1:8" ht="14.25" customHeight="1" x14ac:dyDescent="0.35">
      <c r="A822" s="10"/>
      <c r="B822" s="10"/>
      <c r="C822" s="10"/>
      <c r="D822" s="10"/>
      <c r="E822" s="10"/>
      <c r="F822" s="10"/>
      <c r="G822" s="10"/>
      <c r="H822" s="10"/>
    </row>
    <row r="823" spans="1:8" ht="14.25" customHeight="1" x14ac:dyDescent="0.35">
      <c r="A823" s="10"/>
      <c r="B823" s="10"/>
      <c r="C823" s="10"/>
      <c r="D823" s="10"/>
      <c r="E823" s="10"/>
      <c r="F823" s="10"/>
      <c r="G823" s="10"/>
      <c r="H823" s="10"/>
    </row>
    <row r="824" spans="1:8" ht="14.25" customHeight="1" x14ac:dyDescent="0.35">
      <c r="A824" s="10"/>
      <c r="B824" s="10"/>
      <c r="C824" s="10"/>
      <c r="D824" s="10"/>
      <c r="E824" s="10"/>
      <c r="F824" s="10"/>
      <c r="G824" s="10"/>
      <c r="H824" s="10"/>
    </row>
    <row r="825" spans="1:8" ht="14.25" customHeight="1" x14ac:dyDescent="0.35">
      <c r="A825" s="10"/>
      <c r="B825" s="10"/>
      <c r="C825" s="10"/>
      <c r="D825" s="10"/>
      <c r="E825" s="10"/>
      <c r="F825" s="10"/>
      <c r="G825" s="10"/>
      <c r="H825" s="10"/>
    </row>
    <row r="826" spans="1:8" ht="14.25" customHeight="1" x14ac:dyDescent="0.35">
      <c r="A826" s="10"/>
      <c r="B826" s="10"/>
      <c r="C826" s="10"/>
      <c r="D826" s="10"/>
      <c r="E826" s="10"/>
      <c r="F826" s="10"/>
      <c r="G826" s="10"/>
      <c r="H826" s="10"/>
    </row>
    <row r="827" spans="1:8" ht="14.25" customHeight="1" x14ac:dyDescent="0.35">
      <c r="A827" s="10"/>
      <c r="B827" s="10"/>
      <c r="C827" s="10"/>
      <c r="D827" s="10"/>
      <c r="E827" s="10"/>
      <c r="F827" s="10"/>
      <c r="G827" s="10"/>
      <c r="H827" s="10"/>
    </row>
    <row r="828" spans="1:8" ht="14.25" customHeight="1" x14ac:dyDescent="0.35">
      <c r="A828" s="10"/>
      <c r="B828" s="10"/>
      <c r="C828" s="10"/>
      <c r="D828" s="10"/>
      <c r="E828" s="10"/>
      <c r="F828" s="10"/>
      <c r="G828" s="10"/>
      <c r="H828" s="10"/>
    </row>
    <row r="829" spans="1:8" ht="14.25" customHeight="1" x14ac:dyDescent="0.35">
      <c r="A829" s="10"/>
      <c r="B829" s="10"/>
      <c r="C829" s="10"/>
      <c r="D829" s="10"/>
      <c r="E829" s="10"/>
      <c r="F829" s="10"/>
      <c r="G829" s="10"/>
      <c r="H829" s="10"/>
    </row>
    <row r="830" spans="1:8" ht="14.25" customHeight="1" x14ac:dyDescent="0.35">
      <c r="A830" s="10"/>
      <c r="B830" s="10"/>
      <c r="C830" s="10"/>
      <c r="D830" s="10"/>
      <c r="E830" s="10"/>
      <c r="F830" s="10"/>
      <c r="G830" s="10"/>
      <c r="H830" s="10"/>
    </row>
    <row r="831" spans="1:8" ht="14.25" customHeight="1" x14ac:dyDescent="0.35">
      <c r="A831" s="10"/>
      <c r="B831" s="10"/>
      <c r="C831" s="10"/>
      <c r="D831" s="10"/>
      <c r="E831" s="10"/>
      <c r="F831" s="10"/>
      <c r="G831" s="10"/>
      <c r="H831" s="10"/>
    </row>
    <row r="832" spans="1:8" ht="14.25" customHeight="1" x14ac:dyDescent="0.35">
      <c r="A832" s="10"/>
      <c r="B832" s="10"/>
      <c r="C832" s="10"/>
      <c r="D832" s="10"/>
      <c r="E832" s="10"/>
      <c r="F832" s="10"/>
      <c r="G832" s="10"/>
      <c r="H832" s="10"/>
    </row>
    <row r="833" spans="1:8" ht="14.25" customHeight="1" x14ac:dyDescent="0.35">
      <c r="A833" s="10"/>
      <c r="B833" s="10"/>
      <c r="C833" s="10"/>
      <c r="D833" s="10"/>
      <c r="E833" s="10"/>
      <c r="F833" s="10"/>
      <c r="G833" s="10"/>
      <c r="H833" s="10"/>
    </row>
    <row r="834" spans="1:8" ht="14.25" customHeight="1" x14ac:dyDescent="0.35">
      <c r="A834" s="10"/>
      <c r="B834" s="10"/>
      <c r="C834" s="10"/>
      <c r="D834" s="10"/>
      <c r="E834" s="10"/>
      <c r="F834" s="10"/>
      <c r="G834" s="10"/>
      <c r="H834" s="10"/>
    </row>
    <row r="835" spans="1:8" ht="14.25" customHeight="1" x14ac:dyDescent="0.35">
      <c r="A835" s="10"/>
      <c r="B835" s="10"/>
      <c r="C835" s="10"/>
      <c r="D835" s="10"/>
      <c r="E835" s="10"/>
      <c r="F835" s="10"/>
      <c r="G835" s="10"/>
      <c r="H835" s="10"/>
    </row>
    <row r="836" spans="1:8" ht="14.25" customHeight="1" x14ac:dyDescent="0.35">
      <c r="A836" s="10"/>
      <c r="B836" s="10"/>
      <c r="C836" s="10"/>
      <c r="D836" s="10"/>
      <c r="E836" s="10"/>
      <c r="F836" s="10"/>
      <c r="G836" s="10"/>
      <c r="H836" s="10"/>
    </row>
    <row r="837" spans="1:8" ht="14.25" customHeight="1" x14ac:dyDescent="0.35">
      <c r="A837" s="10"/>
      <c r="B837" s="10"/>
      <c r="C837" s="10"/>
      <c r="D837" s="10"/>
      <c r="E837" s="10"/>
      <c r="F837" s="10"/>
      <c r="G837" s="10"/>
      <c r="H837" s="10"/>
    </row>
    <row r="838" spans="1:8" ht="14.25" customHeight="1" x14ac:dyDescent="0.35">
      <c r="A838" s="10"/>
      <c r="B838" s="10"/>
      <c r="C838" s="10"/>
      <c r="D838" s="10"/>
      <c r="E838" s="10"/>
      <c r="F838" s="10"/>
      <c r="G838" s="10"/>
      <c r="H838" s="10"/>
    </row>
    <row r="839" spans="1:8" ht="14.25" customHeight="1" x14ac:dyDescent="0.35">
      <c r="A839" s="10"/>
      <c r="B839" s="10"/>
      <c r="C839" s="10"/>
      <c r="D839" s="10"/>
      <c r="E839" s="10"/>
      <c r="F839" s="10"/>
      <c r="G839" s="10"/>
      <c r="H839" s="10"/>
    </row>
    <row r="840" spans="1:8" ht="14.25" customHeight="1" x14ac:dyDescent="0.35">
      <c r="A840" s="10"/>
      <c r="B840" s="10"/>
      <c r="C840" s="10"/>
      <c r="D840" s="10"/>
      <c r="E840" s="10"/>
      <c r="F840" s="10"/>
      <c r="G840" s="10"/>
      <c r="H840" s="10"/>
    </row>
    <row r="841" spans="1:8" ht="14.25" customHeight="1" x14ac:dyDescent="0.35">
      <c r="A841" s="10"/>
      <c r="B841" s="10"/>
      <c r="C841" s="10"/>
      <c r="D841" s="10"/>
      <c r="E841" s="10"/>
      <c r="F841" s="10"/>
      <c r="G841" s="10"/>
      <c r="H841" s="10"/>
    </row>
    <row r="842" spans="1:8" ht="14.25" customHeight="1" x14ac:dyDescent="0.35">
      <c r="A842" s="10"/>
      <c r="B842" s="10"/>
      <c r="C842" s="10"/>
      <c r="D842" s="10"/>
      <c r="E842" s="10"/>
      <c r="F842" s="10"/>
      <c r="G842" s="10"/>
      <c r="H842" s="10"/>
    </row>
    <row r="843" spans="1:8" ht="14.25" customHeight="1" x14ac:dyDescent="0.35">
      <c r="A843" s="10"/>
      <c r="B843" s="10"/>
      <c r="C843" s="10"/>
      <c r="D843" s="10"/>
      <c r="E843" s="10"/>
      <c r="F843" s="10"/>
      <c r="G843" s="10"/>
      <c r="H843" s="10"/>
    </row>
    <row r="844" spans="1:8" ht="14.25" customHeight="1" x14ac:dyDescent="0.35">
      <c r="A844" s="10"/>
      <c r="B844" s="10"/>
      <c r="C844" s="10"/>
      <c r="D844" s="10"/>
      <c r="E844" s="10"/>
      <c r="F844" s="10"/>
      <c r="G844" s="10"/>
      <c r="H844" s="10"/>
    </row>
    <row r="845" spans="1:8" ht="14.25" customHeight="1" x14ac:dyDescent="0.35">
      <c r="A845" s="10"/>
      <c r="B845" s="10"/>
      <c r="C845" s="10"/>
      <c r="D845" s="10"/>
      <c r="E845" s="10"/>
      <c r="F845" s="10"/>
      <c r="G845" s="10"/>
      <c r="H845" s="10"/>
    </row>
    <row r="846" spans="1:8" ht="14.25" customHeight="1" x14ac:dyDescent="0.35">
      <c r="A846" s="10"/>
      <c r="B846" s="10"/>
      <c r="C846" s="10"/>
      <c r="D846" s="10"/>
      <c r="E846" s="10"/>
      <c r="F846" s="10"/>
      <c r="G846" s="10"/>
      <c r="H846" s="10"/>
    </row>
    <row r="847" spans="1:8" ht="14.25" customHeight="1" x14ac:dyDescent="0.35">
      <c r="A847" s="10"/>
      <c r="B847" s="10"/>
      <c r="C847" s="10"/>
      <c r="D847" s="10"/>
      <c r="E847" s="10"/>
      <c r="F847" s="10"/>
      <c r="G847" s="10"/>
      <c r="H847" s="10"/>
    </row>
    <row r="848" spans="1:8" ht="14.25" customHeight="1" x14ac:dyDescent="0.35">
      <c r="A848" s="10"/>
      <c r="B848" s="10"/>
      <c r="C848" s="10"/>
      <c r="D848" s="10"/>
      <c r="E848" s="10"/>
      <c r="F848" s="10"/>
      <c r="G848" s="10"/>
      <c r="H848" s="10"/>
    </row>
    <row r="849" spans="1:8" ht="14.25" customHeight="1" x14ac:dyDescent="0.35">
      <c r="A849" s="10"/>
      <c r="B849" s="10"/>
      <c r="C849" s="10"/>
      <c r="D849" s="10"/>
      <c r="E849" s="10"/>
      <c r="F849" s="10"/>
      <c r="G849" s="10"/>
      <c r="H849" s="10"/>
    </row>
    <row r="850" spans="1:8" ht="14.25" customHeight="1" x14ac:dyDescent="0.35">
      <c r="A850" s="10"/>
      <c r="B850" s="10"/>
      <c r="C850" s="10"/>
      <c r="D850" s="10"/>
      <c r="E850" s="10"/>
      <c r="F850" s="10"/>
      <c r="G850" s="10"/>
      <c r="H850" s="10"/>
    </row>
    <row r="851" spans="1:8" ht="14.25" customHeight="1" x14ac:dyDescent="0.35">
      <c r="A851" s="10"/>
      <c r="B851" s="10"/>
      <c r="C851" s="10"/>
      <c r="D851" s="10"/>
      <c r="E851" s="10"/>
      <c r="F851" s="10"/>
      <c r="G851" s="10"/>
      <c r="H851" s="10"/>
    </row>
    <row r="852" spans="1:8" ht="14.25" customHeight="1" x14ac:dyDescent="0.35">
      <c r="A852" s="10"/>
      <c r="B852" s="10"/>
      <c r="C852" s="10"/>
      <c r="D852" s="10"/>
      <c r="E852" s="10"/>
      <c r="F852" s="10"/>
      <c r="G852" s="10"/>
      <c r="H852" s="10"/>
    </row>
    <row r="853" spans="1:8" ht="14.25" customHeight="1" x14ac:dyDescent="0.35">
      <c r="A853" s="10"/>
      <c r="B853" s="10"/>
      <c r="C853" s="10"/>
      <c r="D853" s="10"/>
      <c r="E853" s="10"/>
      <c r="F853" s="10"/>
      <c r="G853" s="10"/>
      <c r="H853" s="10"/>
    </row>
    <row r="854" spans="1:8" ht="14.25" customHeight="1" x14ac:dyDescent="0.35">
      <c r="A854" s="10"/>
      <c r="B854" s="10"/>
      <c r="C854" s="10"/>
      <c r="D854" s="10"/>
      <c r="E854" s="10"/>
      <c r="F854" s="10"/>
      <c r="G854" s="10"/>
      <c r="H854" s="10"/>
    </row>
    <row r="855" spans="1:8" ht="14.25" customHeight="1" x14ac:dyDescent="0.35">
      <c r="A855" s="10"/>
      <c r="B855" s="10"/>
      <c r="C855" s="10"/>
      <c r="D855" s="10"/>
      <c r="E855" s="10"/>
      <c r="F855" s="10"/>
      <c r="G855" s="10"/>
      <c r="H855" s="10"/>
    </row>
    <row r="856" spans="1:8" ht="14.25" customHeight="1" x14ac:dyDescent="0.35">
      <c r="A856" s="10"/>
      <c r="B856" s="10"/>
      <c r="C856" s="10"/>
      <c r="D856" s="10"/>
      <c r="E856" s="10"/>
      <c r="F856" s="10"/>
      <c r="G856" s="10"/>
      <c r="H856" s="10"/>
    </row>
    <row r="857" spans="1:8" ht="14.25" customHeight="1" x14ac:dyDescent="0.35">
      <c r="A857" s="10"/>
      <c r="B857" s="10"/>
      <c r="C857" s="10"/>
      <c r="D857" s="10"/>
      <c r="E857" s="10"/>
      <c r="F857" s="10"/>
      <c r="G857" s="10"/>
      <c r="H857" s="10"/>
    </row>
    <row r="858" spans="1:8" ht="14.25" customHeight="1" x14ac:dyDescent="0.35">
      <c r="A858" s="10"/>
      <c r="B858" s="10"/>
      <c r="C858" s="10"/>
      <c r="D858" s="10"/>
      <c r="E858" s="10"/>
      <c r="F858" s="10"/>
      <c r="G858" s="10"/>
      <c r="H858" s="10"/>
    </row>
    <row r="859" spans="1:8" ht="14.25" customHeight="1" x14ac:dyDescent="0.35">
      <c r="A859" s="10"/>
      <c r="B859" s="10"/>
      <c r="C859" s="10"/>
      <c r="D859" s="10"/>
      <c r="E859" s="10"/>
      <c r="F859" s="10"/>
      <c r="G859" s="10"/>
      <c r="H859" s="10"/>
    </row>
    <row r="860" spans="1:8" ht="14.25" customHeight="1" x14ac:dyDescent="0.35">
      <c r="A860" s="10"/>
      <c r="B860" s="10"/>
      <c r="C860" s="10"/>
      <c r="D860" s="10"/>
      <c r="E860" s="10"/>
      <c r="F860" s="10"/>
      <c r="G860" s="10"/>
      <c r="H860" s="10"/>
    </row>
    <row r="861" spans="1:8" ht="14.25" customHeight="1" x14ac:dyDescent="0.35">
      <c r="A861" s="10"/>
      <c r="B861" s="10"/>
      <c r="C861" s="10"/>
      <c r="D861" s="10"/>
      <c r="E861" s="10"/>
      <c r="F861" s="10"/>
      <c r="G861" s="10"/>
      <c r="H861" s="10"/>
    </row>
    <row r="862" spans="1:8" ht="14.25" customHeight="1" x14ac:dyDescent="0.35">
      <c r="A862" s="10"/>
      <c r="B862" s="10"/>
      <c r="C862" s="10"/>
      <c r="D862" s="10"/>
      <c r="E862" s="10"/>
      <c r="F862" s="10"/>
      <c r="G862" s="10"/>
      <c r="H862" s="10"/>
    </row>
    <row r="863" spans="1:8" ht="14.25" customHeight="1" x14ac:dyDescent="0.35">
      <c r="A863" s="10"/>
      <c r="B863" s="10"/>
      <c r="C863" s="10"/>
      <c r="D863" s="10"/>
      <c r="E863" s="10"/>
      <c r="F863" s="10"/>
      <c r="G863" s="10"/>
      <c r="H863" s="10"/>
    </row>
    <row r="864" spans="1:8" ht="14.25" customHeight="1" x14ac:dyDescent="0.35">
      <c r="A864" s="10"/>
      <c r="B864" s="10"/>
      <c r="C864" s="10"/>
      <c r="D864" s="10"/>
      <c r="E864" s="10"/>
      <c r="F864" s="10"/>
      <c r="G864" s="10"/>
      <c r="H864" s="10"/>
    </row>
    <row r="865" spans="1:8" ht="14.25" customHeight="1" x14ac:dyDescent="0.35">
      <c r="A865" s="10"/>
      <c r="B865" s="10"/>
      <c r="C865" s="10"/>
      <c r="D865" s="10"/>
      <c r="E865" s="10"/>
      <c r="F865" s="10"/>
      <c r="G865" s="10"/>
      <c r="H865" s="10"/>
    </row>
    <row r="866" spans="1:8" ht="14.25" customHeight="1" x14ac:dyDescent="0.35">
      <c r="A866" s="10"/>
      <c r="B866" s="10"/>
      <c r="C866" s="10"/>
      <c r="D866" s="10"/>
      <c r="E866" s="10"/>
      <c r="F866" s="10"/>
      <c r="G866" s="10"/>
      <c r="H866" s="10"/>
    </row>
    <row r="867" spans="1:8" ht="14.25" customHeight="1" x14ac:dyDescent="0.35">
      <c r="A867" s="10"/>
      <c r="B867" s="10"/>
      <c r="C867" s="10"/>
      <c r="D867" s="10"/>
      <c r="E867" s="10"/>
      <c r="F867" s="10"/>
      <c r="G867" s="10"/>
      <c r="H867" s="10"/>
    </row>
    <row r="868" spans="1:8" ht="14.25" customHeight="1" x14ac:dyDescent="0.35">
      <c r="A868" s="10"/>
      <c r="B868" s="10"/>
      <c r="C868" s="10"/>
      <c r="D868" s="10"/>
      <c r="E868" s="10"/>
      <c r="F868" s="10"/>
      <c r="G868" s="10"/>
      <c r="H868" s="10"/>
    </row>
    <row r="869" spans="1:8" ht="14.25" customHeight="1" x14ac:dyDescent="0.35">
      <c r="A869" s="10"/>
      <c r="B869" s="10"/>
      <c r="C869" s="10"/>
      <c r="D869" s="10"/>
      <c r="E869" s="10"/>
      <c r="F869" s="10"/>
      <c r="G869" s="10"/>
      <c r="H869" s="10"/>
    </row>
    <row r="870" spans="1:8" ht="14.25" customHeight="1" x14ac:dyDescent="0.35">
      <c r="A870" s="10"/>
      <c r="B870" s="10"/>
      <c r="C870" s="10"/>
      <c r="D870" s="10"/>
      <c r="E870" s="10"/>
      <c r="F870" s="10"/>
      <c r="G870" s="10"/>
      <c r="H870" s="10"/>
    </row>
    <row r="871" spans="1:8" ht="14.25" customHeight="1" x14ac:dyDescent="0.35">
      <c r="A871" s="10"/>
      <c r="B871" s="10"/>
      <c r="C871" s="10"/>
      <c r="D871" s="10"/>
      <c r="E871" s="10"/>
      <c r="F871" s="10"/>
      <c r="G871" s="10"/>
      <c r="H871" s="10"/>
    </row>
    <row r="872" spans="1:8" ht="14.25" customHeight="1" x14ac:dyDescent="0.35">
      <c r="A872" s="10"/>
      <c r="B872" s="10"/>
      <c r="C872" s="10"/>
      <c r="D872" s="10"/>
      <c r="E872" s="10"/>
      <c r="F872" s="10"/>
      <c r="G872" s="10"/>
      <c r="H872" s="10"/>
    </row>
    <row r="873" spans="1:8" ht="14.25" customHeight="1" x14ac:dyDescent="0.35">
      <c r="A873" s="10"/>
      <c r="B873" s="10"/>
      <c r="C873" s="10"/>
      <c r="D873" s="10"/>
      <c r="E873" s="10"/>
      <c r="F873" s="10"/>
      <c r="G873" s="10"/>
      <c r="H873" s="10"/>
    </row>
    <row r="874" spans="1:8" ht="14.25" customHeight="1" x14ac:dyDescent="0.35">
      <c r="A874" s="10"/>
      <c r="B874" s="10"/>
      <c r="C874" s="10"/>
      <c r="D874" s="10"/>
      <c r="E874" s="10"/>
      <c r="F874" s="10"/>
      <c r="G874" s="10"/>
      <c r="H874" s="10"/>
    </row>
    <row r="875" spans="1:8" ht="14.25" customHeight="1" x14ac:dyDescent="0.35">
      <c r="A875" s="10"/>
      <c r="B875" s="10"/>
      <c r="C875" s="10"/>
      <c r="D875" s="10"/>
      <c r="E875" s="10"/>
      <c r="F875" s="10"/>
      <c r="G875" s="10"/>
      <c r="H875" s="10"/>
    </row>
    <row r="876" spans="1:8" ht="14.25" customHeight="1" x14ac:dyDescent="0.35">
      <c r="A876" s="10"/>
      <c r="B876" s="10"/>
      <c r="C876" s="10"/>
      <c r="D876" s="10"/>
      <c r="E876" s="10"/>
      <c r="F876" s="10"/>
      <c r="G876" s="10"/>
      <c r="H876" s="10"/>
    </row>
    <row r="877" spans="1:8" ht="14.25" customHeight="1" x14ac:dyDescent="0.35">
      <c r="A877" s="10"/>
      <c r="B877" s="10"/>
      <c r="C877" s="10"/>
      <c r="D877" s="10"/>
      <c r="E877" s="10"/>
      <c r="F877" s="10"/>
      <c r="G877" s="10"/>
      <c r="H877" s="10"/>
    </row>
    <row r="878" spans="1:8" ht="14.25" customHeight="1" x14ac:dyDescent="0.35">
      <c r="A878" s="10"/>
      <c r="B878" s="10"/>
      <c r="C878" s="10"/>
      <c r="D878" s="10"/>
      <c r="E878" s="10"/>
      <c r="F878" s="10"/>
      <c r="G878" s="10"/>
      <c r="H878" s="10"/>
    </row>
    <row r="879" spans="1:8" ht="14.25" customHeight="1" x14ac:dyDescent="0.35">
      <c r="A879" s="10"/>
      <c r="B879" s="10"/>
      <c r="C879" s="10"/>
      <c r="D879" s="10"/>
      <c r="E879" s="10"/>
      <c r="F879" s="10"/>
      <c r="G879" s="10"/>
      <c r="H879" s="10"/>
    </row>
    <row r="880" spans="1:8" ht="14.25" customHeight="1" x14ac:dyDescent="0.35">
      <c r="A880" s="10"/>
      <c r="B880" s="10"/>
      <c r="C880" s="10"/>
      <c r="D880" s="10"/>
      <c r="E880" s="10"/>
      <c r="F880" s="10"/>
      <c r="G880" s="10"/>
      <c r="H880" s="10"/>
    </row>
    <row r="881" spans="1:8" ht="14.25" customHeight="1" x14ac:dyDescent="0.35">
      <c r="A881" s="10"/>
      <c r="B881" s="10"/>
      <c r="C881" s="10"/>
      <c r="D881" s="10"/>
      <c r="E881" s="10"/>
      <c r="F881" s="10"/>
      <c r="G881" s="10"/>
      <c r="H881" s="10"/>
    </row>
    <row r="882" spans="1:8" ht="14.25" customHeight="1" x14ac:dyDescent="0.35">
      <c r="A882" s="10"/>
      <c r="B882" s="10"/>
      <c r="C882" s="10"/>
      <c r="D882" s="10"/>
      <c r="E882" s="10"/>
      <c r="F882" s="10"/>
      <c r="G882" s="10"/>
      <c r="H882" s="10"/>
    </row>
    <row r="883" spans="1:8" ht="14.25" customHeight="1" x14ac:dyDescent="0.35">
      <c r="A883" s="10"/>
      <c r="B883" s="10"/>
      <c r="C883" s="10"/>
      <c r="D883" s="10"/>
      <c r="E883" s="10"/>
      <c r="F883" s="10"/>
      <c r="G883" s="10"/>
      <c r="H883" s="10"/>
    </row>
    <row r="884" spans="1:8" ht="14.25" customHeight="1" x14ac:dyDescent="0.35">
      <c r="A884" s="10"/>
      <c r="B884" s="10"/>
      <c r="C884" s="10"/>
      <c r="D884" s="10"/>
      <c r="E884" s="10"/>
      <c r="F884" s="10"/>
      <c r="G884" s="10"/>
      <c r="H884" s="10"/>
    </row>
    <row r="885" spans="1:8" ht="14.25" customHeight="1" x14ac:dyDescent="0.35">
      <c r="A885" s="10"/>
      <c r="B885" s="10"/>
      <c r="C885" s="10"/>
      <c r="D885" s="10"/>
      <c r="E885" s="10"/>
      <c r="F885" s="10"/>
      <c r="G885" s="10"/>
      <c r="H885" s="10"/>
    </row>
    <row r="886" spans="1:8" ht="14.25" customHeight="1" x14ac:dyDescent="0.35">
      <c r="A886" s="10"/>
      <c r="B886" s="10"/>
      <c r="C886" s="10"/>
      <c r="D886" s="10"/>
      <c r="E886" s="10"/>
      <c r="F886" s="10"/>
      <c r="G886" s="10"/>
      <c r="H886" s="10"/>
    </row>
    <row r="887" spans="1:8" ht="14.25" customHeight="1" x14ac:dyDescent="0.35">
      <c r="A887" s="10"/>
      <c r="B887" s="10"/>
      <c r="C887" s="10"/>
      <c r="D887" s="10"/>
      <c r="E887" s="10"/>
      <c r="F887" s="10"/>
      <c r="G887" s="10"/>
      <c r="H887" s="10"/>
    </row>
    <row r="888" spans="1:8" ht="14.25" customHeight="1" x14ac:dyDescent="0.35">
      <c r="A888" s="10"/>
      <c r="B888" s="10"/>
      <c r="C888" s="10"/>
      <c r="D888" s="10"/>
      <c r="E888" s="10"/>
      <c r="F888" s="10"/>
      <c r="G888" s="10"/>
      <c r="H888" s="10"/>
    </row>
    <row r="889" spans="1:8" ht="14.25" customHeight="1" x14ac:dyDescent="0.35">
      <c r="A889" s="10"/>
      <c r="B889" s="10"/>
      <c r="C889" s="10"/>
      <c r="D889" s="10"/>
      <c r="E889" s="10"/>
      <c r="F889" s="10"/>
      <c r="G889" s="10"/>
      <c r="H889" s="10"/>
    </row>
    <row r="890" spans="1:8" ht="14.25" customHeight="1" x14ac:dyDescent="0.35">
      <c r="A890" s="10"/>
      <c r="B890" s="10"/>
      <c r="C890" s="10"/>
      <c r="D890" s="10"/>
      <c r="E890" s="10"/>
      <c r="F890" s="10"/>
      <c r="G890" s="10"/>
      <c r="H890" s="10"/>
    </row>
    <row r="891" spans="1:8" ht="14.25" customHeight="1" x14ac:dyDescent="0.35">
      <c r="A891" s="10"/>
      <c r="B891" s="10"/>
      <c r="C891" s="10"/>
      <c r="D891" s="10"/>
      <c r="E891" s="10"/>
      <c r="F891" s="10"/>
      <c r="G891" s="10"/>
      <c r="H891" s="10"/>
    </row>
    <row r="892" spans="1:8" ht="14.25" customHeight="1" x14ac:dyDescent="0.35">
      <c r="A892" s="10"/>
      <c r="B892" s="10"/>
      <c r="C892" s="10"/>
      <c r="D892" s="10"/>
      <c r="E892" s="10"/>
      <c r="F892" s="10"/>
      <c r="G892" s="10"/>
      <c r="H892" s="10"/>
    </row>
    <row r="893" spans="1:8" ht="14.25" customHeight="1" x14ac:dyDescent="0.35">
      <c r="A893" s="10"/>
      <c r="B893" s="10"/>
      <c r="C893" s="10"/>
      <c r="D893" s="10"/>
      <c r="E893" s="10"/>
      <c r="F893" s="10"/>
      <c r="G893" s="10"/>
      <c r="H893" s="10"/>
    </row>
    <row r="894" spans="1:8" ht="14.25" customHeight="1" x14ac:dyDescent="0.35">
      <c r="A894" s="10"/>
      <c r="B894" s="10"/>
      <c r="C894" s="10"/>
      <c r="D894" s="10"/>
      <c r="E894" s="10"/>
      <c r="F894" s="10"/>
      <c r="G894" s="10"/>
      <c r="H894" s="10"/>
    </row>
    <row r="895" spans="1:8" ht="14.25" customHeight="1" x14ac:dyDescent="0.35">
      <c r="A895" s="10"/>
      <c r="B895" s="10"/>
      <c r="C895" s="10"/>
      <c r="D895" s="10"/>
      <c r="E895" s="10"/>
      <c r="F895" s="10"/>
      <c r="G895" s="10"/>
      <c r="H895" s="10"/>
    </row>
    <row r="896" spans="1:8" ht="14.25" customHeight="1" x14ac:dyDescent="0.35">
      <c r="A896" s="10"/>
      <c r="B896" s="10"/>
      <c r="C896" s="10"/>
      <c r="D896" s="10"/>
      <c r="E896" s="10"/>
      <c r="F896" s="10"/>
      <c r="G896" s="10"/>
      <c r="H896" s="10"/>
    </row>
    <row r="897" spans="1:8" ht="14.25" customHeight="1" x14ac:dyDescent="0.35">
      <c r="A897" s="10"/>
      <c r="B897" s="10"/>
      <c r="C897" s="10"/>
      <c r="D897" s="10"/>
      <c r="E897" s="10"/>
      <c r="F897" s="10"/>
      <c r="G897" s="10"/>
      <c r="H897" s="10"/>
    </row>
    <row r="898" spans="1:8" ht="14.25" customHeight="1" x14ac:dyDescent="0.35">
      <c r="A898" s="10"/>
      <c r="B898" s="10"/>
      <c r="C898" s="10"/>
      <c r="D898" s="10"/>
      <c r="E898" s="10"/>
      <c r="F898" s="10"/>
      <c r="G898" s="10"/>
      <c r="H898" s="10"/>
    </row>
    <row r="899" spans="1:8" ht="14.25" customHeight="1" x14ac:dyDescent="0.35">
      <c r="A899" s="10"/>
      <c r="B899" s="10"/>
      <c r="C899" s="10"/>
      <c r="D899" s="10"/>
      <c r="E899" s="10"/>
      <c r="F899" s="10"/>
      <c r="G899" s="10"/>
      <c r="H899" s="10"/>
    </row>
    <row r="900" spans="1:8" ht="14.25" customHeight="1" x14ac:dyDescent="0.35">
      <c r="A900" s="10"/>
      <c r="B900" s="10"/>
      <c r="C900" s="10"/>
      <c r="D900" s="10"/>
      <c r="E900" s="10"/>
      <c r="F900" s="10"/>
      <c r="G900" s="10"/>
      <c r="H900" s="10"/>
    </row>
    <row r="901" spans="1:8" ht="14.25" customHeight="1" x14ac:dyDescent="0.35">
      <c r="A901" s="10"/>
      <c r="B901" s="10"/>
      <c r="C901" s="10"/>
      <c r="D901" s="10"/>
      <c r="E901" s="10"/>
      <c r="F901" s="10"/>
      <c r="G901" s="10"/>
      <c r="H901" s="10"/>
    </row>
    <row r="902" spans="1:8" ht="14.25" customHeight="1" x14ac:dyDescent="0.35">
      <c r="A902" s="10"/>
      <c r="B902" s="10"/>
      <c r="C902" s="10"/>
      <c r="D902" s="10"/>
      <c r="E902" s="10"/>
      <c r="F902" s="10"/>
      <c r="G902" s="10"/>
      <c r="H902" s="10"/>
    </row>
    <row r="903" spans="1:8" ht="14.25" customHeight="1" x14ac:dyDescent="0.35">
      <c r="A903" s="10"/>
      <c r="B903" s="10"/>
      <c r="C903" s="10"/>
      <c r="D903" s="10"/>
      <c r="E903" s="10"/>
      <c r="F903" s="10"/>
      <c r="G903" s="10"/>
      <c r="H903" s="10"/>
    </row>
    <row r="904" spans="1:8" ht="14.25" customHeight="1" x14ac:dyDescent="0.35">
      <c r="A904" s="10"/>
      <c r="B904" s="10"/>
      <c r="C904" s="10"/>
      <c r="D904" s="10"/>
      <c r="E904" s="10"/>
      <c r="F904" s="10"/>
      <c r="G904" s="10"/>
      <c r="H904" s="10"/>
    </row>
    <row r="905" spans="1:8" ht="14.25" customHeight="1" x14ac:dyDescent="0.35">
      <c r="A905" s="10"/>
      <c r="B905" s="10"/>
      <c r="C905" s="10"/>
      <c r="D905" s="10"/>
      <c r="E905" s="10"/>
      <c r="F905" s="10"/>
      <c r="G905" s="10"/>
      <c r="H905" s="10"/>
    </row>
    <row r="906" spans="1:8" ht="14.25" customHeight="1" x14ac:dyDescent="0.35">
      <c r="A906" s="10"/>
      <c r="B906" s="10"/>
      <c r="C906" s="10"/>
      <c r="D906" s="10"/>
      <c r="E906" s="10"/>
      <c r="F906" s="10"/>
      <c r="G906" s="10"/>
      <c r="H906" s="10"/>
    </row>
    <row r="907" spans="1:8" ht="14.25" customHeight="1" x14ac:dyDescent="0.35">
      <c r="A907" s="10"/>
      <c r="B907" s="10"/>
      <c r="C907" s="10"/>
      <c r="D907" s="10"/>
      <c r="E907" s="10"/>
      <c r="F907" s="10"/>
      <c r="G907" s="10"/>
      <c r="H907" s="10"/>
    </row>
    <row r="908" spans="1:8" ht="14.25" customHeight="1" x14ac:dyDescent="0.35">
      <c r="A908" s="10"/>
      <c r="B908" s="10"/>
      <c r="C908" s="10"/>
      <c r="D908" s="10"/>
      <c r="E908" s="10"/>
      <c r="F908" s="10"/>
      <c r="G908" s="10"/>
      <c r="H908" s="10"/>
    </row>
    <row r="909" spans="1:8" ht="14.25" customHeight="1" x14ac:dyDescent="0.35">
      <c r="A909" s="10"/>
      <c r="B909" s="10"/>
      <c r="C909" s="10"/>
      <c r="D909" s="10"/>
      <c r="E909" s="10"/>
      <c r="F909" s="10"/>
      <c r="G909" s="10"/>
      <c r="H909" s="10"/>
    </row>
    <row r="910" spans="1:8" ht="14.25" customHeight="1" x14ac:dyDescent="0.35">
      <c r="A910" s="10"/>
      <c r="B910" s="10"/>
      <c r="C910" s="10"/>
      <c r="D910" s="10"/>
      <c r="E910" s="10"/>
      <c r="F910" s="10"/>
      <c r="G910" s="10"/>
      <c r="H910" s="10"/>
    </row>
    <row r="911" spans="1:8" ht="14.25" customHeight="1" x14ac:dyDescent="0.35">
      <c r="A911" s="10"/>
      <c r="B911" s="10"/>
      <c r="C911" s="10"/>
      <c r="D911" s="10"/>
      <c r="E911" s="10"/>
      <c r="F911" s="10"/>
      <c r="G911" s="10"/>
      <c r="H911" s="10"/>
    </row>
    <row r="912" spans="1:8" ht="14.25" customHeight="1" x14ac:dyDescent="0.35">
      <c r="A912" s="10"/>
      <c r="B912" s="10"/>
      <c r="C912" s="10"/>
      <c r="D912" s="10"/>
      <c r="E912" s="10"/>
      <c r="F912" s="10"/>
      <c r="G912" s="10"/>
      <c r="H912" s="10"/>
    </row>
    <row r="913" spans="1:8" ht="14.25" customHeight="1" x14ac:dyDescent="0.35">
      <c r="A913" s="10"/>
      <c r="B913" s="10"/>
      <c r="C913" s="10"/>
      <c r="D913" s="10"/>
      <c r="E913" s="10"/>
      <c r="F913" s="10"/>
      <c r="G913" s="10"/>
      <c r="H913" s="10"/>
    </row>
    <row r="914" spans="1:8" ht="14.25" customHeight="1" x14ac:dyDescent="0.35">
      <c r="A914" s="10"/>
      <c r="B914" s="10"/>
      <c r="C914" s="10"/>
      <c r="D914" s="10"/>
      <c r="E914" s="10"/>
      <c r="F914" s="10"/>
      <c r="G914" s="10"/>
      <c r="H914" s="10"/>
    </row>
    <row r="915" spans="1:8" ht="14.25" customHeight="1" x14ac:dyDescent="0.35">
      <c r="A915" s="10"/>
      <c r="B915" s="10"/>
      <c r="C915" s="10"/>
      <c r="D915" s="10"/>
      <c r="E915" s="10"/>
      <c r="F915" s="10"/>
      <c r="G915" s="10"/>
      <c r="H915" s="10"/>
    </row>
    <row r="916" spans="1:8" ht="14.25" customHeight="1" x14ac:dyDescent="0.35">
      <c r="A916" s="10"/>
      <c r="B916" s="10"/>
      <c r="C916" s="10"/>
      <c r="D916" s="10"/>
      <c r="E916" s="10"/>
      <c r="F916" s="10"/>
      <c r="G916" s="10"/>
      <c r="H916" s="10"/>
    </row>
    <row r="917" spans="1:8" ht="14.25" customHeight="1" x14ac:dyDescent="0.35">
      <c r="A917" s="10"/>
      <c r="B917" s="10"/>
      <c r="C917" s="10"/>
      <c r="D917" s="10"/>
      <c r="E917" s="10"/>
      <c r="F917" s="10"/>
      <c r="G917" s="10"/>
      <c r="H917" s="10"/>
    </row>
    <row r="918" spans="1:8" ht="14.25" customHeight="1" x14ac:dyDescent="0.35">
      <c r="A918" s="10"/>
      <c r="B918" s="10"/>
      <c r="C918" s="10"/>
      <c r="D918" s="10"/>
      <c r="E918" s="10"/>
      <c r="F918" s="10"/>
      <c r="G918" s="10"/>
      <c r="H918" s="10"/>
    </row>
    <row r="919" spans="1:8" ht="14.25" customHeight="1" x14ac:dyDescent="0.35">
      <c r="A919" s="10"/>
      <c r="B919" s="10"/>
      <c r="C919" s="10"/>
      <c r="D919" s="10"/>
      <c r="E919" s="10"/>
      <c r="F919" s="10"/>
      <c r="G919" s="10"/>
      <c r="H919" s="10"/>
    </row>
    <row r="920" spans="1:8" ht="14.25" customHeight="1" x14ac:dyDescent="0.35">
      <c r="A920" s="10"/>
      <c r="B920" s="10"/>
      <c r="C920" s="10"/>
      <c r="D920" s="10"/>
      <c r="E920" s="10"/>
      <c r="F920" s="10"/>
      <c r="G920" s="10"/>
      <c r="H920" s="10"/>
    </row>
    <row r="921" spans="1:8" ht="14.25" customHeight="1" x14ac:dyDescent="0.35">
      <c r="A921" s="10"/>
      <c r="B921" s="10"/>
      <c r="C921" s="10"/>
      <c r="D921" s="10"/>
      <c r="E921" s="10"/>
      <c r="F921" s="10"/>
      <c r="G921" s="10"/>
      <c r="H921" s="10"/>
    </row>
    <row r="922" spans="1:8" ht="14.25" customHeight="1" x14ac:dyDescent="0.35">
      <c r="A922" s="10"/>
      <c r="B922" s="10"/>
      <c r="C922" s="10"/>
      <c r="D922" s="10"/>
      <c r="E922" s="10"/>
      <c r="F922" s="10"/>
      <c r="G922" s="10"/>
      <c r="H922" s="10"/>
    </row>
    <row r="923" spans="1:8" ht="14.25" customHeight="1" x14ac:dyDescent="0.35">
      <c r="A923" s="10"/>
      <c r="B923" s="10"/>
      <c r="C923" s="10"/>
      <c r="D923" s="10"/>
      <c r="E923" s="10"/>
      <c r="F923" s="10"/>
      <c r="G923" s="10"/>
      <c r="H923" s="10"/>
    </row>
    <row r="924" spans="1:8" ht="14.25" customHeight="1" x14ac:dyDescent="0.35">
      <c r="A924" s="10"/>
      <c r="B924" s="10"/>
      <c r="C924" s="10"/>
      <c r="D924" s="10"/>
      <c r="E924" s="10"/>
      <c r="F924" s="10"/>
      <c r="G924" s="10"/>
      <c r="H924" s="10"/>
    </row>
    <row r="925" spans="1:8" ht="14.25" customHeight="1" x14ac:dyDescent="0.35">
      <c r="A925" s="10"/>
      <c r="B925" s="10"/>
      <c r="C925" s="10"/>
      <c r="D925" s="10"/>
      <c r="E925" s="10"/>
      <c r="F925" s="10"/>
      <c r="G925" s="10"/>
      <c r="H925" s="10"/>
    </row>
    <row r="926" spans="1:8" ht="14.25" customHeight="1" x14ac:dyDescent="0.35">
      <c r="A926" s="10"/>
      <c r="B926" s="10"/>
      <c r="C926" s="10"/>
      <c r="D926" s="10"/>
      <c r="E926" s="10"/>
      <c r="F926" s="10"/>
      <c r="G926" s="10"/>
      <c r="H926" s="10"/>
    </row>
    <row r="927" spans="1:8" ht="14.25" customHeight="1" x14ac:dyDescent="0.35">
      <c r="A927" s="10"/>
      <c r="B927" s="10"/>
      <c r="C927" s="10"/>
      <c r="D927" s="10"/>
      <c r="E927" s="10"/>
      <c r="F927" s="10"/>
      <c r="G927" s="10"/>
      <c r="H927" s="10"/>
    </row>
    <row r="928" spans="1:8" ht="14.25" customHeight="1" x14ac:dyDescent="0.35">
      <c r="A928" s="10"/>
      <c r="B928" s="10"/>
      <c r="C928" s="10"/>
      <c r="D928" s="10"/>
      <c r="E928" s="10"/>
      <c r="F928" s="10"/>
      <c r="G928" s="10"/>
      <c r="H928" s="10"/>
    </row>
    <row r="929" spans="1:8" ht="14.25" customHeight="1" x14ac:dyDescent="0.35">
      <c r="A929" s="10"/>
      <c r="B929" s="10"/>
      <c r="C929" s="10"/>
      <c r="D929" s="10"/>
      <c r="E929" s="10"/>
      <c r="F929" s="10"/>
      <c r="G929" s="10"/>
      <c r="H929" s="10"/>
    </row>
    <row r="930" spans="1:8" ht="14.25" customHeight="1" x14ac:dyDescent="0.35">
      <c r="A930" s="10"/>
      <c r="B930" s="10"/>
      <c r="C930" s="10"/>
      <c r="D930" s="10"/>
      <c r="E930" s="10"/>
      <c r="F930" s="10"/>
      <c r="G930" s="10"/>
      <c r="H930" s="10"/>
    </row>
    <row r="931" spans="1:8" ht="14.25" customHeight="1" x14ac:dyDescent="0.35">
      <c r="A931" s="10"/>
      <c r="B931" s="10"/>
      <c r="C931" s="10"/>
      <c r="D931" s="10"/>
      <c r="E931" s="10"/>
      <c r="F931" s="10"/>
      <c r="G931" s="10"/>
      <c r="H931" s="10"/>
    </row>
    <row r="932" spans="1:8" ht="14.25" customHeight="1" x14ac:dyDescent="0.35">
      <c r="A932" s="10"/>
      <c r="B932" s="10"/>
      <c r="C932" s="10"/>
      <c r="D932" s="10"/>
      <c r="E932" s="10"/>
      <c r="F932" s="10"/>
      <c r="G932" s="10"/>
      <c r="H932" s="10"/>
    </row>
    <row r="933" spans="1:8" ht="14.25" customHeight="1" x14ac:dyDescent="0.35">
      <c r="A933" s="10"/>
      <c r="B933" s="10"/>
      <c r="C933" s="10"/>
      <c r="D933" s="10"/>
      <c r="E933" s="10"/>
      <c r="F933" s="10"/>
      <c r="G933" s="10"/>
      <c r="H933" s="10"/>
    </row>
    <row r="934" spans="1:8" ht="14.25" customHeight="1" x14ac:dyDescent="0.35">
      <c r="A934" s="10"/>
      <c r="B934" s="10"/>
      <c r="C934" s="10"/>
      <c r="D934" s="10"/>
      <c r="E934" s="10"/>
      <c r="F934" s="10"/>
      <c r="G934" s="10"/>
      <c r="H934" s="10"/>
    </row>
    <row r="935" spans="1:8" ht="14.25" customHeight="1" x14ac:dyDescent="0.35">
      <c r="A935" s="10"/>
      <c r="B935" s="10"/>
      <c r="C935" s="10"/>
      <c r="D935" s="10"/>
      <c r="E935" s="10"/>
      <c r="F935" s="10"/>
      <c r="G935" s="10"/>
      <c r="H935" s="10"/>
    </row>
    <row r="936" spans="1:8" ht="14.25" customHeight="1" x14ac:dyDescent="0.35">
      <c r="A936" s="10"/>
      <c r="B936" s="10"/>
      <c r="C936" s="10"/>
      <c r="D936" s="10"/>
      <c r="E936" s="10"/>
      <c r="F936" s="10"/>
      <c r="G936" s="10"/>
      <c r="H936" s="10"/>
    </row>
    <row r="937" spans="1:8" ht="14.25" customHeight="1" x14ac:dyDescent="0.35">
      <c r="A937" s="10"/>
      <c r="B937" s="10"/>
      <c r="C937" s="10"/>
      <c r="D937" s="10"/>
      <c r="E937" s="10"/>
      <c r="F937" s="10"/>
      <c r="G937" s="10"/>
      <c r="H937" s="10"/>
    </row>
    <row r="938" spans="1:8" ht="14.25" customHeight="1" x14ac:dyDescent="0.35">
      <c r="A938" s="10"/>
      <c r="B938" s="10"/>
      <c r="C938" s="10"/>
      <c r="D938" s="10"/>
      <c r="E938" s="10"/>
      <c r="F938" s="10"/>
      <c r="G938" s="10"/>
      <c r="H938" s="10"/>
    </row>
    <row r="939" spans="1:8" ht="14.25" customHeight="1" x14ac:dyDescent="0.35">
      <c r="A939" s="10"/>
      <c r="B939" s="10"/>
      <c r="C939" s="10"/>
      <c r="D939" s="10"/>
      <c r="E939" s="10"/>
      <c r="F939" s="10"/>
      <c r="G939" s="10"/>
      <c r="H939" s="10"/>
    </row>
    <row r="940" spans="1:8" ht="14.25" customHeight="1" x14ac:dyDescent="0.35">
      <c r="A940" s="10"/>
      <c r="B940" s="10"/>
      <c r="C940" s="10"/>
      <c r="D940" s="10"/>
      <c r="E940" s="10"/>
      <c r="F940" s="10"/>
      <c r="G940" s="10"/>
      <c r="H940" s="10"/>
    </row>
    <row r="941" spans="1:8" ht="14.25" customHeight="1" x14ac:dyDescent="0.35">
      <c r="A941" s="10"/>
      <c r="B941" s="10"/>
      <c r="C941" s="10"/>
      <c r="D941" s="10"/>
      <c r="E941" s="10"/>
      <c r="F941" s="10"/>
      <c r="G941" s="10"/>
      <c r="H941" s="10"/>
    </row>
    <row r="942" spans="1:8" ht="14.25" customHeight="1" x14ac:dyDescent="0.35">
      <c r="A942" s="10"/>
      <c r="B942" s="10"/>
      <c r="C942" s="10"/>
      <c r="D942" s="10"/>
      <c r="E942" s="10"/>
      <c r="F942" s="10"/>
      <c r="G942" s="10"/>
      <c r="H942" s="10"/>
    </row>
    <row r="943" spans="1:8" ht="14.25" customHeight="1" x14ac:dyDescent="0.35">
      <c r="A943" s="10"/>
      <c r="B943" s="10"/>
      <c r="C943" s="10"/>
      <c r="D943" s="10"/>
      <c r="E943" s="10"/>
      <c r="F943" s="10"/>
      <c r="G943" s="10"/>
      <c r="H943" s="10"/>
    </row>
    <row r="944" spans="1:8" ht="14.25" customHeight="1" x14ac:dyDescent="0.35">
      <c r="A944" s="10"/>
      <c r="B944" s="10"/>
      <c r="C944" s="10"/>
      <c r="D944" s="10"/>
      <c r="E944" s="10"/>
      <c r="F944" s="10"/>
      <c r="G944" s="10"/>
      <c r="H944" s="10"/>
    </row>
    <row r="945" spans="1:8" ht="14.25" customHeight="1" x14ac:dyDescent="0.35">
      <c r="A945" s="10"/>
      <c r="B945" s="10"/>
      <c r="C945" s="10"/>
      <c r="D945" s="10"/>
      <c r="E945" s="10"/>
      <c r="F945" s="10"/>
      <c r="G945" s="10"/>
      <c r="H945" s="10"/>
    </row>
    <row r="946" spans="1:8" ht="14.25" customHeight="1" x14ac:dyDescent="0.35">
      <c r="A946" s="10"/>
      <c r="B946" s="10"/>
      <c r="C946" s="10"/>
      <c r="D946" s="10"/>
      <c r="E946" s="10"/>
      <c r="F946" s="10"/>
      <c r="G946" s="10"/>
      <c r="H946" s="10"/>
    </row>
    <row r="947" spans="1:8" ht="14.25" customHeight="1" x14ac:dyDescent="0.35">
      <c r="A947" s="10"/>
      <c r="B947" s="10"/>
      <c r="C947" s="10"/>
      <c r="D947" s="10"/>
      <c r="E947" s="10"/>
      <c r="F947" s="10"/>
      <c r="G947" s="10"/>
      <c r="H947" s="10"/>
    </row>
    <row r="948" spans="1:8" ht="14.25" customHeight="1" x14ac:dyDescent="0.35">
      <c r="A948" s="10"/>
      <c r="B948" s="10"/>
      <c r="C948" s="10"/>
      <c r="D948" s="10"/>
      <c r="E948" s="10"/>
      <c r="F948" s="10"/>
      <c r="G948" s="10"/>
      <c r="H948" s="10"/>
    </row>
    <row r="949" spans="1:8" ht="14.25" customHeight="1" x14ac:dyDescent="0.35">
      <c r="A949" s="10"/>
      <c r="B949" s="10"/>
      <c r="C949" s="10"/>
      <c r="D949" s="10"/>
      <c r="E949" s="10"/>
      <c r="F949" s="10"/>
      <c r="G949" s="10"/>
      <c r="H949" s="10"/>
    </row>
    <row r="950" spans="1:8" ht="14.25" customHeight="1" x14ac:dyDescent="0.35">
      <c r="A950" s="10"/>
      <c r="B950" s="10"/>
      <c r="C950" s="10"/>
      <c r="D950" s="10"/>
      <c r="E950" s="10"/>
      <c r="F950" s="10"/>
      <c r="G950" s="10"/>
      <c r="H950" s="10"/>
    </row>
    <row r="951" spans="1:8" ht="14.25" customHeight="1" x14ac:dyDescent="0.35">
      <c r="A951" s="10"/>
      <c r="B951" s="10"/>
      <c r="C951" s="10"/>
      <c r="D951" s="10"/>
      <c r="E951" s="10"/>
      <c r="F951" s="10"/>
      <c r="G951" s="10"/>
      <c r="H951" s="10"/>
    </row>
    <row r="952" spans="1:8" ht="14.25" customHeight="1" x14ac:dyDescent="0.35">
      <c r="A952" s="10"/>
      <c r="B952" s="10"/>
      <c r="C952" s="10"/>
      <c r="D952" s="10"/>
      <c r="E952" s="10"/>
      <c r="F952" s="10"/>
      <c r="G952" s="10"/>
      <c r="H952" s="10"/>
    </row>
    <row r="953" spans="1:8" ht="14.25" customHeight="1" x14ac:dyDescent="0.35">
      <c r="A953" s="10"/>
      <c r="B953" s="10"/>
      <c r="C953" s="10"/>
      <c r="D953" s="10"/>
      <c r="E953" s="10"/>
      <c r="F953" s="10"/>
      <c r="G953" s="10"/>
      <c r="H953" s="10"/>
    </row>
    <row r="954" spans="1:8" ht="14.25" customHeight="1" x14ac:dyDescent="0.35">
      <c r="A954" s="10"/>
      <c r="B954" s="10"/>
      <c r="C954" s="10"/>
      <c r="D954" s="10"/>
      <c r="E954" s="10"/>
      <c r="F954" s="10"/>
      <c r="G954" s="10"/>
      <c r="H954" s="10"/>
    </row>
    <row r="955" spans="1:8" ht="14.25" customHeight="1" x14ac:dyDescent="0.35">
      <c r="A955" s="10"/>
      <c r="B955" s="10"/>
      <c r="C955" s="10"/>
      <c r="D955" s="10"/>
      <c r="E955" s="10"/>
      <c r="F955" s="10"/>
      <c r="G955" s="10"/>
      <c r="H955" s="10"/>
    </row>
    <row r="956" spans="1:8" ht="14.25" customHeight="1" x14ac:dyDescent="0.35">
      <c r="A956" s="10"/>
      <c r="B956" s="10"/>
      <c r="C956" s="10"/>
      <c r="D956" s="10"/>
      <c r="E956" s="10"/>
      <c r="F956" s="10"/>
      <c r="G956" s="10"/>
      <c r="H956" s="10"/>
    </row>
    <row r="957" spans="1:8" ht="14.25" customHeight="1" x14ac:dyDescent="0.35">
      <c r="A957" s="10"/>
      <c r="B957" s="10"/>
      <c r="C957" s="10"/>
      <c r="D957" s="10"/>
      <c r="E957" s="10"/>
      <c r="F957" s="10"/>
      <c r="G957" s="10"/>
      <c r="H957" s="10"/>
    </row>
    <row r="958" spans="1:8" ht="14.25" customHeight="1" x14ac:dyDescent="0.35">
      <c r="A958" s="10"/>
      <c r="B958" s="10"/>
      <c r="C958" s="10"/>
      <c r="D958" s="10"/>
      <c r="E958" s="10"/>
      <c r="F958" s="10"/>
      <c r="G958" s="10"/>
      <c r="H958" s="10"/>
    </row>
    <row r="959" spans="1:8" ht="14.25" customHeight="1" x14ac:dyDescent="0.35">
      <c r="A959" s="10"/>
      <c r="B959" s="10"/>
      <c r="C959" s="10"/>
      <c r="D959" s="10"/>
      <c r="E959" s="10"/>
      <c r="F959" s="10"/>
      <c r="G959" s="10"/>
      <c r="H959" s="10"/>
    </row>
    <row r="960" spans="1:8" ht="14.25" customHeight="1" x14ac:dyDescent="0.35">
      <c r="A960" s="10"/>
      <c r="B960" s="10"/>
      <c r="C960" s="10"/>
      <c r="D960" s="10"/>
      <c r="E960" s="10"/>
      <c r="F960" s="10"/>
      <c r="G960" s="10"/>
      <c r="H960" s="10"/>
    </row>
    <row r="961" spans="1:8" ht="14.25" customHeight="1" x14ac:dyDescent="0.35">
      <c r="A961" s="10"/>
      <c r="B961" s="10"/>
      <c r="C961" s="10"/>
      <c r="D961" s="10"/>
      <c r="E961" s="10"/>
      <c r="F961" s="10"/>
      <c r="G961" s="10"/>
      <c r="H961" s="10"/>
    </row>
    <row r="962" spans="1:8" ht="14.25" customHeight="1" x14ac:dyDescent="0.35">
      <c r="A962" s="10"/>
      <c r="B962" s="10"/>
      <c r="C962" s="10"/>
      <c r="D962" s="10"/>
      <c r="E962" s="10"/>
      <c r="F962" s="10"/>
      <c r="G962" s="10"/>
      <c r="H962" s="10"/>
    </row>
    <row r="963" spans="1:8" ht="14.25" customHeight="1" x14ac:dyDescent="0.35">
      <c r="A963" s="10"/>
      <c r="B963" s="10"/>
      <c r="C963" s="10"/>
      <c r="D963" s="10"/>
      <c r="E963" s="10"/>
      <c r="F963" s="10"/>
      <c r="G963" s="10"/>
      <c r="H963" s="10"/>
    </row>
    <row r="964" spans="1:8" ht="14.25" customHeight="1" x14ac:dyDescent="0.35">
      <c r="A964" s="10"/>
      <c r="B964" s="10"/>
      <c r="C964" s="10"/>
      <c r="D964" s="10"/>
      <c r="E964" s="10"/>
      <c r="F964" s="10"/>
      <c r="G964" s="10"/>
      <c r="H964" s="10"/>
    </row>
    <row r="965" spans="1:8" ht="14.25" customHeight="1" x14ac:dyDescent="0.35">
      <c r="A965" s="10"/>
      <c r="B965" s="10"/>
      <c r="C965" s="10"/>
      <c r="D965" s="10"/>
      <c r="E965" s="10"/>
      <c r="F965" s="10"/>
      <c r="G965" s="10"/>
      <c r="H965" s="10"/>
    </row>
    <row r="966" spans="1:8" ht="14.25" customHeight="1" x14ac:dyDescent="0.35">
      <c r="A966" s="10"/>
      <c r="B966" s="10"/>
      <c r="C966" s="10"/>
      <c r="D966" s="10"/>
      <c r="E966" s="10"/>
      <c r="F966" s="10"/>
      <c r="G966" s="10"/>
      <c r="H966" s="10"/>
    </row>
    <row r="967" spans="1:8" ht="14.25" customHeight="1" x14ac:dyDescent="0.35">
      <c r="A967" s="10"/>
      <c r="B967" s="10"/>
      <c r="C967" s="10"/>
      <c r="D967" s="10"/>
      <c r="E967" s="10"/>
      <c r="F967" s="10"/>
      <c r="G967" s="10"/>
      <c r="H967" s="10"/>
    </row>
    <row r="968" spans="1:8" ht="14.25" customHeight="1" x14ac:dyDescent="0.35">
      <c r="A968" s="10"/>
      <c r="B968" s="10"/>
      <c r="C968" s="10"/>
      <c r="D968" s="10"/>
      <c r="E968" s="10"/>
      <c r="F968" s="10"/>
      <c r="G968" s="10"/>
      <c r="H968" s="10"/>
    </row>
    <row r="969" spans="1:8" ht="14.25" customHeight="1" x14ac:dyDescent="0.35">
      <c r="A969" s="10"/>
      <c r="B969" s="10"/>
      <c r="C969" s="10"/>
      <c r="D969" s="10"/>
      <c r="E969" s="10"/>
      <c r="F969" s="10"/>
      <c r="G969" s="10"/>
      <c r="H969" s="10"/>
    </row>
    <row r="970" spans="1:8" ht="14.25" customHeight="1" x14ac:dyDescent="0.35">
      <c r="A970" s="10"/>
      <c r="B970" s="10"/>
      <c r="C970" s="10"/>
      <c r="D970" s="10"/>
      <c r="E970" s="10"/>
      <c r="F970" s="10"/>
      <c r="G970" s="10"/>
      <c r="H970" s="10"/>
    </row>
    <row r="971" spans="1:8" ht="14.25" customHeight="1" x14ac:dyDescent="0.35">
      <c r="A971" s="10"/>
      <c r="B971" s="10"/>
      <c r="C971" s="10"/>
      <c r="D971" s="10"/>
      <c r="E971" s="10"/>
      <c r="F971" s="10"/>
      <c r="G971" s="10"/>
      <c r="H971" s="10"/>
    </row>
    <row r="972" spans="1:8" ht="14.25" customHeight="1" x14ac:dyDescent="0.35">
      <c r="A972" s="10"/>
      <c r="B972" s="10"/>
      <c r="C972" s="10"/>
      <c r="D972" s="10"/>
      <c r="E972" s="10"/>
      <c r="F972" s="10"/>
      <c r="G972" s="10"/>
      <c r="H972" s="10"/>
    </row>
    <row r="973" spans="1:8" ht="14.25" customHeight="1" x14ac:dyDescent="0.35">
      <c r="A973" s="10"/>
      <c r="B973" s="10"/>
      <c r="C973" s="10"/>
      <c r="D973" s="10"/>
      <c r="E973" s="10"/>
      <c r="F973" s="10"/>
      <c r="G973" s="10"/>
      <c r="H973" s="10"/>
    </row>
    <row r="974" spans="1:8" ht="14.25" customHeight="1" x14ac:dyDescent="0.35">
      <c r="A974" s="10"/>
      <c r="B974" s="10"/>
      <c r="C974" s="10"/>
      <c r="D974" s="10"/>
      <c r="E974" s="10"/>
      <c r="F974" s="10"/>
      <c r="G974" s="10"/>
      <c r="H974" s="10"/>
    </row>
    <row r="975" spans="1:8" ht="14.25" customHeight="1" x14ac:dyDescent="0.35">
      <c r="A975" s="10"/>
      <c r="B975" s="10"/>
      <c r="C975" s="10"/>
      <c r="D975" s="10"/>
      <c r="E975" s="10"/>
      <c r="F975" s="10"/>
      <c r="G975" s="10"/>
      <c r="H975" s="10"/>
    </row>
    <row r="976" spans="1:8" ht="14.25" customHeight="1" x14ac:dyDescent="0.35">
      <c r="A976" s="10"/>
      <c r="B976" s="10"/>
      <c r="C976" s="10"/>
      <c r="D976" s="10"/>
      <c r="E976" s="10"/>
      <c r="F976" s="10"/>
      <c r="G976" s="10"/>
      <c r="H976" s="10"/>
    </row>
    <row r="977" spans="1:8" ht="14.25" customHeight="1" x14ac:dyDescent="0.35">
      <c r="A977" s="10"/>
      <c r="B977" s="10"/>
      <c r="C977" s="10"/>
      <c r="D977" s="10"/>
      <c r="E977" s="10"/>
      <c r="F977" s="10"/>
      <c r="G977" s="10"/>
      <c r="H977" s="10"/>
    </row>
    <row r="978" spans="1:8" ht="14.25" customHeight="1" x14ac:dyDescent="0.35">
      <c r="A978" s="10"/>
      <c r="B978" s="10"/>
      <c r="C978" s="10"/>
      <c r="D978" s="10"/>
      <c r="E978" s="10"/>
      <c r="F978" s="10"/>
      <c r="G978" s="10"/>
      <c r="H978" s="10"/>
    </row>
    <row r="979" spans="1:8" ht="14.25" customHeight="1" x14ac:dyDescent="0.35">
      <c r="A979" s="10"/>
      <c r="B979" s="10"/>
      <c r="C979" s="10"/>
      <c r="D979" s="10"/>
      <c r="E979" s="10"/>
      <c r="F979" s="10"/>
      <c r="G979" s="10"/>
      <c r="H979" s="10"/>
    </row>
    <row r="980" spans="1:8" ht="14.25" customHeight="1" x14ac:dyDescent="0.35">
      <c r="A980" s="10"/>
      <c r="B980" s="10"/>
      <c r="C980" s="10"/>
      <c r="D980" s="10"/>
      <c r="E980" s="10"/>
      <c r="F980" s="10"/>
      <c r="G980" s="10"/>
      <c r="H980" s="10"/>
    </row>
    <row r="981" spans="1:8" ht="14.25" customHeight="1" x14ac:dyDescent="0.35">
      <c r="A981" s="10"/>
      <c r="B981" s="10"/>
      <c r="C981" s="10"/>
      <c r="D981" s="10"/>
      <c r="E981" s="10"/>
      <c r="F981" s="10"/>
      <c r="G981" s="10"/>
      <c r="H981" s="10"/>
    </row>
    <row r="982" spans="1:8" ht="14.25" customHeight="1" x14ac:dyDescent="0.35">
      <c r="A982" s="10"/>
      <c r="B982" s="10"/>
      <c r="C982" s="10"/>
      <c r="D982" s="10"/>
      <c r="E982" s="10"/>
      <c r="F982" s="10"/>
      <c r="G982" s="10"/>
      <c r="H982" s="10"/>
    </row>
    <row r="983" spans="1:8" ht="14.25" customHeight="1" x14ac:dyDescent="0.35">
      <c r="A983" s="10"/>
      <c r="B983" s="10"/>
      <c r="C983" s="10"/>
      <c r="D983" s="10"/>
      <c r="E983" s="10"/>
      <c r="F983" s="10"/>
      <c r="G983" s="10"/>
      <c r="H983" s="10"/>
    </row>
    <row r="984" spans="1:8" ht="14.25" customHeight="1" x14ac:dyDescent="0.35">
      <c r="A984" s="10"/>
      <c r="B984" s="10"/>
      <c r="C984" s="10"/>
      <c r="D984" s="10"/>
      <c r="E984" s="10"/>
      <c r="F984" s="10"/>
      <c r="G984" s="10"/>
      <c r="H984" s="10"/>
    </row>
    <row r="985" spans="1:8" ht="14.25" customHeight="1" x14ac:dyDescent="0.35">
      <c r="A985" s="10"/>
      <c r="B985" s="10"/>
      <c r="C985" s="10"/>
      <c r="D985" s="10"/>
      <c r="E985" s="10"/>
      <c r="F985" s="10"/>
      <c r="G985" s="10"/>
      <c r="H985" s="10"/>
    </row>
    <row r="986" spans="1:8" ht="14.25" customHeight="1" x14ac:dyDescent="0.35">
      <c r="A986" s="10"/>
      <c r="B986" s="10"/>
      <c r="C986" s="10"/>
      <c r="D986" s="10"/>
      <c r="E986" s="10"/>
      <c r="F986" s="10"/>
      <c r="G986" s="10"/>
      <c r="H986" s="10"/>
    </row>
    <row r="987" spans="1:8" ht="14.25" customHeight="1" x14ac:dyDescent="0.35">
      <c r="A987" s="10"/>
      <c r="B987" s="10"/>
      <c r="C987" s="10"/>
      <c r="D987" s="10"/>
      <c r="E987" s="10"/>
      <c r="F987" s="10"/>
      <c r="G987" s="10"/>
      <c r="H987" s="10"/>
    </row>
    <row r="988" spans="1:8" ht="14.25" customHeight="1" x14ac:dyDescent="0.35">
      <c r="A988" s="10"/>
      <c r="B988" s="10"/>
      <c r="C988" s="10"/>
      <c r="D988" s="10"/>
      <c r="E988" s="10"/>
      <c r="F988" s="10"/>
      <c r="G988" s="10"/>
      <c r="H988" s="10"/>
    </row>
    <row r="989" spans="1:8" ht="14.25" customHeight="1" x14ac:dyDescent="0.35">
      <c r="A989" s="10"/>
      <c r="B989" s="10"/>
      <c r="C989" s="10"/>
      <c r="D989" s="10"/>
      <c r="E989" s="10"/>
      <c r="F989" s="10"/>
      <c r="G989" s="10"/>
      <c r="H989" s="10"/>
    </row>
    <row r="990" spans="1:8" ht="14.25" customHeight="1" x14ac:dyDescent="0.35">
      <c r="A990" s="10"/>
      <c r="B990" s="10"/>
      <c r="C990" s="10"/>
      <c r="D990" s="10"/>
      <c r="E990" s="10"/>
      <c r="F990" s="10"/>
      <c r="G990" s="10"/>
      <c r="H990" s="10"/>
    </row>
    <row r="991" spans="1:8" ht="14.25" customHeight="1" x14ac:dyDescent="0.35">
      <c r="A991" s="10"/>
      <c r="B991" s="10"/>
      <c r="C991" s="10"/>
      <c r="D991" s="10"/>
      <c r="E991" s="10"/>
      <c r="F991" s="10"/>
      <c r="G991" s="10"/>
      <c r="H991" s="10"/>
    </row>
    <row r="992" spans="1:8" ht="14.25" customHeight="1" x14ac:dyDescent="0.35">
      <c r="A992" s="10"/>
      <c r="B992" s="10"/>
      <c r="C992" s="10"/>
      <c r="D992" s="10"/>
      <c r="E992" s="10"/>
      <c r="F992" s="10"/>
      <c r="G992" s="10"/>
      <c r="H992" s="10"/>
    </row>
    <row r="993" spans="1:8" ht="14.25" customHeight="1" x14ac:dyDescent="0.35">
      <c r="A993" s="10"/>
      <c r="B993" s="10"/>
      <c r="C993" s="10"/>
      <c r="D993" s="10"/>
      <c r="E993" s="10"/>
      <c r="F993" s="10"/>
      <c r="G993" s="10"/>
      <c r="H993" s="10"/>
    </row>
    <row r="994" spans="1:8" ht="14.25" customHeight="1" x14ac:dyDescent="0.35">
      <c r="A994" s="10"/>
      <c r="B994" s="10"/>
      <c r="C994" s="10"/>
      <c r="D994" s="10"/>
      <c r="E994" s="10"/>
      <c r="F994" s="10"/>
      <c r="G994" s="10"/>
      <c r="H994" s="10"/>
    </row>
    <row r="995" spans="1:8" ht="14.25" customHeight="1" x14ac:dyDescent="0.35">
      <c r="A995" s="10"/>
      <c r="B995" s="10"/>
      <c r="C995" s="10"/>
      <c r="D995" s="10"/>
      <c r="E995" s="10"/>
      <c r="F995" s="10"/>
      <c r="G995" s="10"/>
      <c r="H995" s="10"/>
    </row>
    <row r="996" spans="1:8" ht="14.25" customHeight="1" x14ac:dyDescent="0.35">
      <c r="A996" s="10"/>
      <c r="B996" s="10"/>
      <c r="C996" s="10"/>
      <c r="D996" s="10"/>
      <c r="E996" s="10"/>
      <c r="F996" s="10"/>
      <c r="G996" s="10"/>
      <c r="H996" s="10"/>
    </row>
    <row r="997" spans="1:8" ht="14.25" customHeight="1" x14ac:dyDescent="0.35">
      <c r="A997" s="10"/>
      <c r="B997" s="10"/>
      <c r="C997" s="10"/>
      <c r="D997" s="10"/>
      <c r="E997" s="10"/>
      <c r="F997" s="10"/>
      <c r="G997" s="10"/>
      <c r="H997" s="10"/>
    </row>
    <row r="998" spans="1:8" ht="14.25" customHeight="1" x14ac:dyDescent="0.35">
      <c r="A998" s="10"/>
      <c r="B998" s="10"/>
      <c r="C998" s="10"/>
      <c r="D998" s="10"/>
      <c r="E998" s="10"/>
      <c r="F998" s="10"/>
      <c r="G998" s="10"/>
      <c r="H998" s="10"/>
    </row>
    <row r="999" spans="1:8" ht="14.25" customHeight="1" x14ac:dyDescent="0.35">
      <c r="A999" s="10"/>
      <c r="B999" s="10"/>
      <c r="C999" s="10"/>
      <c r="D999" s="10"/>
      <c r="E999" s="10"/>
      <c r="F999" s="10"/>
      <c r="G999" s="10"/>
      <c r="H999" s="10"/>
    </row>
    <row r="1000" spans="1:8" ht="14.25" customHeight="1" x14ac:dyDescent="0.35">
      <c r="A1000" s="10"/>
      <c r="B1000" s="10"/>
      <c r="C1000" s="10"/>
      <c r="D1000" s="10"/>
      <c r="E1000" s="10"/>
      <c r="F1000" s="10"/>
      <c r="G1000" s="10"/>
      <c r="H1000" s="10"/>
    </row>
  </sheetData>
  <pageMargins left="0.75" right="0.75" top="1" bottom="1" header="0" footer="0"/>
  <pageSetup paperSize="9" orientation="portrai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D1000"/>
  <sheetViews>
    <sheetView workbookViewId="0">
      <pane ySplit="3" topLeftCell="A4" activePane="bottomLeft" state="frozen"/>
      <selection pane="bottomLeft" activeCell="B5" sqref="B5"/>
    </sheetView>
  </sheetViews>
  <sheetFormatPr defaultColWidth="14.453125" defaultRowHeight="15" customHeight="1" x14ac:dyDescent="0.35"/>
  <cols>
    <col min="1" max="1" width="13" customWidth="1"/>
    <col min="2" max="2" width="30" customWidth="1"/>
    <col min="3" max="3" width="46" customWidth="1"/>
    <col min="4" max="4" width="8" customWidth="1"/>
    <col min="5" max="26" width="8.54296875" customWidth="1"/>
  </cols>
  <sheetData>
    <row r="1" spans="1:4" ht="15.75" customHeight="1" x14ac:dyDescent="0.35">
      <c r="A1" s="11" t="s">
        <v>998</v>
      </c>
      <c r="B1" s="10"/>
      <c r="C1" s="10"/>
      <c r="D1" s="10"/>
    </row>
    <row r="2" spans="1:4" ht="14.25" customHeight="1" x14ac:dyDescent="0.35">
      <c r="A2" s="10"/>
      <c r="B2" s="10"/>
      <c r="C2" s="10"/>
      <c r="D2" s="10"/>
    </row>
    <row r="3" spans="1:4" ht="15" customHeight="1" x14ac:dyDescent="0.35">
      <c r="A3" s="14" t="s">
        <v>938</v>
      </c>
      <c r="B3" s="14" t="s">
        <v>954</v>
      </c>
      <c r="C3" s="14" t="s">
        <v>999</v>
      </c>
      <c r="D3" s="14" t="s">
        <v>1000</v>
      </c>
    </row>
    <row r="4" spans="1:4" ht="15" customHeight="1" x14ac:dyDescent="0.35">
      <c r="A4" s="19" t="s">
        <v>940</v>
      </c>
      <c r="B4" s="19" t="s">
        <v>963</v>
      </c>
      <c r="C4" s="19" t="s">
        <v>1001</v>
      </c>
      <c r="D4" s="23">
        <f>SUMIFS('Data (parsed)'!$I$2:$I$235,'Data (parsed)'!$B$2:$B$235,$A4,'Data (parsed)'!$C$2:$C$235,$B4,'Data (parsed)'!$G$2:$G$235,$C4)</f>
        <v>1</v>
      </c>
    </row>
    <row r="5" spans="1:4" ht="15" customHeight="1" x14ac:dyDescent="0.35">
      <c r="A5" s="19" t="s">
        <v>940</v>
      </c>
      <c r="B5" s="19" t="s">
        <v>963</v>
      </c>
      <c r="C5" s="19" t="s">
        <v>1002</v>
      </c>
      <c r="D5" s="23">
        <f>SUMIFS('Data (parsed)'!$I$2:$I$235,'Data (parsed)'!$B$2:$B$235,$A5,'Data (parsed)'!$C$2:$C$235,$B5,'Data (parsed)'!$G$2:$G$235,$C5)</f>
        <v>1</v>
      </c>
    </row>
    <row r="6" spans="1:4" ht="15" customHeight="1" x14ac:dyDescent="0.35">
      <c r="A6" s="19" t="s">
        <v>940</v>
      </c>
      <c r="B6" s="19" t="s">
        <v>963</v>
      </c>
      <c r="C6" s="19" t="s">
        <v>1003</v>
      </c>
      <c r="D6" s="23">
        <f>SUMIFS('Data (parsed)'!$I$2:$I$235,'Data (parsed)'!$B$2:$B$235,$A6,'Data (parsed)'!$C$2:$C$235,$B6,'Data (parsed)'!$G$2:$G$235,$C6)</f>
        <v>1</v>
      </c>
    </row>
    <row r="7" spans="1:4" ht="15" customHeight="1" x14ac:dyDescent="0.35">
      <c r="A7" s="19" t="s">
        <v>940</v>
      </c>
      <c r="B7" s="19" t="s">
        <v>958</v>
      </c>
      <c r="C7" s="19" t="s">
        <v>1004</v>
      </c>
      <c r="D7" s="23">
        <f>SUMIFS('Data (parsed)'!$I$2:$I$235,'Data (parsed)'!$B$2:$B$235,$A7,'Data (parsed)'!$C$2:$C$235,$B7,'Data (parsed)'!$G$2:$G$235,$C7)</f>
        <v>3</v>
      </c>
    </row>
    <row r="8" spans="1:4" ht="15" customHeight="1" x14ac:dyDescent="0.35">
      <c r="A8" s="19" t="s">
        <v>940</v>
      </c>
      <c r="B8" s="19" t="s">
        <v>958</v>
      </c>
      <c r="C8" s="19" t="s">
        <v>1005</v>
      </c>
      <c r="D8" s="23">
        <f>SUMIFS('Data (parsed)'!$I$2:$I$235,'Data (parsed)'!$B$2:$B$235,$A8,'Data (parsed)'!$C$2:$C$235,$B8,'Data (parsed)'!$G$2:$G$235,$C8)</f>
        <v>1</v>
      </c>
    </row>
    <row r="9" spans="1:4" ht="15" customHeight="1" x14ac:dyDescent="0.35">
      <c r="A9" s="19" t="s">
        <v>940</v>
      </c>
      <c r="B9" s="19" t="s">
        <v>958</v>
      </c>
      <c r="C9" s="19" t="s">
        <v>1006</v>
      </c>
      <c r="D9" s="23">
        <f>SUMIFS('Data (parsed)'!$I$2:$I$235,'Data (parsed)'!$B$2:$B$235,$A9,'Data (parsed)'!$C$2:$C$235,$B9,'Data (parsed)'!$G$2:$G$235,$C9)</f>
        <v>1</v>
      </c>
    </row>
    <row r="10" spans="1:4" ht="15" customHeight="1" x14ac:dyDescent="0.35">
      <c r="A10" s="19" t="s">
        <v>940</v>
      </c>
      <c r="B10" s="19" t="s">
        <v>958</v>
      </c>
      <c r="C10" s="19" t="s">
        <v>1007</v>
      </c>
      <c r="D10" s="23">
        <f>SUMIFS('Data (parsed)'!$I$2:$I$235,'Data (parsed)'!$B$2:$B$235,$A10,'Data (parsed)'!$C$2:$C$235,$B10,'Data (parsed)'!$G$2:$G$235,$C10)</f>
        <v>1</v>
      </c>
    </row>
    <row r="11" spans="1:4" ht="15" customHeight="1" x14ac:dyDescent="0.35">
      <c r="A11" s="19" t="s">
        <v>940</v>
      </c>
      <c r="B11" s="19" t="s">
        <v>958</v>
      </c>
      <c r="C11" s="19" t="s">
        <v>1008</v>
      </c>
      <c r="D11" s="23">
        <f>SUMIFS('Data (parsed)'!$I$2:$I$235,'Data (parsed)'!$B$2:$B$235,$A11,'Data (parsed)'!$C$2:$C$235,$B11,'Data (parsed)'!$G$2:$G$235,$C11)</f>
        <v>1</v>
      </c>
    </row>
    <row r="12" spans="1:4" ht="15" customHeight="1" x14ac:dyDescent="0.35">
      <c r="A12" s="19" t="s">
        <v>940</v>
      </c>
      <c r="B12" s="19" t="s">
        <v>958</v>
      </c>
      <c r="C12" s="19" t="s">
        <v>1009</v>
      </c>
      <c r="D12" s="23">
        <f>SUMIFS('Data (parsed)'!$I$2:$I$235,'Data (parsed)'!$B$2:$B$235,$A12,'Data (parsed)'!$C$2:$C$235,$B12,'Data (parsed)'!$G$2:$G$235,$C12)</f>
        <v>1</v>
      </c>
    </row>
    <row r="13" spans="1:4" ht="15" customHeight="1" x14ac:dyDescent="0.35">
      <c r="A13" s="19" t="s">
        <v>940</v>
      </c>
      <c r="B13" s="19" t="s">
        <v>958</v>
      </c>
      <c r="C13" s="19" t="s">
        <v>1010</v>
      </c>
      <c r="D13" s="23">
        <f>SUMIFS('Data (parsed)'!$I$2:$I$235,'Data (parsed)'!$B$2:$B$235,$A13,'Data (parsed)'!$C$2:$C$235,$B13,'Data (parsed)'!$G$2:$G$235,$C13)</f>
        <v>1</v>
      </c>
    </row>
    <row r="14" spans="1:4" ht="15" customHeight="1" x14ac:dyDescent="0.35">
      <c r="A14" s="19" t="s">
        <v>940</v>
      </c>
      <c r="B14" s="19" t="s">
        <v>958</v>
      </c>
      <c r="C14" s="19" t="s">
        <v>1011</v>
      </c>
      <c r="D14" s="23">
        <f>SUMIFS('Data (parsed)'!$I$2:$I$235,'Data (parsed)'!$B$2:$B$235,$A14,'Data (parsed)'!$C$2:$C$235,$B14,'Data (parsed)'!$G$2:$G$235,$C14)</f>
        <v>1</v>
      </c>
    </row>
    <row r="15" spans="1:4" ht="15" customHeight="1" x14ac:dyDescent="0.35">
      <c r="A15" s="19" t="s">
        <v>940</v>
      </c>
      <c r="B15" s="19" t="s">
        <v>958</v>
      </c>
      <c r="C15" s="19" t="s">
        <v>1012</v>
      </c>
      <c r="D15" s="23">
        <f>SUMIFS('Data (parsed)'!$I$2:$I$235,'Data (parsed)'!$B$2:$B$235,$A15,'Data (parsed)'!$C$2:$C$235,$B15,'Data (parsed)'!$G$2:$G$235,$C15)</f>
        <v>1</v>
      </c>
    </row>
    <row r="16" spans="1:4" ht="15" customHeight="1" x14ac:dyDescent="0.35">
      <c r="A16" s="19" t="s">
        <v>940</v>
      </c>
      <c r="B16" s="19" t="s">
        <v>958</v>
      </c>
      <c r="C16" s="19" t="s">
        <v>1013</v>
      </c>
      <c r="D16" s="23">
        <f>SUMIFS('Data (parsed)'!$I$2:$I$235,'Data (parsed)'!$B$2:$B$235,$A16,'Data (parsed)'!$C$2:$C$235,$B16,'Data (parsed)'!$G$2:$G$235,$C16)</f>
        <v>1</v>
      </c>
    </row>
    <row r="17" spans="1:4" ht="15" customHeight="1" x14ac:dyDescent="0.35">
      <c r="A17" s="19" t="s">
        <v>940</v>
      </c>
      <c r="B17" s="19" t="s">
        <v>960</v>
      </c>
      <c r="C17" s="19" t="s">
        <v>1002</v>
      </c>
      <c r="D17" s="23">
        <f>SUMIFS('Data (parsed)'!$I$2:$I$235,'Data (parsed)'!$B$2:$B$235,$A17,'Data (parsed)'!$C$2:$C$235,$B17,'Data (parsed)'!$G$2:$G$235,$C17)</f>
        <v>2</v>
      </c>
    </row>
    <row r="18" spans="1:4" ht="15" customHeight="1" x14ac:dyDescent="0.35">
      <c r="A18" s="19" t="s">
        <v>940</v>
      </c>
      <c r="B18" s="19" t="s">
        <v>960</v>
      </c>
      <c r="C18" s="19" t="s">
        <v>1014</v>
      </c>
      <c r="D18" s="23">
        <f>SUMIFS('Data (parsed)'!$I$2:$I$235,'Data (parsed)'!$B$2:$B$235,$A18,'Data (parsed)'!$C$2:$C$235,$B18,'Data (parsed)'!$G$2:$G$235,$C18)</f>
        <v>2</v>
      </c>
    </row>
    <row r="19" spans="1:4" ht="15" customHeight="1" x14ac:dyDescent="0.35">
      <c r="A19" s="19" t="s">
        <v>940</v>
      </c>
      <c r="B19" s="19" t="s">
        <v>960</v>
      </c>
      <c r="C19" s="19" t="s">
        <v>1008</v>
      </c>
      <c r="D19" s="23">
        <f>SUMIFS('Data (parsed)'!$I$2:$I$235,'Data (parsed)'!$B$2:$B$235,$A19,'Data (parsed)'!$C$2:$C$235,$B19,'Data (parsed)'!$G$2:$G$235,$C19)</f>
        <v>1</v>
      </c>
    </row>
    <row r="20" spans="1:4" ht="15" customHeight="1" x14ac:dyDescent="0.35">
      <c r="A20" s="19" t="s">
        <v>940</v>
      </c>
      <c r="B20" s="19" t="s">
        <v>960</v>
      </c>
      <c r="C20" s="19" t="s">
        <v>1015</v>
      </c>
      <c r="D20" s="23">
        <f>SUMIFS('Data (parsed)'!$I$2:$I$235,'Data (parsed)'!$B$2:$B$235,$A20,'Data (parsed)'!$C$2:$C$235,$B20,'Data (parsed)'!$G$2:$G$235,$C20)</f>
        <v>1</v>
      </c>
    </row>
    <row r="21" spans="1:4" ht="15" customHeight="1" x14ac:dyDescent="0.35">
      <c r="A21" s="19" t="s">
        <v>940</v>
      </c>
      <c r="B21" s="19" t="s">
        <v>960</v>
      </c>
      <c r="C21" s="19" t="s">
        <v>1004</v>
      </c>
      <c r="D21" s="23">
        <f>SUMIFS('Data (parsed)'!$I$2:$I$235,'Data (parsed)'!$B$2:$B$235,$A21,'Data (parsed)'!$C$2:$C$235,$B21,'Data (parsed)'!$G$2:$G$235,$C21)</f>
        <v>1</v>
      </c>
    </row>
    <row r="22" spans="1:4" ht="26.25" customHeight="1" x14ac:dyDescent="0.35">
      <c r="A22" s="19" t="s">
        <v>940</v>
      </c>
      <c r="B22" s="19" t="s">
        <v>964</v>
      </c>
      <c r="C22" s="19" t="s">
        <v>1016</v>
      </c>
      <c r="D22" s="23">
        <f>SUMIFS('Data (parsed)'!$I$2:$I$235,'Data (parsed)'!$B$2:$B$235,$A22,'Data (parsed)'!$C$2:$C$235,$B22,'Data (parsed)'!$G$2:$G$235,$C22)</f>
        <v>1</v>
      </c>
    </row>
    <row r="23" spans="1:4" ht="26.25" customHeight="1" x14ac:dyDescent="0.35">
      <c r="A23" s="19" t="s">
        <v>940</v>
      </c>
      <c r="B23" s="19" t="s">
        <v>964</v>
      </c>
      <c r="C23" s="19" t="s">
        <v>1004</v>
      </c>
      <c r="D23" s="23">
        <f>SUMIFS('Data (parsed)'!$I$2:$I$235,'Data (parsed)'!$B$2:$B$235,$A23,'Data (parsed)'!$C$2:$C$235,$B23,'Data (parsed)'!$G$2:$G$235,$C23)</f>
        <v>1</v>
      </c>
    </row>
    <row r="24" spans="1:4" ht="15" customHeight="1" x14ac:dyDescent="0.35">
      <c r="A24" s="19" t="s">
        <v>940</v>
      </c>
      <c r="B24" s="19" t="s">
        <v>957</v>
      </c>
      <c r="C24" s="19" t="s">
        <v>1002</v>
      </c>
      <c r="D24" s="23">
        <f>SUMIFS('Data (parsed)'!$I$2:$I$235,'Data (parsed)'!$B$2:$B$235,$A24,'Data (parsed)'!$C$2:$C$235,$B24,'Data (parsed)'!$G$2:$G$235,$C24)</f>
        <v>3</v>
      </c>
    </row>
    <row r="25" spans="1:4" ht="15" customHeight="1" x14ac:dyDescent="0.35">
      <c r="A25" s="19" t="s">
        <v>940</v>
      </c>
      <c r="B25" s="19" t="s">
        <v>957</v>
      </c>
      <c r="C25" s="19" t="s">
        <v>1005</v>
      </c>
      <c r="D25" s="23">
        <f>SUMIFS('Data (parsed)'!$I$2:$I$235,'Data (parsed)'!$B$2:$B$235,$A25,'Data (parsed)'!$C$2:$C$235,$B25,'Data (parsed)'!$G$2:$G$235,$C25)</f>
        <v>2</v>
      </c>
    </row>
    <row r="26" spans="1:4" ht="15" customHeight="1" x14ac:dyDescent="0.35">
      <c r="A26" s="19" t="s">
        <v>940</v>
      </c>
      <c r="B26" s="19" t="s">
        <v>957</v>
      </c>
      <c r="C26" s="19" t="s">
        <v>1017</v>
      </c>
      <c r="D26" s="23">
        <f>SUMIFS('Data (parsed)'!$I$2:$I$235,'Data (parsed)'!$B$2:$B$235,$A26,'Data (parsed)'!$C$2:$C$235,$B26,'Data (parsed)'!$G$2:$G$235,$C26)</f>
        <v>2</v>
      </c>
    </row>
    <row r="27" spans="1:4" ht="15" customHeight="1" x14ac:dyDescent="0.35">
      <c r="A27" s="19" t="s">
        <v>940</v>
      </c>
      <c r="B27" s="19" t="s">
        <v>957</v>
      </c>
      <c r="C27" s="19" t="s">
        <v>1018</v>
      </c>
      <c r="D27" s="23">
        <f>SUMIFS('Data (parsed)'!$I$2:$I$235,'Data (parsed)'!$B$2:$B$235,$A27,'Data (parsed)'!$C$2:$C$235,$B27,'Data (parsed)'!$G$2:$G$235,$C27)</f>
        <v>2</v>
      </c>
    </row>
    <row r="28" spans="1:4" ht="15" customHeight="1" x14ac:dyDescent="0.35">
      <c r="A28" s="19" t="s">
        <v>940</v>
      </c>
      <c r="B28" s="19" t="s">
        <v>957</v>
      </c>
      <c r="C28" s="19" t="s">
        <v>1019</v>
      </c>
      <c r="D28" s="23">
        <f>SUMIFS('Data (parsed)'!$I$2:$I$235,'Data (parsed)'!$B$2:$B$235,$A28,'Data (parsed)'!$C$2:$C$235,$B28,'Data (parsed)'!$G$2:$G$235,$C28)</f>
        <v>2</v>
      </c>
    </row>
    <row r="29" spans="1:4" ht="15" customHeight="1" x14ac:dyDescent="0.35">
      <c r="A29" s="19" t="s">
        <v>940</v>
      </c>
      <c r="B29" s="19" t="s">
        <v>957</v>
      </c>
      <c r="C29" s="19" t="s">
        <v>1013</v>
      </c>
      <c r="D29" s="23">
        <f>SUMIFS('Data (parsed)'!$I$2:$I$235,'Data (parsed)'!$B$2:$B$235,$A29,'Data (parsed)'!$C$2:$C$235,$B29,'Data (parsed)'!$G$2:$G$235,$C29)</f>
        <v>2</v>
      </c>
    </row>
    <row r="30" spans="1:4" ht="15" customHeight="1" x14ac:dyDescent="0.35">
      <c r="A30" s="19" t="s">
        <v>940</v>
      </c>
      <c r="B30" s="19" t="s">
        <v>957</v>
      </c>
      <c r="C30" s="19" t="s">
        <v>1020</v>
      </c>
      <c r="D30" s="23">
        <f>SUMIFS('Data (parsed)'!$I$2:$I$235,'Data (parsed)'!$B$2:$B$235,$A30,'Data (parsed)'!$C$2:$C$235,$B30,'Data (parsed)'!$G$2:$G$235,$C30)</f>
        <v>1</v>
      </c>
    </row>
    <row r="31" spans="1:4" ht="15" customHeight="1" x14ac:dyDescent="0.35">
      <c r="A31" s="19" t="s">
        <v>940</v>
      </c>
      <c r="B31" s="19" t="s">
        <v>957</v>
      </c>
      <c r="C31" s="19" t="s">
        <v>1021</v>
      </c>
      <c r="D31" s="23">
        <f>SUMIFS('Data (parsed)'!$I$2:$I$235,'Data (parsed)'!$B$2:$B$235,$A31,'Data (parsed)'!$C$2:$C$235,$B31,'Data (parsed)'!$G$2:$G$235,$C31)</f>
        <v>1</v>
      </c>
    </row>
    <row r="32" spans="1:4" ht="15" customHeight="1" x14ac:dyDescent="0.35">
      <c r="A32" s="19" t="s">
        <v>940</v>
      </c>
      <c r="B32" s="19" t="s">
        <v>957</v>
      </c>
      <c r="C32" s="19" t="s">
        <v>1022</v>
      </c>
      <c r="D32" s="23">
        <f>SUMIFS('Data (parsed)'!$I$2:$I$235,'Data (parsed)'!$B$2:$B$235,$A32,'Data (parsed)'!$C$2:$C$235,$B32,'Data (parsed)'!$G$2:$G$235,$C32)</f>
        <v>1</v>
      </c>
    </row>
    <row r="33" spans="1:4" ht="15" customHeight="1" x14ac:dyDescent="0.35">
      <c r="A33" s="19" t="s">
        <v>940</v>
      </c>
      <c r="B33" s="19" t="s">
        <v>957</v>
      </c>
      <c r="C33" s="19" t="s">
        <v>1023</v>
      </c>
      <c r="D33" s="23">
        <f>SUMIFS('Data (parsed)'!$I$2:$I$235,'Data (parsed)'!$B$2:$B$235,$A33,'Data (parsed)'!$C$2:$C$235,$B33,'Data (parsed)'!$G$2:$G$235,$C33)</f>
        <v>1</v>
      </c>
    </row>
    <row r="34" spans="1:4" ht="15" customHeight="1" x14ac:dyDescent="0.35">
      <c r="A34" s="19" t="s">
        <v>940</v>
      </c>
      <c r="B34" s="19" t="s">
        <v>955</v>
      </c>
      <c r="C34" s="19" t="s">
        <v>1013</v>
      </c>
      <c r="D34" s="23">
        <f>SUMIFS('Data (parsed)'!$I$2:$I$235,'Data (parsed)'!$B$2:$B$235,$A34,'Data (parsed)'!$C$2:$C$235,$B34,'Data (parsed)'!$G$2:$G$235,$C34)</f>
        <v>10</v>
      </c>
    </row>
    <row r="35" spans="1:4" ht="15" customHeight="1" x14ac:dyDescent="0.35">
      <c r="A35" s="19" t="s">
        <v>940</v>
      </c>
      <c r="B35" s="19" t="s">
        <v>955</v>
      </c>
      <c r="C35" s="19" t="s">
        <v>1002</v>
      </c>
      <c r="D35" s="23">
        <f>SUMIFS('Data (parsed)'!$I$2:$I$235,'Data (parsed)'!$B$2:$B$235,$A35,'Data (parsed)'!$C$2:$C$235,$B35,'Data (parsed)'!$G$2:$G$235,$C35)</f>
        <v>7</v>
      </c>
    </row>
    <row r="36" spans="1:4" ht="15" customHeight="1" x14ac:dyDescent="0.35">
      <c r="A36" s="19" t="s">
        <v>940</v>
      </c>
      <c r="B36" s="19" t="s">
        <v>955</v>
      </c>
      <c r="C36" s="19" t="s">
        <v>1014</v>
      </c>
      <c r="D36" s="23">
        <f>SUMIFS('Data (parsed)'!$I$2:$I$235,'Data (parsed)'!$B$2:$B$235,$A36,'Data (parsed)'!$C$2:$C$235,$B36,'Data (parsed)'!$G$2:$G$235,$C36)</f>
        <v>2</v>
      </c>
    </row>
    <row r="37" spans="1:4" ht="15" customHeight="1" x14ac:dyDescent="0.35">
      <c r="A37" s="19" t="s">
        <v>940</v>
      </c>
      <c r="B37" s="19" t="s">
        <v>955</v>
      </c>
      <c r="C37" s="19" t="s">
        <v>1017</v>
      </c>
      <c r="D37" s="23">
        <f>SUMIFS('Data (parsed)'!$I$2:$I$235,'Data (parsed)'!$B$2:$B$235,$A37,'Data (parsed)'!$C$2:$C$235,$B37,'Data (parsed)'!$G$2:$G$235,$C37)</f>
        <v>1</v>
      </c>
    </row>
    <row r="38" spans="1:4" ht="15" customHeight="1" x14ac:dyDescent="0.35">
      <c r="A38" s="19" t="s">
        <v>940</v>
      </c>
      <c r="B38" s="19" t="s">
        <v>955</v>
      </c>
      <c r="C38" s="19" t="s">
        <v>1024</v>
      </c>
      <c r="D38" s="23">
        <f>SUMIFS('Data (parsed)'!$I$2:$I$235,'Data (parsed)'!$B$2:$B$235,$A38,'Data (parsed)'!$C$2:$C$235,$B38,'Data (parsed)'!$G$2:$G$235,$C38)</f>
        <v>1</v>
      </c>
    </row>
    <row r="39" spans="1:4" ht="15" customHeight="1" x14ac:dyDescent="0.35">
      <c r="A39" s="19" t="s">
        <v>940</v>
      </c>
      <c r="B39" s="19" t="s">
        <v>955</v>
      </c>
      <c r="C39" s="19" t="s">
        <v>1011</v>
      </c>
      <c r="D39" s="23">
        <f>SUMIFS('Data (parsed)'!$I$2:$I$235,'Data (parsed)'!$B$2:$B$235,$A39,'Data (parsed)'!$C$2:$C$235,$B39,'Data (parsed)'!$G$2:$G$235,$C39)</f>
        <v>1</v>
      </c>
    </row>
    <row r="40" spans="1:4" ht="15" customHeight="1" x14ac:dyDescent="0.35">
      <c r="A40" s="19" t="s">
        <v>940</v>
      </c>
      <c r="B40" s="19" t="s">
        <v>955</v>
      </c>
      <c r="C40" s="19" t="s">
        <v>1025</v>
      </c>
      <c r="D40" s="23">
        <f>SUMIFS('Data (parsed)'!$I$2:$I$235,'Data (parsed)'!$B$2:$B$235,$A40,'Data (parsed)'!$C$2:$C$235,$B40,'Data (parsed)'!$G$2:$G$235,$C40)</f>
        <v>1</v>
      </c>
    </row>
    <row r="41" spans="1:4" ht="15" customHeight="1" x14ac:dyDescent="0.35">
      <c r="A41" s="19" t="s">
        <v>940</v>
      </c>
      <c r="B41" s="19" t="s">
        <v>955</v>
      </c>
      <c r="C41" s="19" t="s">
        <v>1026</v>
      </c>
      <c r="D41" s="23">
        <f>SUMIFS('Data (parsed)'!$I$2:$I$235,'Data (parsed)'!$B$2:$B$235,$A41,'Data (parsed)'!$C$2:$C$235,$B41,'Data (parsed)'!$G$2:$G$235,$C41)</f>
        <v>1</v>
      </c>
    </row>
    <row r="42" spans="1:4" ht="15" customHeight="1" x14ac:dyDescent="0.35">
      <c r="A42" s="19" t="s">
        <v>940</v>
      </c>
      <c r="B42" s="19" t="s">
        <v>955</v>
      </c>
      <c r="C42" s="19" t="s">
        <v>1004</v>
      </c>
      <c r="D42" s="23">
        <f>SUMIFS('Data (parsed)'!$I$2:$I$235,'Data (parsed)'!$B$2:$B$235,$A42,'Data (parsed)'!$C$2:$C$235,$B42,'Data (parsed)'!$G$2:$G$235,$C42)</f>
        <v>1</v>
      </c>
    </row>
    <row r="43" spans="1:4" ht="15" customHeight="1" x14ac:dyDescent="0.35">
      <c r="A43" s="19" t="s">
        <v>940</v>
      </c>
      <c r="B43" s="19" t="s">
        <v>959</v>
      </c>
      <c r="C43" s="19" t="s">
        <v>1013</v>
      </c>
      <c r="D43" s="23">
        <f>SUMIFS('Data (parsed)'!$I$2:$I$235,'Data (parsed)'!$B$2:$B$235,$A43,'Data (parsed)'!$C$2:$C$235,$B43,'Data (parsed)'!$G$2:$G$235,$C43)</f>
        <v>4</v>
      </c>
    </row>
    <row r="44" spans="1:4" ht="15" customHeight="1" x14ac:dyDescent="0.35">
      <c r="A44" s="19" t="s">
        <v>940</v>
      </c>
      <c r="B44" s="19" t="s">
        <v>959</v>
      </c>
      <c r="C44" s="19" t="s">
        <v>1004</v>
      </c>
      <c r="D44" s="23">
        <f>SUMIFS('Data (parsed)'!$I$2:$I$235,'Data (parsed)'!$B$2:$B$235,$A44,'Data (parsed)'!$C$2:$C$235,$B44,'Data (parsed)'!$G$2:$G$235,$C44)</f>
        <v>2</v>
      </c>
    </row>
    <row r="45" spans="1:4" ht="15" customHeight="1" x14ac:dyDescent="0.35">
      <c r="A45" s="19" t="s">
        <v>940</v>
      </c>
      <c r="B45" s="19" t="s">
        <v>959</v>
      </c>
      <c r="C45" s="19" t="s">
        <v>1027</v>
      </c>
      <c r="D45" s="23">
        <f>SUMIFS('Data (parsed)'!$I$2:$I$235,'Data (parsed)'!$B$2:$B$235,$A45,'Data (parsed)'!$C$2:$C$235,$B45,'Data (parsed)'!$G$2:$G$235,$C45)</f>
        <v>4</v>
      </c>
    </row>
    <row r="46" spans="1:4" ht="15" customHeight="1" x14ac:dyDescent="0.35">
      <c r="A46" s="19" t="s">
        <v>940</v>
      </c>
      <c r="B46" s="19" t="s">
        <v>959</v>
      </c>
      <c r="C46" s="19" t="s">
        <v>1017</v>
      </c>
      <c r="D46" s="23">
        <f>SUMIFS('Data (parsed)'!$I$2:$I$235,'Data (parsed)'!$B$2:$B$235,$A46,'Data (parsed)'!$C$2:$C$235,$B46,'Data (parsed)'!$G$2:$G$235,$C46)</f>
        <v>1</v>
      </c>
    </row>
    <row r="47" spans="1:4" ht="15" customHeight="1" x14ac:dyDescent="0.35">
      <c r="A47" s="19" t="s">
        <v>940</v>
      </c>
      <c r="B47" s="19" t="s">
        <v>959</v>
      </c>
      <c r="C47" s="19" t="s">
        <v>1022</v>
      </c>
      <c r="D47" s="23">
        <f>SUMIFS('Data (parsed)'!$I$2:$I$235,'Data (parsed)'!$B$2:$B$235,$A47,'Data (parsed)'!$C$2:$C$235,$B47,'Data (parsed)'!$G$2:$G$235,$C47)</f>
        <v>1</v>
      </c>
    </row>
    <row r="48" spans="1:4" ht="15" customHeight="1" x14ac:dyDescent="0.35">
      <c r="A48" s="19" t="s">
        <v>940</v>
      </c>
      <c r="B48" s="19" t="s">
        <v>959</v>
      </c>
      <c r="C48" s="19" t="s">
        <v>1012</v>
      </c>
      <c r="D48" s="23">
        <f>SUMIFS('Data (parsed)'!$I$2:$I$235,'Data (parsed)'!$B$2:$B$235,$A48,'Data (parsed)'!$C$2:$C$235,$B48,'Data (parsed)'!$G$2:$G$235,$C48)</f>
        <v>1</v>
      </c>
    </row>
    <row r="49" spans="1:4" ht="15" customHeight="1" x14ac:dyDescent="0.35">
      <c r="A49" s="19" t="s">
        <v>940</v>
      </c>
      <c r="B49" s="19" t="s">
        <v>965</v>
      </c>
      <c r="C49" s="19" t="s">
        <v>1017</v>
      </c>
      <c r="D49" s="23">
        <f>SUMIFS('Data (parsed)'!$I$2:$I$235,'Data (parsed)'!$B$2:$B$235,$A49,'Data (parsed)'!$C$2:$C$235,$B49,'Data (parsed)'!$G$2:$G$235,$C49)</f>
        <v>2</v>
      </c>
    </row>
    <row r="50" spans="1:4" ht="15" customHeight="1" x14ac:dyDescent="0.35">
      <c r="A50" s="19" t="s">
        <v>940</v>
      </c>
      <c r="B50" s="19" t="s">
        <v>956</v>
      </c>
      <c r="C50" s="19" t="s">
        <v>1013</v>
      </c>
      <c r="D50" s="23">
        <f>SUMIFS('Data (parsed)'!$I$2:$I$235,'Data (parsed)'!$B$2:$B$235,$A50,'Data (parsed)'!$C$2:$C$235,$B50,'Data (parsed)'!$G$2:$G$235,$C50)</f>
        <v>5</v>
      </c>
    </row>
    <row r="51" spans="1:4" ht="15" customHeight="1" x14ac:dyDescent="0.35">
      <c r="A51" s="19" t="s">
        <v>940</v>
      </c>
      <c r="B51" s="19" t="s">
        <v>956</v>
      </c>
      <c r="C51" s="19" t="s">
        <v>1002</v>
      </c>
      <c r="D51" s="23">
        <f>SUMIFS('Data (parsed)'!$I$2:$I$235,'Data (parsed)'!$B$2:$B$235,$A51,'Data (parsed)'!$C$2:$C$235,$B51,'Data (parsed)'!$G$2:$G$235,$C51)</f>
        <v>3</v>
      </c>
    </row>
    <row r="52" spans="1:4" ht="15" customHeight="1" x14ac:dyDescent="0.35">
      <c r="A52" s="19" t="s">
        <v>940</v>
      </c>
      <c r="B52" s="19" t="s">
        <v>956</v>
      </c>
      <c r="C52" s="19" t="s">
        <v>1005</v>
      </c>
      <c r="D52" s="23">
        <f>SUMIFS('Data (parsed)'!$I$2:$I$235,'Data (parsed)'!$B$2:$B$235,$A52,'Data (parsed)'!$C$2:$C$235,$B52,'Data (parsed)'!$G$2:$G$235,$C52)</f>
        <v>2</v>
      </c>
    </row>
    <row r="53" spans="1:4" ht="15" customHeight="1" x14ac:dyDescent="0.35">
      <c r="A53" s="19" t="s">
        <v>940</v>
      </c>
      <c r="B53" s="19" t="s">
        <v>956</v>
      </c>
      <c r="C53" s="19" t="s">
        <v>1004</v>
      </c>
      <c r="D53" s="23">
        <f>SUMIFS('Data (parsed)'!$I$2:$I$235,'Data (parsed)'!$B$2:$B$235,$A53,'Data (parsed)'!$C$2:$C$235,$B53,'Data (parsed)'!$G$2:$G$235,$C53)</f>
        <v>2</v>
      </c>
    </row>
    <row r="54" spans="1:4" ht="15" customHeight="1" x14ac:dyDescent="0.35">
      <c r="A54" s="19" t="s">
        <v>940</v>
      </c>
      <c r="B54" s="19" t="s">
        <v>956</v>
      </c>
      <c r="C54" s="19" t="s">
        <v>1017</v>
      </c>
      <c r="D54" s="23">
        <f>SUMIFS('Data (parsed)'!$I$2:$I$235,'Data (parsed)'!$B$2:$B$235,$A54,'Data (parsed)'!$C$2:$C$235,$B54,'Data (parsed)'!$G$2:$G$235,$C54)</f>
        <v>1</v>
      </c>
    </row>
    <row r="55" spans="1:4" ht="15" customHeight="1" x14ac:dyDescent="0.35">
      <c r="A55" s="19" t="s">
        <v>940</v>
      </c>
      <c r="B55" s="19" t="s">
        <v>956</v>
      </c>
      <c r="C55" s="19" t="s">
        <v>1015</v>
      </c>
      <c r="D55" s="23">
        <f>SUMIFS('Data (parsed)'!$I$2:$I$235,'Data (parsed)'!$B$2:$B$235,$A55,'Data (parsed)'!$C$2:$C$235,$B55,'Data (parsed)'!$G$2:$G$235,$C55)</f>
        <v>1</v>
      </c>
    </row>
    <row r="56" spans="1:4" ht="15" customHeight="1" x14ac:dyDescent="0.35">
      <c r="A56" s="19" t="s">
        <v>940</v>
      </c>
      <c r="B56" s="19" t="s">
        <v>956</v>
      </c>
      <c r="C56" s="19" t="s">
        <v>1028</v>
      </c>
      <c r="D56" s="23">
        <f>SUMIFS('Data (parsed)'!$I$2:$I$235,'Data (parsed)'!$B$2:$B$235,$A56,'Data (parsed)'!$C$2:$C$235,$B56,'Data (parsed)'!$G$2:$G$235,$C56)</f>
        <v>1</v>
      </c>
    </row>
    <row r="57" spans="1:4" ht="15" customHeight="1" x14ac:dyDescent="0.35">
      <c r="A57" s="19" t="s">
        <v>940</v>
      </c>
      <c r="B57" s="19" t="s">
        <v>956</v>
      </c>
      <c r="C57" s="19" t="s">
        <v>1029</v>
      </c>
      <c r="D57" s="23">
        <f>SUMIFS('Data (parsed)'!$I$2:$I$235,'Data (parsed)'!$B$2:$B$235,$A57,'Data (parsed)'!$C$2:$C$235,$B57,'Data (parsed)'!$G$2:$G$235,$C57)</f>
        <v>1</v>
      </c>
    </row>
    <row r="58" spans="1:4" ht="15" customHeight="1" x14ac:dyDescent="0.35">
      <c r="A58" s="19" t="s">
        <v>940</v>
      </c>
      <c r="B58" s="19" t="s">
        <v>956</v>
      </c>
      <c r="C58" s="19" t="s">
        <v>1030</v>
      </c>
      <c r="D58" s="23">
        <f>SUMIFS('Data (parsed)'!$I$2:$I$235,'Data (parsed)'!$B$2:$B$235,$A58,'Data (parsed)'!$C$2:$C$235,$B58,'Data (parsed)'!$G$2:$G$235,$C58)</f>
        <v>1</v>
      </c>
    </row>
    <row r="59" spans="1:4" ht="15" customHeight="1" x14ac:dyDescent="0.35">
      <c r="A59" s="19" t="s">
        <v>940</v>
      </c>
      <c r="B59" s="19" t="s">
        <v>956</v>
      </c>
      <c r="C59" s="19" t="s">
        <v>1031</v>
      </c>
      <c r="D59" s="23">
        <f>SUMIFS('Data (parsed)'!$I$2:$I$235,'Data (parsed)'!$B$2:$B$235,$A59,'Data (parsed)'!$C$2:$C$235,$B59,'Data (parsed)'!$G$2:$G$235,$C59)</f>
        <v>1</v>
      </c>
    </row>
    <row r="60" spans="1:4" ht="15" customHeight="1" x14ac:dyDescent="0.35">
      <c r="A60" s="19" t="s">
        <v>940</v>
      </c>
      <c r="B60" s="19" t="s">
        <v>956</v>
      </c>
      <c r="C60" s="19" t="s">
        <v>1032</v>
      </c>
      <c r="D60" s="23">
        <f>SUMIFS('Data (parsed)'!$I$2:$I$235,'Data (parsed)'!$B$2:$B$235,$A60,'Data (parsed)'!$C$2:$C$235,$B60,'Data (parsed)'!$G$2:$G$235,$C60)</f>
        <v>1</v>
      </c>
    </row>
    <row r="61" spans="1:4" ht="15" customHeight="1" x14ac:dyDescent="0.35">
      <c r="A61" s="19" t="s">
        <v>940</v>
      </c>
      <c r="B61" s="19" t="s">
        <v>962</v>
      </c>
      <c r="C61" s="19" t="s">
        <v>1033</v>
      </c>
      <c r="D61" s="23">
        <f>SUMIFS('Data (parsed)'!$I$2:$I$235,'Data (parsed)'!$B$2:$B$235,$A61,'Data (parsed)'!$C$2:$C$235,$B61,'Data (parsed)'!$G$2:$G$235,$C61)</f>
        <v>1</v>
      </c>
    </row>
    <row r="62" spans="1:4" ht="15" customHeight="1" x14ac:dyDescent="0.35">
      <c r="A62" s="19" t="s">
        <v>940</v>
      </c>
      <c r="B62" s="19" t="s">
        <v>962</v>
      </c>
      <c r="C62" s="19" t="s">
        <v>1034</v>
      </c>
      <c r="D62" s="23">
        <f>SUMIFS('Data (parsed)'!$I$2:$I$235,'Data (parsed)'!$B$2:$B$235,$A62,'Data (parsed)'!$C$2:$C$235,$B62,'Data (parsed)'!$G$2:$G$235,$C62)</f>
        <v>1</v>
      </c>
    </row>
    <row r="63" spans="1:4" ht="15" customHeight="1" x14ac:dyDescent="0.35">
      <c r="A63" s="19" t="s">
        <v>940</v>
      </c>
      <c r="B63" s="19" t="s">
        <v>962</v>
      </c>
      <c r="C63" s="19" t="s">
        <v>1002</v>
      </c>
      <c r="D63" s="23">
        <f>SUMIFS('Data (parsed)'!$I$2:$I$235,'Data (parsed)'!$B$2:$B$235,$A63,'Data (parsed)'!$C$2:$C$235,$B63,'Data (parsed)'!$G$2:$G$235,$C63)</f>
        <v>1</v>
      </c>
    </row>
    <row r="64" spans="1:4" ht="15" customHeight="1" x14ac:dyDescent="0.35">
      <c r="A64" s="19" t="s">
        <v>940</v>
      </c>
      <c r="B64" s="19" t="s">
        <v>962</v>
      </c>
      <c r="C64" s="19" t="s">
        <v>1013</v>
      </c>
      <c r="D64" s="23">
        <f>SUMIFS('Data (parsed)'!$I$2:$I$235,'Data (parsed)'!$B$2:$B$235,$A64,'Data (parsed)'!$C$2:$C$235,$B64,'Data (parsed)'!$G$2:$G$235,$C64)</f>
        <v>1</v>
      </c>
    </row>
    <row r="65" spans="1:4" ht="26.25" customHeight="1" x14ac:dyDescent="0.35">
      <c r="A65" s="19" t="s">
        <v>940</v>
      </c>
      <c r="B65" s="19" t="s">
        <v>961</v>
      </c>
      <c r="C65" s="19" t="s">
        <v>1035</v>
      </c>
      <c r="D65" s="23">
        <f>SUMIFS('Data (parsed)'!$I$2:$I$235,'Data (parsed)'!$B$2:$B$235,$A65,'Data (parsed)'!$C$2:$C$235,$B65,'Data (parsed)'!$G$2:$G$235,$C65)</f>
        <v>1</v>
      </c>
    </row>
    <row r="66" spans="1:4" ht="26.25" customHeight="1" x14ac:dyDescent="0.35">
      <c r="A66" s="19" t="s">
        <v>940</v>
      </c>
      <c r="B66" s="19" t="s">
        <v>961</v>
      </c>
      <c r="C66" s="19" t="s">
        <v>1036</v>
      </c>
      <c r="D66" s="23">
        <f>SUMIFS('Data (parsed)'!$I$2:$I$235,'Data (parsed)'!$B$2:$B$235,$A66,'Data (parsed)'!$C$2:$C$235,$B66,'Data (parsed)'!$G$2:$G$235,$C66)</f>
        <v>1</v>
      </c>
    </row>
    <row r="67" spans="1:4" ht="26.25" customHeight="1" x14ac:dyDescent="0.35">
      <c r="A67" s="19" t="s">
        <v>940</v>
      </c>
      <c r="B67" s="19" t="s">
        <v>961</v>
      </c>
      <c r="C67" s="19" t="s">
        <v>1037</v>
      </c>
      <c r="D67" s="23">
        <f>SUMIFS('Data (parsed)'!$I$2:$I$235,'Data (parsed)'!$B$2:$B$235,$A67,'Data (parsed)'!$C$2:$C$235,$B67,'Data (parsed)'!$G$2:$G$235,$C67)</f>
        <v>1</v>
      </c>
    </row>
    <row r="68" spans="1:4" ht="26.25" customHeight="1" x14ac:dyDescent="0.35">
      <c r="A68" s="19" t="s">
        <v>940</v>
      </c>
      <c r="B68" s="19" t="s">
        <v>961</v>
      </c>
      <c r="C68" s="19" t="s">
        <v>1002</v>
      </c>
      <c r="D68" s="23">
        <f>SUMIFS('Data (parsed)'!$I$2:$I$235,'Data (parsed)'!$B$2:$B$235,$A68,'Data (parsed)'!$C$2:$C$235,$B68,'Data (parsed)'!$G$2:$G$235,$C68)</f>
        <v>1</v>
      </c>
    </row>
    <row r="69" spans="1:4" ht="15" customHeight="1" x14ac:dyDescent="0.35">
      <c r="A69" s="24" t="s">
        <v>941</v>
      </c>
      <c r="B69" s="24" t="s">
        <v>970</v>
      </c>
      <c r="C69" s="24" t="s">
        <v>1038</v>
      </c>
      <c r="D69" s="25">
        <f>SUMIFS('Data (parsed)'!$I$2:$I$235,'Data (parsed)'!$B$2:$B$235,$A69,'Data (parsed)'!$C$2:$C$235,$B69,'Data (parsed)'!$G$2:$G$235,$C69)</f>
        <v>4</v>
      </c>
    </row>
    <row r="70" spans="1:4" ht="15" customHeight="1" x14ac:dyDescent="0.35">
      <c r="A70" s="24" t="s">
        <v>941</v>
      </c>
      <c r="B70" s="24" t="s">
        <v>970</v>
      </c>
      <c r="C70" s="24" t="s">
        <v>1005</v>
      </c>
      <c r="D70" s="25">
        <f>SUMIFS('Data (parsed)'!$I$2:$I$235,'Data (parsed)'!$B$2:$B$235,$A70,'Data (parsed)'!$C$2:$C$235,$B70,'Data (parsed)'!$G$2:$G$235,$C70)</f>
        <v>2</v>
      </c>
    </row>
    <row r="71" spans="1:4" ht="15" customHeight="1" x14ac:dyDescent="0.35">
      <c r="A71" s="24" t="s">
        <v>941</v>
      </c>
      <c r="B71" s="24" t="s">
        <v>970</v>
      </c>
      <c r="C71" s="24" t="s">
        <v>1039</v>
      </c>
      <c r="D71" s="25">
        <f>SUMIFS('Data (parsed)'!$I$2:$I$235,'Data (parsed)'!$B$2:$B$235,$A71,'Data (parsed)'!$C$2:$C$235,$B71,'Data (parsed)'!$G$2:$G$235,$C71)</f>
        <v>2</v>
      </c>
    </row>
    <row r="72" spans="1:4" ht="15" customHeight="1" x14ac:dyDescent="0.35">
      <c r="A72" s="24" t="s">
        <v>941</v>
      </c>
      <c r="B72" s="24" t="s">
        <v>970</v>
      </c>
      <c r="C72" s="24" t="s">
        <v>1040</v>
      </c>
      <c r="D72" s="25">
        <f>SUMIFS('Data (parsed)'!$I$2:$I$235,'Data (parsed)'!$B$2:$B$235,$A72,'Data (parsed)'!$C$2:$C$235,$B72,'Data (parsed)'!$G$2:$G$235,$C72)</f>
        <v>2</v>
      </c>
    </row>
    <row r="73" spans="1:4" ht="15" customHeight="1" x14ac:dyDescent="0.35">
      <c r="A73" s="24" t="s">
        <v>941</v>
      </c>
      <c r="B73" s="24" t="s">
        <v>970</v>
      </c>
      <c r="C73" s="24" t="s">
        <v>1041</v>
      </c>
      <c r="D73" s="25">
        <f>SUMIFS('Data (parsed)'!$I$2:$I$235,'Data (parsed)'!$B$2:$B$235,$A73,'Data (parsed)'!$C$2:$C$235,$B73,'Data (parsed)'!$G$2:$G$235,$C73)</f>
        <v>1</v>
      </c>
    </row>
    <row r="74" spans="1:4" ht="15" customHeight="1" x14ac:dyDescent="0.35">
      <c r="A74" s="24" t="s">
        <v>941</v>
      </c>
      <c r="B74" s="24" t="s">
        <v>970</v>
      </c>
      <c r="C74" s="24" t="s">
        <v>1042</v>
      </c>
      <c r="D74" s="25">
        <f>SUMIFS('Data (parsed)'!$I$2:$I$235,'Data (parsed)'!$B$2:$B$235,$A74,'Data (parsed)'!$C$2:$C$235,$B74,'Data (parsed)'!$G$2:$G$235,$C74)</f>
        <v>1</v>
      </c>
    </row>
    <row r="75" spans="1:4" ht="15" customHeight="1" x14ac:dyDescent="0.35">
      <c r="A75" s="24" t="s">
        <v>941</v>
      </c>
      <c r="B75" s="24" t="s">
        <v>970</v>
      </c>
      <c r="C75" s="24" t="s">
        <v>1017</v>
      </c>
      <c r="D75" s="25">
        <f>SUMIFS('Data (parsed)'!$I$2:$I$235,'Data (parsed)'!$B$2:$B$235,$A75,'Data (parsed)'!$C$2:$C$235,$B75,'Data (parsed)'!$G$2:$G$235,$C75)</f>
        <v>1</v>
      </c>
    </row>
    <row r="76" spans="1:4" ht="15" customHeight="1" x14ac:dyDescent="0.35">
      <c r="A76" s="24" t="s">
        <v>941</v>
      </c>
      <c r="B76" s="24" t="s">
        <v>970</v>
      </c>
      <c r="C76" s="24" t="s">
        <v>1030</v>
      </c>
      <c r="D76" s="25">
        <f>SUMIFS('Data (parsed)'!$I$2:$I$235,'Data (parsed)'!$B$2:$B$235,$A76,'Data (parsed)'!$C$2:$C$235,$B76,'Data (parsed)'!$G$2:$G$235,$C76)</f>
        <v>1</v>
      </c>
    </row>
    <row r="77" spans="1:4" ht="15" customHeight="1" x14ac:dyDescent="0.35">
      <c r="A77" s="24" t="s">
        <v>941</v>
      </c>
      <c r="B77" s="24" t="s">
        <v>970</v>
      </c>
      <c r="C77" s="24" t="s">
        <v>1012</v>
      </c>
      <c r="D77" s="25">
        <f>SUMIFS('Data (parsed)'!$I$2:$I$235,'Data (parsed)'!$B$2:$B$235,$A77,'Data (parsed)'!$C$2:$C$235,$B77,'Data (parsed)'!$G$2:$G$235,$C77)</f>
        <v>1</v>
      </c>
    </row>
    <row r="78" spans="1:4" ht="15" customHeight="1" x14ac:dyDescent="0.35">
      <c r="A78" s="24" t="s">
        <v>941</v>
      </c>
      <c r="B78" s="24" t="s">
        <v>970</v>
      </c>
      <c r="C78" s="24" t="s">
        <v>1013</v>
      </c>
      <c r="D78" s="25">
        <f>SUMIFS('Data (parsed)'!$I$2:$I$235,'Data (parsed)'!$B$2:$B$235,$A78,'Data (parsed)'!$C$2:$C$235,$B78,'Data (parsed)'!$G$2:$G$235,$C78)</f>
        <v>1</v>
      </c>
    </row>
    <row r="79" spans="1:4" ht="15" customHeight="1" x14ac:dyDescent="0.35">
      <c r="A79" s="24" t="s">
        <v>941</v>
      </c>
      <c r="B79" s="24" t="s">
        <v>970</v>
      </c>
      <c r="C79" s="24" t="s">
        <v>1043</v>
      </c>
      <c r="D79" s="25">
        <f>SUMIFS('Data (parsed)'!$I$2:$I$235,'Data (parsed)'!$B$2:$B$235,$A79,'Data (parsed)'!$C$2:$C$235,$B79,'Data (parsed)'!$G$2:$G$235,$C79)</f>
        <v>1</v>
      </c>
    </row>
    <row r="80" spans="1:4" ht="15" customHeight="1" x14ac:dyDescent="0.35">
      <c r="A80" s="24" t="s">
        <v>941</v>
      </c>
      <c r="B80" s="24" t="s">
        <v>973</v>
      </c>
      <c r="C80" s="24" t="s">
        <v>1040</v>
      </c>
      <c r="D80" s="25">
        <f>SUMIFS('Data (parsed)'!$I$2:$I$235,'Data (parsed)'!$B$2:$B$235,$A80,'Data (parsed)'!$C$2:$C$235,$B80,'Data (parsed)'!$G$2:$G$235,$C80)</f>
        <v>3</v>
      </c>
    </row>
    <row r="81" spans="1:4" ht="15" customHeight="1" x14ac:dyDescent="0.35">
      <c r="A81" s="24" t="s">
        <v>941</v>
      </c>
      <c r="B81" s="24" t="s">
        <v>972</v>
      </c>
      <c r="C81" s="24" t="s">
        <v>1005</v>
      </c>
      <c r="D81" s="25">
        <f>SUMIFS('Data (parsed)'!$I$2:$I$235,'Data (parsed)'!$B$2:$B$235,$A81,'Data (parsed)'!$C$2:$C$235,$B81,'Data (parsed)'!$G$2:$G$235,$C81)</f>
        <v>2</v>
      </c>
    </row>
    <row r="82" spans="1:4" ht="15" customHeight="1" x14ac:dyDescent="0.35">
      <c r="A82" s="24" t="s">
        <v>941</v>
      </c>
      <c r="B82" s="24" t="s">
        <v>972</v>
      </c>
      <c r="C82" s="24" t="s">
        <v>1003</v>
      </c>
      <c r="D82" s="25">
        <f>SUMIFS('Data (parsed)'!$I$2:$I$235,'Data (parsed)'!$B$2:$B$235,$A82,'Data (parsed)'!$C$2:$C$235,$B82,'Data (parsed)'!$G$2:$G$235,$C82)</f>
        <v>1</v>
      </c>
    </row>
    <row r="83" spans="1:4" ht="15" customHeight="1" x14ac:dyDescent="0.35">
      <c r="A83" s="24" t="s">
        <v>941</v>
      </c>
      <c r="B83" s="24" t="s">
        <v>971</v>
      </c>
      <c r="C83" s="24" t="s">
        <v>1038</v>
      </c>
      <c r="D83" s="25">
        <f>SUMIFS('Data (parsed)'!$I$2:$I$235,'Data (parsed)'!$B$2:$B$235,$A83,'Data (parsed)'!$C$2:$C$235,$B83,'Data (parsed)'!$G$2:$G$235,$C83)</f>
        <v>1</v>
      </c>
    </row>
    <row r="84" spans="1:4" ht="15" customHeight="1" x14ac:dyDescent="0.35">
      <c r="A84" s="24" t="s">
        <v>941</v>
      </c>
      <c r="B84" s="24" t="s">
        <v>971</v>
      </c>
      <c r="C84" s="24" t="s">
        <v>1042</v>
      </c>
      <c r="D84" s="25">
        <f>SUMIFS('Data (parsed)'!$I$2:$I$235,'Data (parsed)'!$B$2:$B$235,$A84,'Data (parsed)'!$C$2:$C$235,$B84,'Data (parsed)'!$G$2:$G$235,$C84)</f>
        <v>1</v>
      </c>
    </row>
    <row r="85" spans="1:4" ht="15" customHeight="1" x14ac:dyDescent="0.35">
      <c r="A85" s="24" t="s">
        <v>941</v>
      </c>
      <c r="B85" s="24" t="s">
        <v>971</v>
      </c>
      <c r="C85" s="24" t="s">
        <v>1044</v>
      </c>
      <c r="D85" s="25">
        <f>SUMIFS('Data (parsed)'!$I$2:$I$235,'Data (parsed)'!$B$2:$B$235,$A85,'Data (parsed)'!$C$2:$C$235,$B85,'Data (parsed)'!$G$2:$G$235,$C85)</f>
        <v>1</v>
      </c>
    </row>
    <row r="86" spans="1:4" ht="15" customHeight="1" x14ac:dyDescent="0.35">
      <c r="A86" s="24" t="s">
        <v>941</v>
      </c>
      <c r="B86" s="24" t="s">
        <v>971</v>
      </c>
      <c r="C86" s="24" t="s">
        <v>1045</v>
      </c>
      <c r="D86" s="25">
        <f>SUMIFS('Data (parsed)'!$I$2:$I$235,'Data (parsed)'!$B$2:$B$235,$A86,'Data (parsed)'!$C$2:$C$235,$B86,'Data (parsed)'!$G$2:$G$235,$C86)</f>
        <v>1</v>
      </c>
    </row>
    <row r="87" spans="1:4" ht="15" customHeight="1" x14ac:dyDescent="0.35">
      <c r="A87" s="24" t="s">
        <v>941</v>
      </c>
      <c r="B87" s="24" t="s">
        <v>971</v>
      </c>
      <c r="C87" s="24" t="s">
        <v>1046</v>
      </c>
      <c r="D87" s="25">
        <f>SUMIFS('Data (parsed)'!$I$2:$I$235,'Data (parsed)'!$B$2:$B$235,$A87,'Data (parsed)'!$C$2:$C$235,$B87,'Data (parsed)'!$G$2:$G$235,$C87)</f>
        <v>1</v>
      </c>
    </row>
    <row r="88" spans="1:4" ht="15" customHeight="1" x14ac:dyDescent="0.35">
      <c r="A88" s="24" t="s">
        <v>941</v>
      </c>
      <c r="B88" s="24" t="s">
        <v>974</v>
      </c>
      <c r="C88" s="24" t="s">
        <v>1047</v>
      </c>
      <c r="D88" s="25">
        <f>SUMIFS('Data (parsed)'!$I$2:$I$235,'Data (parsed)'!$B$2:$B$235,$A88,'Data (parsed)'!$C$2:$C$235,$B88,'Data (parsed)'!$G$2:$G$235,$C88)</f>
        <v>1</v>
      </c>
    </row>
    <row r="89" spans="1:4" ht="15" customHeight="1" x14ac:dyDescent="0.35">
      <c r="A89" s="24" t="s">
        <v>941</v>
      </c>
      <c r="B89" s="24" t="s">
        <v>974</v>
      </c>
      <c r="C89" s="24" t="s">
        <v>1040</v>
      </c>
      <c r="D89" s="25">
        <f>SUMIFS('Data (parsed)'!$I$2:$I$235,'Data (parsed)'!$B$2:$B$235,$A89,'Data (parsed)'!$C$2:$C$235,$B89,'Data (parsed)'!$G$2:$G$235,$C89)</f>
        <v>1</v>
      </c>
    </row>
    <row r="90" spans="1:4" ht="15" customHeight="1" x14ac:dyDescent="0.35">
      <c r="A90" s="24" t="s">
        <v>941</v>
      </c>
      <c r="B90" s="24" t="s">
        <v>975</v>
      </c>
      <c r="C90" s="24" t="s">
        <v>1048</v>
      </c>
      <c r="D90" s="25">
        <f>SUMIFS('Data (parsed)'!$I$2:$I$235,'Data (parsed)'!$B$2:$B$235,$A90,'Data (parsed)'!$C$2:$C$235,$B90,'Data (parsed)'!$G$2:$G$235,$C90)</f>
        <v>1</v>
      </c>
    </row>
    <row r="91" spans="1:4" ht="15" customHeight="1" x14ac:dyDescent="0.35">
      <c r="A91" s="19" t="s">
        <v>942</v>
      </c>
      <c r="B91" s="19" t="s">
        <v>980</v>
      </c>
      <c r="C91" s="19" t="s">
        <v>1040</v>
      </c>
      <c r="D91" s="23">
        <f>SUMIFS('Data (parsed)'!$I$2:$I$235,'Data (parsed)'!$B$2:$B$235,$A91,'Data (parsed)'!$C$2:$C$235,$B91,'Data (parsed)'!$G$2:$G$235,$C91)</f>
        <v>6</v>
      </c>
    </row>
    <row r="92" spans="1:4" ht="15" customHeight="1" x14ac:dyDescent="0.35">
      <c r="A92" s="19" t="s">
        <v>942</v>
      </c>
      <c r="B92" s="19" t="s">
        <v>980</v>
      </c>
      <c r="C92" s="19" t="s">
        <v>1049</v>
      </c>
      <c r="D92" s="23">
        <f>SUMIFS('Data (parsed)'!$I$2:$I$235,'Data (parsed)'!$B$2:$B$235,$A92,'Data (parsed)'!$C$2:$C$235,$B92,'Data (parsed)'!$G$2:$G$235,$C92)</f>
        <v>1</v>
      </c>
    </row>
    <row r="93" spans="1:4" ht="15" customHeight="1" x14ac:dyDescent="0.35">
      <c r="A93" s="19" t="s">
        <v>942</v>
      </c>
      <c r="B93" s="19" t="s">
        <v>980</v>
      </c>
      <c r="C93" s="19" t="s">
        <v>1003</v>
      </c>
      <c r="D93" s="23">
        <f>SUMIFS('Data (parsed)'!$I$2:$I$235,'Data (parsed)'!$B$2:$B$235,$A93,'Data (parsed)'!$C$2:$C$235,$B93,'Data (parsed)'!$G$2:$G$235,$C93)</f>
        <v>1</v>
      </c>
    </row>
    <row r="94" spans="1:4" ht="15" customHeight="1" x14ac:dyDescent="0.35">
      <c r="A94" s="19" t="s">
        <v>942</v>
      </c>
      <c r="B94" s="19" t="s">
        <v>983</v>
      </c>
      <c r="C94" s="19" t="s">
        <v>1040</v>
      </c>
      <c r="D94" s="23">
        <f>SUMIFS('Data (parsed)'!$I$2:$I$235,'Data (parsed)'!$B$2:$B$235,$A94,'Data (parsed)'!$C$2:$C$235,$B94,'Data (parsed)'!$G$2:$G$235,$C94)</f>
        <v>3</v>
      </c>
    </row>
    <row r="95" spans="1:4" ht="15" customHeight="1" x14ac:dyDescent="0.35">
      <c r="A95" s="19" t="s">
        <v>942</v>
      </c>
      <c r="B95" s="19" t="s">
        <v>984</v>
      </c>
      <c r="C95" s="19" t="s">
        <v>1040</v>
      </c>
      <c r="D95" s="23">
        <f>SUMIFS('Data (parsed)'!$I$2:$I$235,'Data (parsed)'!$B$2:$B$235,$A95,'Data (parsed)'!$C$2:$C$235,$B95,'Data (parsed)'!$G$2:$G$235,$C95)</f>
        <v>2</v>
      </c>
    </row>
    <row r="96" spans="1:4" ht="26.25" customHeight="1" x14ac:dyDescent="0.35">
      <c r="A96" s="19" t="s">
        <v>942</v>
      </c>
      <c r="B96" s="19" t="s">
        <v>979</v>
      </c>
      <c r="C96" s="19" t="s">
        <v>1040</v>
      </c>
      <c r="D96" s="23">
        <f>SUMIFS('Data (parsed)'!$I$2:$I$235,'Data (parsed)'!$B$2:$B$235,$A96,'Data (parsed)'!$C$2:$C$235,$B96,'Data (parsed)'!$G$2:$G$235,$C96)</f>
        <v>8</v>
      </c>
    </row>
    <row r="97" spans="1:4" ht="26.25" customHeight="1" x14ac:dyDescent="0.35">
      <c r="A97" s="19" t="s">
        <v>942</v>
      </c>
      <c r="B97" s="19" t="s">
        <v>979</v>
      </c>
      <c r="C97" s="19" t="s">
        <v>1050</v>
      </c>
      <c r="D97" s="23">
        <f>SUMIFS('Data (parsed)'!$I$2:$I$235,'Data (parsed)'!$B$2:$B$235,$A97,'Data (parsed)'!$C$2:$C$235,$B97,'Data (parsed)'!$G$2:$G$235,$C97)</f>
        <v>1</v>
      </c>
    </row>
    <row r="98" spans="1:4" ht="15" customHeight="1" x14ac:dyDescent="0.35">
      <c r="A98" s="19" t="s">
        <v>942</v>
      </c>
      <c r="B98" s="19" t="s">
        <v>988</v>
      </c>
      <c r="C98" s="19" t="s">
        <v>1005</v>
      </c>
      <c r="D98" s="23">
        <f>SUMIFS('Data (parsed)'!$I$2:$I$235,'Data (parsed)'!$B$2:$B$235,$A98,'Data (parsed)'!$C$2:$C$235,$B98,'Data (parsed)'!$G$2:$G$235,$C98)</f>
        <v>1</v>
      </c>
    </row>
    <row r="99" spans="1:4" ht="15" customHeight="1" x14ac:dyDescent="0.35">
      <c r="A99" s="19" t="s">
        <v>942</v>
      </c>
      <c r="B99" s="19" t="s">
        <v>987</v>
      </c>
      <c r="C99" s="19" t="s">
        <v>1040</v>
      </c>
      <c r="D99" s="23">
        <f>SUMIFS('Data (parsed)'!$I$2:$I$235,'Data (parsed)'!$B$2:$B$235,$A99,'Data (parsed)'!$C$2:$C$235,$B99,'Data (parsed)'!$G$2:$G$235,$C99)</f>
        <v>1</v>
      </c>
    </row>
    <row r="100" spans="1:4" ht="15" customHeight="1" x14ac:dyDescent="0.35">
      <c r="A100" s="19" t="s">
        <v>942</v>
      </c>
      <c r="B100" s="19" t="s">
        <v>985</v>
      </c>
      <c r="C100" s="19" t="s">
        <v>1040</v>
      </c>
      <c r="D100" s="23">
        <f>SUMIFS('Data (parsed)'!$I$2:$I$235,'Data (parsed)'!$B$2:$B$235,$A100,'Data (parsed)'!$C$2:$C$235,$B100,'Data (parsed)'!$G$2:$G$235,$C100)</f>
        <v>1</v>
      </c>
    </row>
    <row r="101" spans="1:4" ht="15" customHeight="1" x14ac:dyDescent="0.35">
      <c r="A101" s="19" t="s">
        <v>942</v>
      </c>
      <c r="B101" s="19" t="s">
        <v>677</v>
      </c>
      <c r="C101" s="19" t="s">
        <v>1040</v>
      </c>
      <c r="D101" s="23">
        <f>SUMIFS('Data (parsed)'!$I$2:$I$235,'Data (parsed)'!$B$2:$B$235,$A101,'Data (parsed)'!$C$2:$C$235,$B101,'Data (parsed)'!$G$2:$G$235,$C101)</f>
        <v>2</v>
      </c>
    </row>
    <row r="102" spans="1:4" ht="15" customHeight="1" x14ac:dyDescent="0.35">
      <c r="A102" s="19" t="s">
        <v>942</v>
      </c>
      <c r="B102" s="19" t="s">
        <v>986</v>
      </c>
      <c r="C102" s="19" t="s">
        <v>1040</v>
      </c>
      <c r="D102" s="23">
        <f>SUMIFS('Data (parsed)'!$I$2:$I$235,'Data (parsed)'!$B$2:$B$235,$A102,'Data (parsed)'!$C$2:$C$235,$B102,'Data (parsed)'!$G$2:$G$235,$C102)</f>
        <v>1</v>
      </c>
    </row>
    <row r="103" spans="1:4" ht="15" customHeight="1" x14ac:dyDescent="0.35">
      <c r="A103" s="19" t="s">
        <v>942</v>
      </c>
      <c r="B103" s="19" t="s">
        <v>981</v>
      </c>
      <c r="C103" s="19" t="s">
        <v>1040</v>
      </c>
      <c r="D103" s="23">
        <f>SUMIFS('Data (parsed)'!$I$2:$I$235,'Data (parsed)'!$B$2:$B$235,$A103,'Data (parsed)'!$C$2:$C$235,$B103,'Data (parsed)'!$G$2:$G$235,$C103)</f>
        <v>5</v>
      </c>
    </row>
    <row r="104" spans="1:4" ht="15" customHeight="1" x14ac:dyDescent="0.35">
      <c r="A104" s="19" t="s">
        <v>942</v>
      </c>
      <c r="B104" s="19" t="s">
        <v>981</v>
      </c>
      <c r="C104" s="19" t="s">
        <v>1051</v>
      </c>
      <c r="D104" s="23">
        <f>SUMIFS('Data (parsed)'!$I$2:$I$235,'Data (parsed)'!$B$2:$B$235,$A104,'Data (parsed)'!$C$2:$C$235,$B104,'Data (parsed)'!$G$2:$G$235,$C104)</f>
        <v>5</v>
      </c>
    </row>
    <row r="105" spans="1:4" ht="15" customHeight="1" x14ac:dyDescent="0.35">
      <c r="A105" s="19" t="s">
        <v>942</v>
      </c>
      <c r="B105" s="19" t="s">
        <v>981</v>
      </c>
      <c r="C105" s="19" t="s">
        <v>1052</v>
      </c>
      <c r="D105" s="23">
        <f>SUMIFS('Data (parsed)'!$I$2:$I$235,'Data (parsed)'!$B$2:$B$235,$A105,'Data (parsed)'!$C$2:$C$235,$B105,'Data (parsed)'!$G$2:$G$235,$C105)</f>
        <v>1</v>
      </c>
    </row>
    <row r="106" spans="1:4" ht="15" customHeight="1" x14ac:dyDescent="0.35">
      <c r="A106" s="19" t="s">
        <v>942</v>
      </c>
      <c r="B106" s="19" t="s">
        <v>981</v>
      </c>
      <c r="C106" s="19" t="s">
        <v>1053</v>
      </c>
      <c r="D106" s="23">
        <f>SUMIFS('Data (parsed)'!$I$2:$I$235,'Data (parsed)'!$B$2:$B$235,$A106,'Data (parsed)'!$C$2:$C$235,$B106,'Data (parsed)'!$G$2:$G$235,$C106)</f>
        <v>1</v>
      </c>
    </row>
    <row r="107" spans="1:4" ht="15" customHeight="1" x14ac:dyDescent="0.35">
      <c r="A107" s="19" t="s">
        <v>942</v>
      </c>
      <c r="B107" s="19" t="s">
        <v>982</v>
      </c>
      <c r="C107" s="19" t="s">
        <v>1040</v>
      </c>
      <c r="D107" s="23">
        <f>SUMIFS('Data (parsed)'!$I$2:$I$235,'Data (parsed)'!$B$2:$B$235,$A107,'Data (parsed)'!$C$2:$C$235,$B107,'Data (parsed)'!$G$2:$G$235,$C107)</f>
        <v>2</v>
      </c>
    </row>
    <row r="108" spans="1:4" ht="15" customHeight="1" x14ac:dyDescent="0.35">
      <c r="A108" s="19" t="s">
        <v>942</v>
      </c>
      <c r="B108" s="19" t="s">
        <v>982</v>
      </c>
      <c r="C108" s="19" t="s">
        <v>1005</v>
      </c>
      <c r="D108" s="23">
        <f>SUMIFS('Data (parsed)'!$I$2:$I$235,'Data (parsed)'!$B$2:$B$235,$A108,'Data (parsed)'!$C$2:$C$235,$B108,'Data (parsed)'!$G$2:$G$235,$C108)</f>
        <v>1</v>
      </c>
    </row>
    <row r="109" spans="1:4" ht="15" customHeight="1" x14ac:dyDescent="0.35">
      <c r="A109" s="19" t="s">
        <v>942</v>
      </c>
      <c r="B109" s="19" t="s">
        <v>982</v>
      </c>
      <c r="C109" s="19" t="s">
        <v>1054</v>
      </c>
      <c r="D109" s="23">
        <f>SUMIFS('Data (parsed)'!$I$2:$I$235,'Data (parsed)'!$B$2:$B$235,$A109,'Data (parsed)'!$C$2:$C$235,$B109,'Data (parsed)'!$G$2:$G$235,$C109)</f>
        <v>1</v>
      </c>
    </row>
    <row r="110" spans="1:4" ht="15" customHeight="1" x14ac:dyDescent="0.35">
      <c r="A110" s="24" t="s">
        <v>943</v>
      </c>
      <c r="B110" s="24" t="s">
        <v>995</v>
      </c>
      <c r="C110" s="24" t="s">
        <v>1055</v>
      </c>
      <c r="D110" s="25">
        <f>SUMIFS('Data (parsed)'!$I$2:$I$235,'Data (parsed)'!$B$2:$B$235,$A110,'Data (parsed)'!$C$2:$C$235,$B110,'Data (parsed)'!$G$2:$G$235,$C110)</f>
        <v>2</v>
      </c>
    </row>
    <row r="111" spans="1:4" ht="15" customHeight="1" x14ac:dyDescent="0.35">
      <c r="A111" s="24" t="s">
        <v>943</v>
      </c>
      <c r="B111" s="24" t="s">
        <v>995</v>
      </c>
      <c r="C111" s="24" t="s">
        <v>1056</v>
      </c>
      <c r="D111" s="25">
        <f>SUMIFS('Data (parsed)'!$I$2:$I$235,'Data (parsed)'!$B$2:$B$235,$A111,'Data (parsed)'!$C$2:$C$235,$B111,'Data (parsed)'!$G$2:$G$235,$C111)</f>
        <v>1</v>
      </c>
    </row>
    <row r="112" spans="1:4" ht="15" customHeight="1" x14ac:dyDescent="0.35">
      <c r="A112" s="24" t="s">
        <v>943</v>
      </c>
      <c r="B112" s="24" t="s">
        <v>995</v>
      </c>
      <c r="C112" s="24" t="s">
        <v>1057</v>
      </c>
      <c r="D112" s="25">
        <f>SUMIFS('Data (parsed)'!$I$2:$I$235,'Data (parsed)'!$B$2:$B$235,$A112,'Data (parsed)'!$C$2:$C$235,$B112,'Data (parsed)'!$G$2:$G$235,$C112)</f>
        <v>1</v>
      </c>
    </row>
    <row r="113" spans="1:4" ht="15" customHeight="1" x14ac:dyDescent="0.35">
      <c r="A113" s="24" t="s">
        <v>943</v>
      </c>
      <c r="B113" s="24" t="s">
        <v>995</v>
      </c>
      <c r="C113" s="24" t="s">
        <v>1058</v>
      </c>
      <c r="D113" s="25">
        <f>SUMIFS('Data (parsed)'!$I$2:$I$235,'Data (parsed)'!$B$2:$B$235,$A113,'Data (parsed)'!$C$2:$C$235,$B113,'Data (parsed)'!$G$2:$G$235,$C113)</f>
        <v>1</v>
      </c>
    </row>
    <row r="114" spans="1:4" ht="15" customHeight="1" x14ac:dyDescent="0.35">
      <c r="A114" s="24" t="s">
        <v>943</v>
      </c>
      <c r="B114" s="24" t="s">
        <v>994</v>
      </c>
      <c r="C114" s="24" t="s">
        <v>1058</v>
      </c>
      <c r="D114" s="25">
        <f>SUMIFS('Data (parsed)'!$I$2:$I$235,'Data (parsed)'!$B$2:$B$235,$A114,'Data (parsed)'!$C$2:$C$235,$B114,'Data (parsed)'!$G$2:$G$235,$C114)</f>
        <v>2</v>
      </c>
    </row>
    <row r="115" spans="1:4" ht="15" customHeight="1" x14ac:dyDescent="0.35">
      <c r="A115" s="24" t="s">
        <v>943</v>
      </c>
      <c r="B115" s="24" t="s">
        <v>994</v>
      </c>
      <c r="C115" s="24" t="s">
        <v>1059</v>
      </c>
      <c r="D115" s="25">
        <f>SUMIFS('Data (parsed)'!$I$2:$I$235,'Data (parsed)'!$B$2:$B$235,$A115,'Data (parsed)'!$C$2:$C$235,$B115,'Data (parsed)'!$G$2:$G$235,$C115)</f>
        <v>1</v>
      </c>
    </row>
    <row r="116" spans="1:4" ht="15" customHeight="1" x14ac:dyDescent="0.35">
      <c r="A116" s="24" t="s">
        <v>943</v>
      </c>
      <c r="B116" s="24" t="s">
        <v>994</v>
      </c>
      <c r="C116" s="24" t="s">
        <v>1060</v>
      </c>
      <c r="D116" s="25">
        <f>SUMIFS('Data (parsed)'!$I$2:$I$235,'Data (parsed)'!$B$2:$B$235,$A116,'Data (parsed)'!$C$2:$C$235,$B116,'Data (parsed)'!$G$2:$G$235,$C116)</f>
        <v>1</v>
      </c>
    </row>
    <row r="117" spans="1:4" ht="15" customHeight="1" x14ac:dyDescent="0.35">
      <c r="A117" s="24" t="s">
        <v>943</v>
      </c>
      <c r="B117" s="24" t="s">
        <v>994</v>
      </c>
      <c r="C117" s="24" t="s">
        <v>1061</v>
      </c>
      <c r="D117" s="25">
        <f>SUMIFS('Data (parsed)'!$I$2:$I$235,'Data (parsed)'!$B$2:$B$235,$A117,'Data (parsed)'!$C$2:$C$235,$B117,'Data (parsed)'!$G$2:$G$235,$C117)</f>
        <v>1</v>
      </c>
    </row>
    <row r="118" spans="1:4" ht="15" customHeight="1" x14ac:dyDescent="0.35">
      <c r="A118" s="24" t="s">
        <v>943</v>
      </c>
      <c r="B118" s="24" t="s">
        <v>770</v>
      </c>
      <c r="C118" s="24" t="s">
        <v>1058</v>
      </c>
      <c r="D118" s="25">
        <f>SUMIFS('Data (parsed)'!$I$2:$I$235,'Data (parsed)'!$B$2:$B$235,$A118,'Data (parsed)'!$C$2:$C$235,$B118,'Data (parsed)'!$G$2:$G$235,$C118)</f>
        <v>12</v>
      </c>
    </row>
    <row r="119" spans="1:4" ht="15" customHeight="1" x14ac:dyDescent="0.35">
      <c r="A119" s="24" t="s">
        <v>943</v>
      </c>
      <c r="B119" s="24" t="s">
        <v>770</v>
      </c>
      <c r="C119" s="24" t="s">
        <v>1062</v>
      </c>
      <c r="D119" s="25">
        <f>SUMIFS('Data (parsed)'!$I$2:$I$235,'Data (parsed)'!$B$2:$B$235,$A119,'Data (parsed)'!$C$2:$C$235,$B119,'Data (parsed)'!$G$2:$G$235,$C119)</f>
        <v>5</v>
      </c>
    </row>
    <row r="120" spans="1:4" ht="15" customHeight="1" x14ac:dyDescent="0.35">
      <c r="A120" s="24" t="s">
        <v>943</v>
      </c>
      <c r="B120" s="24" t="s">
        <v>770</v>
      </c>
      <c r="C120" s="24" t="s">
        <v>1055</v>
      </c>
      <c r="D120" s="25">
        <f>SUMIFS('Data (parsed)'!$I$2:$I$235,'Data (parsed)'!$B$2:$B$235,$A120,'Data (parsed)'!$C$2:$C$235,$B120,'Data (parsed)'!$G$2:$G$235,$C120)</f>
        <v>2</v>
      </c>
    </row>
    <row r="121" spans="1:4" ht="15" customHeight="1" x14ac:dyDescent="0.35">
      <c r="A121" s="24" t="s">
        <v>943</v>
      </c>
      <c r="B121" s="24" t="s">
        <v>770</v>
      </c>
      <c r="C121" s="24" t="s">
        <v>1059</v>
      </c>
      <c r="D121" s="25">
        <f>SUMIFS('Data (parsed)'!$I$2:$I$235,'Data (parsed)'!$B$2:$B$235,$A121,'Data (parsed)'!$C$2:$C$235,$B121,'Data (parsed)'!$G$2:$G$235,$C121)</f>
        <v>2</v>
      </c>
    </row>
    <row r="122" spans="1:4" ht="15" customHeight="1" x14ac:dyDescent="0.35">
      <c r="A122" s="24" t="s">
        <v>943</v>
      </c>
      <c r="B122" s="24" t="s">
        <v>770</v>
      </c>
      <c r="C122" s="24" t="s">
        <v>1063</v>
      </c>
      <c r="D122" s="25">
        <f>SUMIFS('Data (parsed)'!$I$2:$I$235,'Data (parsed)'!$B$2:$B$235,$A122,'Data (parsed)'!$C$2:$C$235,$B122,'Data (parsed)'!$G$2:$G$235,$C122)</f>
        <v>2</v>
      </c>
    </row>
    <row r="123" spans="1:4" ht="15" customHeight="1" x14ac:dyDescent="0.35">
      <c r="A123" s="24" t="s">
        <v>943</v>
      </c>
      <c r="B123" s="24" t="s">
        <v>770</v>
      </c>
      <c r="C123" s="24" t="s">
        <v>1064</v>
      </c>
      <c r="D123" s="25">
        <f>SUMIFS('Data (parsed)'!$I$2:$I$235,'Data (parsed)'!$B$2:$B$235,$A123,'Data (parsed)'!$C$2:$C$235,$B123,'Data (parsed)'!$G$2:$G$235,$C123)</f>
        <v>1</v>
      </c>
    </row>
    <row r="124" spans="1:4" ht="15" customHeight="1" x14ac:dyDescent="0.35">
      <c r="A124" s="24" t="s">
        <v>943</v>
      </c>
      <c r="B124" s="24" t="s">
        <v>770</v>
      </c>
      <c r="C124" s="24" t="s">
        <v>1065</v>
      </c>
      <c r="D124" s="25">
        <f>SUMIFS('Data (parsed)'!$I$2:$I$235,'Data (parsed)'!$B$2:$B$235,$A124,'Data (parsed)'!$C$2:$C$235,$B124,'Data (parsed)'!$G$2:$G$235,$C124)</f>
        <v>1</v>
      </c>
    </row>
    <row r="125" spans="1:4" ht="15" customHeight="1" x14ac:dyDescent="0.35">
      <c r="A125" s="24" t="s">
        <v>943</v>
      </c>
      <c r="B125" s="24" t="s">
        <v>770</v>
      </c>
      <c r="C125" s="24" t="s">
        <v>1066</v>
      </c>
      <c r="D125" s="25">
        <f>SUMIFS('Data (parsed)'!$I$2:$I$235,'Data (parsed)'!$B$2:$B$235,$A125,'Data (parsed)'!$C$2:$C$235,$B125,'Data (parsed)'!$G$2:$G$235,$C125)</f>
        <v>1</v>
      </c>
    </row>
    <row r="126" spans="1:4" ht="15" customHeight="1" x14ac:dyDescent="0.35">
      <c r="A126" s="24" t="s">
        <v>943</v>
      </c>
      <c r="B126" s="24" t="s">
        <v>770</v>
      </c>
      <c r="C126" s="24" t="s">
        <v>1067</v>
      </c>
      <c r="D126" s="25">
        <f>SUMIFS('Data (parsed)'!$I$2:$I$235,'Data (parsed)'!$B$2:$B$235,$A126,'Data (parsed)'!$C$2:$C$235,$B126,'Data (parsed)'!$G$2:$G$235,$C126)</f>
        <v>1</v>
      </c>
    </row>
    <row r="127" spans="1:4" ht="15" customHeight="1" x14ac:dyDescent="0.35">
      <c r="A127" s="24" t="s">
        <v>943</v>
      </c>
      <c r="B127" s="24" t="s">
        <v>996</v>
      </c>
      <c r="C127" s="24" t="s">
        <v>1068</v>
      </c>
      <c r="D127" s="25">
        <f>SUMIFS('Data (parsed)'!$I$2:$I$235,'Data (parsed)'!$B$2:$B$235,$A127,'Data (parsed)'!$C$2:$C$235,$B127,'Data (parsed)'!$G$2:$G$235,$C127)</f>
        <v>1</v>
      </c>
    </row>
    <row r="128" spans="1:4" ht="15" customHeight="1" x14ac:dyDescent="0.35">
      <c r="A128" s="24" t="s">
        <v>943</v>
      </c>
      <c r="B128" s="24" t="s">
        <v>992</v>
      </c>
      <c r="C128" s="24" t="s">
        <v>1058</v>
      </c>
      <c r="D128" s="25">
        <f>SUMIFS('Data (parsed)'!$I$2:$I$235,'Data (parsed)'!$B$2:$B$235,$A128,'Data (parsed)'!$C$2:$C$235,$B128,'Data (parsed)'!$G$2:$G$235,$C128)</f>
        <v>3</v>
      </c>
    </row>
    <row r="129" spans="1:4" ht="15" customHeight="1" x14ac:dyDescent="0.35">
      <c r="A129" s="24" t="s">
        <v>943</v>
      </c>
      <c r="B129" s="24" t="s">
        <v>992</v>
      </c>
      <c r="C129" s="24" t="s">
        <v>1062</v>
      </c>
      <c r="D129" s="25">
        <f>SUMIFS('Data (parsed)'!$I$2:$I$235,'Data (parsed)'!$B$2:$B$235,$A129,'Data (parsed)'!$C$2:$C$235,$B129,'Data (parsed)'!$G$2:$G$235,$C129)</f>
        <v>2</v>
      </c>
    </row>
    <row r="130" spans="1:4" ht="15" customHeight="1" x14ac:dyDescent="0.35">
      <c r="A130" s="24" t="s">
        <v>943</v>
      </c>
      <c r="B130" s="24" t="s">
        <v>992</v>
      </c>
      <c r="C130" s="24" t="s">
        <v>1005</v>
      </c>
      <c r="D130" s="25">
        <f>SUMIFS('Data (parsed)'!$I$2:$I$235,'Data (parsed)'!$B$2:$B$235,$A130,'Data (parsed)'!$C$2:$C$235,$B130,'Data (parsed)'!$G$2:$G$235,$C130)</f>
        <v>1</v>
      </c>
    </row>
    <row r="131" spans="1:4" ht="15" customHeight="1" x14ac:dyDescent="0.35">
      <c r="A131" s="24" t="s">
        <v>943</v>
      </c>
      <c r="B131" s="24" t="s">
        <v>992</v>
      </c>
      <c r="C131" s="24" t="s">
        <v>1069</v>
      </c>
      <c r="D131" s="25">
        <f>SUMIFS('Data (parsed)'!$I$2:$I$235,'Data (parsed)'!$B$2:$B$235,$A131,'Data (parsed)'!$C$2:$C$235,$B131,'Data (parsed)'!$G$2:$G$235,$C131)</f>
        <v>1</v>
      </c>
    </row>
    <row r="132" spans="1:4" ht="15" customHeight="1" x14ac:dyDescent="0.35">
      <c r="A132" s="24" t="s">
        <v>943</v>
      </c>
      <c r="B132" s="24" t="s">
        <v>992</v>
      </c>
      <c r="C132" s="24" t="s">
        <v>1070</v>
      </c>
      <c r="D132" s="25">
        <f>SUMIFS('Data (parsed)'!$I$2:$I$235,'Data (parsed)'!$B$2:$B$235,$A132,'Data (parsed)'!$C$2:$C$235,$B132,'Data (parsed)'!$G$2:$G$235,$C132)</f>
        <v>1</v>
      </c>
    </row>
    <row r="133" spans="1:4" ht="15" customHeight="1" x14ac:dyDescent="0.35">
      <c r="A133" s="24" t="s">
        <v>943</v>
      </c>
      <c r="B133" s="24" t="s">
        <v>992</v>
      </c>
      <c r="C133" s="24" t="s">
        <v>1071</v>
      </c>
      <c r="D133" s="25">
        <f>SUMIFS('Data (parsed)'!$I$2:$I$235,'Data (parsed)'!$B$2:$B$235,$A133,'Data (parsed)'!$C$2:$C$235,$B133,'Data (parsed)'!$G$2:$G$235,$C133)</f>
        <v>1</v>
      </c>
    </row>
    <row r="134" spans="1:4" ht="15" customHeight="1" x14ac:dyDescent="0.35">
      <c r="A134" s="24" t="s">
        <v>943</v>
      </c>
      <c r="B134" s="24" t="s">
        <v>992</v>
      </c>
      <c r="C134" s="24" t="s">
        <v>1017</v>
      </c>
      <c r="D134" s="25">
        <f>SUMIFS('Data (parsed)'!$I$2:$I$235,'Data (parsed)'!$B$2:$B$235,$A134,'Data (parsed)'!$C$2:$C$235,$B134,'Data (parsed)'!$G$2:$G$235,$C134)</f>
        <v>1</v>
      </c>
    </row>
    <row r="135" spans="1:4" ht="15" customHeight="1" x14ac:dyDescent="0.35">
      <c r="A135" s="24" t="s">
        <v>943</v>
      </c>
      <c r="B135" s="24" t="s">
        <v>992</v>
      </c>
      <c r="C135" s="24" t="s">
        <v>1072</v>
      </c>
      <c r="D135" s="25">
        <f>SUMIFS('Data (parsed)'!$I$2:$I$235,'Data (parsed)'!$B$2:$B$235,$A135,'Data (parsed)'!$C$2:$C$235,$B135,'Data (parsed)'!$G$2:$G$235,$C135)</f>
        <v>1</v>
      </c>
    </row>
    <row r="136" spans="1:4" ht="15" customHeight="1" x14ac:dyDescent="0.35">
      <c r="A136" s="24" t="s">
        <v>943</v>
      </c>
      <c r="B136" s="24" t="s">
        <v>993</v>
      </c>
      <c r="C136" s="24" t="s">
        <v>1058</v>
      </c>
      <c r="D136" s="25">
        <f>SUMIFS('Data (parsed)'!$I$2:$I$235,'Data (parsed)'!$B$2:$B$235,$A136,'Data (parsed)'!$C$2:$C$235,$B136,'Data (parsed)'!$G$2:$G$235,$C136)</f>
        <v>4</v>
      </c>
    </row>
    <row r="137" spans="1:4" ht="15" customHeight="1" x14ac:dyDescent="0.35">
      <c r="A137" s="24" t="s">
        <v>943</v>
      </c>
      <c r="B137" s="24" t="s">
        <v>993</v>
      </c>
      <c r="C137" s="24" t="s">
        <v>1005</v>
      </c>
      <c r="D137" s="25">
        <f>SUMIFS('Data (parsed)'!$I$2:$I$235,'Data (parsed)'!$B$2:$B$235,$A137,'Data (parsed)'!$C$2:$C$235,$B137,'Data (parsed)'!$G$2:$G$235,$C137)</f>
        <v>1</v>
      </c>
    </row>
    <row r="138" spans="1:4" ht="15" customHeight="1" x14ac:dyDescent="0.35">
      <c r="A138" s="24" t="s">
        <v>943</v>
      </c>
      <c r="B138" s="24" t="s">
        <v>993</v>
      </c>
      <c r="C138" s="24" t="s">
        <v>1073</v>
      </c>
      <c r="D138" s="25">
        <f>SUMIFS('Data (parsed)'!$I$2:$I$235,'Data (parsed)'!$B$2:$B$235,$A138,'Data (parsed)'!$C$2:$C$235,$B138,'Data (parsed)'!$G$2:$G$235,$C138)</f>
        <v>1</v>
      </c>
    </row>
    <row r="139" spans="1:4" ht="15" customHeight="1" x14ac:dyDescent="0.35">
      <c r="A139" s="24" t="s">
        <v>943</v>
      </c>
      <c r="B139" s="24" t="s">
        <v>927</v>
      </c>
      <c r="C139" s="24" t="s">
        <v>1005</v>
      </c>
      <c r="D139" s="25">
        <f>SUMIFS('Data (parsed)'!$I$2:$I$235,'Data (parsed)'!$B$2:$B$235,$A139,'Data (parsed)'!$C$2:$C$235,$B139,'Data (parsed)'!$G$2:$G$235,$C139)</f>
        <v>1</v>
      </c>
    </row>
    <row r="140" spans="1:4" ht="15" customHeight="1" x14ac:dyDescent="0.35">
      <c r="A140" s="24" t="s">
        <v>943</v>
      </c>
      <c r="B140" s="24" t="s">
        <v>927</v>
      </c>
      <c r="C140" s="24" t="s">
        <v>1074</v>
      </c>
      <c r="D140" s="25">
        <f>SUMIFS('Data (parsed)'!$I$2:$I$235,'Data (parsed)'!$B$2:$B$235,$A140,'Data (parsed)'!$C$2:$C$235,$B140,'Data (parsed)'!$G$2:$G$235,$C140)</f>
        <v>1</v>
      </c>
    </row>
    <row r="141" spans="1:4" ht="14.25" customHeight="1" x14ac:dyDescent="0.35">
      <c r="A141" s="10"/>
      <c r="B141" s="10"/>
      <c r="C141" s="10"/>
      <c r="D141" s="10"/>
    </row>
    <row r="142" spans="1:4" ht="14.25" customHeight="1" x14ac:dyDescent="0.35">
      <c r="A142" s="10"/>
      <c r="B142" s="10"/>
      <c r="C142" s="10"/>
      <c r="D142" s="10"/>
    </row>
    <row r="143" spans="1:4" ht="14.25" customHeight="1" x14ac:dyDescent="0.35">
      <c r="A143" s="10"/>
      <c r="B143" s="10"/>
      <c r="C143" s="10"/>
      <c r="D143" s="10"/>
    </row>
    <row r="144" spans="1:4" ht="14.25" customHeight="1" x14ac:dyDescent="0.35">
      <c r="A144" s="10"/>
      <c r="B144" s="10"/>
      <c r="C144" s="10"/>
      <c r="D144" s="10"/>
    </row>
    <row r="145" spans="1:4" ht="14.25" customHeight="1" x14ac:dyDescent="0.35">
      <c r="A145" s="10"/>
      <c r="B145" s="10"/>
      <c r="C145" s="10"/>
      <c r="D145" s="10"/>
    </row>
    <row r="146" spans="1:4" ht="14.25" customHeight="1" x14ac:dyDescent="0.35">
      <c r="A146" s="10"/>
      <c r="B146" s="10"/>
      <c r="C146" s="10"/>
      <c r="D146" s="10"/>
    </row>
    <row r="147" spans="1:4" ht="14.25" customHeight="1" x14ac:dyDescent="0.35">
      <c r="A147" s="10"/>
      <c r="B147" s="10"/>
      <c r="C147" s="10"/>
      <c r="D147" s="10"/>
    </row>
    <row r="148" spans="1:4" ht="14.25" customHeight="1" x14ac:dyDescent="0.35">
      <c r="A148" s="10"/>
      <c r="B148" s="10"/>
      <c r="C148" s="10"/>
      <c r="D148" s="10"/>
    </row>
    <row r="149" spans="1:4" ht="14.25" customHeight="1" x14ac:dyDescent="0.35">
      <c r="A149" s="10"/>
      <c r="B149" s="10"/>
      <c r="C149" s="10"/>
      <c r="D149" s="10"/>
    </row>
    <row r="150" spans="1:4" ht="14.25" customHeight="1" x14ac:dyDescent="0.35">
      <c r="A150" s="10"/>
      <c r="B150" s="10"/>
      <c r="C150" s="10"/>
      <c r="D150" s="10"/>
    </row>
    <row r="151" spans="1:4" ht="14.25" customHeight="1" x14ac:dyDescent="0.35">
      <c r="A151" s="10"/>
      <c r="B151" s="10"/>
      <c r="C151" s="10"/>
      <c r="D151" s="10"/>
    </row>
    <row r="152" spans="1:4" ht="14.25" customHeight="1" x14ac:dyDescent="0.35">
      <c r="A152" s="10"/>
      <c r="B152" s="10"/>
      <c r="C152" s="10"/>
      <c r="D152" s="10"/>
    </row>
    <row r="153" spans="1:4" ht="14.25" customHeight="1" x14ac:dyDescent="0.35">
      <c r="A153" s="10"/>
      <c r="B153" s="10"/>
      <c r="C153" s="10"/>
      <c r="D153" s="10"/>
    </row>
    <row r="154" spans="1:4" ht="14.25" customHeight="1" x14ac:dyDescent="0.35">
      <c r="A154" s="10"/>
      <c r="B154" s="10"/>
      <c r="C154" s="10"/>
      <c r="D154" s="10"/>
    </row>
    <row r="155" spans="1:4" ht="14.25" customHeight="1" x14ac:dyDescent="0.35">
      <c r="A155" s="10"/>
      <c r="B155" s="10"/>
      <c r="C155" s="10"/>
      <c r="D155" s="10"/>
    </row>
    <row r="156" spans="1:4" ht="14.25" customHeight="1" x14ac:dyDescent="0.35">
      <c r="A156" s="10"/>
      <c r="B156" s="10"/>
      <c r="C156" s="10"/>
      <c r="D156" s="10"/>
    </row>
    <row r="157" spans="1:4" ht="14.25" customHeight="1" x14ac:dyDescent="0.35">
      <c r="A157" s="10"/>
      <c r="B157" s="10"/>
      <c r="C157" s="10"/>
      <c r="D157" s="10"/>
    </row>
    <row r="158" spans="1:4" ht="14.25" customHeight="1" x14ac:dyDescent="0.35">
      <c r="A158" s="10"/>
      <c r="B158" s="10"/>
      <c r="C158" s="10"/>
      <c r="D158" s="10"/>
    </row>
    <row r="159" spans="1:4" ht="14.25" customHeight="1" x14ac:dyDescent="0.35">
      <c r="A159" s="10"/>
      <c r="B159" s="10"/>
      <c r="C159" s="10"/>
      <c r="D159" s="10"/>
    </row>
    <row r="160" spans="1:4" ht="14.25" customHeight="1" x14ac:dyDescent="0.35">
      <c r="A160" s="10"/>
      <c r="B160" s="10"/>
      <c r="C160" s="10"/>
      <c r="D160" s="10"/>
    </row>
    <row r="161" spans="1:4" ht="14.25" customHeight="1" x14ac:dyDescent="0.35">
      <c r="A161" s="10"/>
      <c r="B161" s="10"/>
      <c r="C161" s="10"/>
      <c r="D161" s="10"/>
    </row>
    <row r="162" spans="1:4" ht="14.25" customHeight="1" x14ac:dyDescent="0.35">
      <c r="A162" s="10"/>
      <c r="B162" s="10"/>
      <c r="C162" s="10"/>
      <c r="D162" s="10"/>
    </row>
    <row r="163" spans="1:4" ht="14.25" customHeight="1" x14ac:dyDescent="0.35">
      <c r="A163" s="10"/>
      <c r="B163" s="10"/>
      <c r="C163" s="10"/>
      <c r="D163" s="10"/>
    </row>
    <row r="164" spans="1:4" ht="14.25" customHeight="1" x14ac:dyDescent="0.35">
      <c r="A164" s="10"/>
      <c r="B164" s="10"/>
      <c r="C164" s="10"/>
      <c r="D164" s="10"/>
    </row>
    <row r="165" spans="1:4" ht="14.25" customHeight="1" x14ac:dyDescent="0.35">
      <c r="A165" s="10"/>
      <c r="B165" s="10"/>
      <c r="C165" s="10"/>
      <c r="D165" s="10"/>
    </row>
    <row r="166" spans="1:4" ht="14.25" customHeight="1" x14ac:dyDescent="0.35">
      <c r="A166" s="10"/>
      <c r="B166" s="10"/>
      <c r="C166" s="10"/>
      <c r="D166" s="10"/>
    </row>
    <row r="167" spans="1:4" ht="14.25" customHeight="1" x14ac:dyDescent="0.35">
      <c r="A167" s="10"/>
      <c r="B167" s="10"/>
      <c r="C167" s="10"/>
      <c r="D167" s="10"/>
    </row>
    <row r="168" spans="1:4" ht="14.25" customHeight="1" x14ac:dyDescent="0.35">
      <c r="A168" s="10"/>
      <c r="B168" s="10"/>
      <c r="C168" s="10"/>
      <c r="D168" s="10"/>
    </row>
    <row r="169" spans="1:4" ht="14.25" customHeight="1" x14ac:dyDescent="0.35">
      <c r="A169" s="10"/>
      <c r="B169" s="10"/>
      <c r="C169" s="10"/>
      <c r="D169" s="10"/>
    </row>
    <row r="170" spans="1:4" ht="14.25" customHeight="1" x14ac:dyDescent="0.35">
      <c r="A170" s="10"/>
      <c r="B170" s="10"/>
      <c r="C170" s="10"/>
      <c r="D170" s="10"/>
    </row>
    <row r="171" spans="1:4" ht="14.25" customHeight="1" x14ac:dyDescent="0.35">
      <c r="A171" s="10"/>
      <c r="B171" s="10"/>
      <c r="C171" s="10"/>
      <c r="D171" s="10"/>
    </row>
    <row r="172" spans="1:4" ht="14.25" customHeight="1" x14ac:dyDescent="0.35">
      <c r="A172" s="10"/>
      <c r="B172" s="10"/>
      <c r="C172" s="10"/>
      <c r="D172" s="10"/>
    </row>
    <row r="173" spans="1:4" ht="14.25" customHeight="1" x14ac:dyDescent="0.35">
      <c r="A173" s="10"/>
      <c r="B173" s="10"/>
      <c r="C173" s="10"/>
      <c r="D173" s="10"/>
    </row>
    <row r="174" spans="1:4" ht="14.25" customHeight="1" x14ac:dyDescent="0.35">
      <c r="A174" s="10"/>
      <c r="B174" s="10"/>
      <c r="C174" s="10"/>
      <c r="D174" s="10"/>
    </row>
    <row r="175" spans="1:4" ht="14.25" customHeight="1" x14ac:dyDescent="0.35">
      <c r="A175" s="10"/>
      <c r="B175" s="10"/>
      <c r="C175" s="10"/>
      <c r="D175" s="10"/>
    </row>
    <row r="176" spans="1:4" ht="14.25" customHeight="1" x14ac:dyDescent="0.35">
      <c r="A176" s="10"/>
      <c r="B176" s="10"/>
      <c r="C176" s="10"/>
      <c r="D176" s="10"/>
    </row>
    <row r="177" spans="1:4" ht="14.25" customHeight="1" x14ac:dyDescent="0.35">
      <c r="A177" s="10"/>
      <c r="B177" s="10"/>
      <c r="C177" s="10"/>
      <c r="D177" s="10"/>
    </row>
    <row r="178" spans="1:4" ht="14.25" customHeight="1" x14ac:dyDescent="0.35">
      <c r="A178" s="10"/>
      <c r="B178" s="10"/>
      <c r="C178" s="10"/>
      <c r="D178" s="10"/>
    </row>
    <row r="179" spans="1:4" ht="14.25" customHeight="1" x14ac:dyDescent="0.35">
      <c r="A179" s="10"/>
      <c r="B179" s="10"/>
      <c r="C179" s="10"/>
      <c r="D179" s="10"/>
    </row>
    <row r="180" spans="1:4" ht="14.25" customHeight="1" x14ac:dyDescent="0.35">
      <c r="A180" s="10"/>
      <c r="B180" s="10"/>
      <c r="C180" s="10"/>
      <c r="D180" s="10"/>
    </row>
    <row r="181" spans="1:4" ht="14.25" customHeight="1" x14ac:dyDescent="0.35">
      <c r="A181" s="10"/>
      <c r="B181" s="10"/>
      <c r="C181" s="10"/>
      <c r="D181" s="10"/>
    </row>
    <row r="182" spans="1:4" ht="14.25" customHeight="1" x14ac:dyDescent="0.35">
      <c r="A182" s="10"/>
      <c r="B182" s="10"/>
      <c r="C182" s="10"/>
      <c r="D182" s="10"/>
    </row>
    <row r="183" spans="1:4" ht="14.25" customHeight="1" x14ac:dyDescent="0.35">
      <c r="A183" s="10"/>
      <c r="B183" s="10"/>
      <c r="C183" s="10"/>
      <c r="D183" s="10"/>
    </row>
    <row r="184" spans="1:4" ht="14.25" customHeight="1" x14ac:dyDescent="0.35">
      <c r="A184" s="10"/>
      <c r="B184" s="10"/>
      <c r="C184" s="10"/>
      <c r="D184" s="10"/>
    </row>
    <row r="185" spans="1:4" ht="14.25" customHeight="1" x14ac:dyDescent="0.35">
      <c r="A185" s="10"/>
      <c r="B185" s="10"/>
      <c r="C185" s="10"/>
      <c r="D185" s="10"/>
    </row>
    <row r="186" spans="1:4" ht="14.25" customHeight="1" x14ac:dyDescent="0.35">
      <c r="A186" s="10"/>
      <c r="B186" s="10"/>
      <c r="C186" s="10"/>
      <c r="D186" s="10"/>
    </row>
    <row r="187" spans="1:4" ht="14.25" customHeight="1" x14ac:dyDescent="0.35">
      <c r="A187" s="10"/>
      <c r="B187" s="10"/>
      <c r="C187" s="10"/>
      <c r="D187" s="10"/>
    </row>
    <row r="188" spans="1:4" ht="14.25" customHeight="1" x14ac:dyDescent="0.35">
      <c r="A188" s="10"/>
      <c r="B188" s="10"/>
      <c r="C188" s="10"/>
      <c r="D188" s="10"/>
    </row>
    <row r="189" spans="1:4" ht="14.25" customHeight="1" x14ac:dyDescent="0.35">
      <c r="A189" s="10"/>
      <c r="B189" s="10"/>
      <c r="C189" s="10"/>
      <c r="D189" s="10"/>
    </row>
    <row r="190" spans="1:4" ht="14.25" customHeight="1" x14ac:dyDescent="0.35">
      <c r="A190" s="10"/>
      <c r="B190" s="10"/>
      <c r="C190" s="10"/>
      <c r="D190" s="10"/>
    </row>
    <row r="191" spans="1:4" ht="14.25" customHeight="1" x14ac:dyDescent="0.35">
      <c r="A191" s="10"/>
      <c r="B191" s="10"/>
      <c r="C191" s="10"/>
      <c r="D191" s="10"/>
    </row>
    <row r="192" spans="1:4" ht="14.25" customHeight="1" x14ac:dyDescent="0.35">
      <c r="A192" s="10"/>
      <c r="B192" s="10"/>
      <c r="C192" s="10"/>
      <c r="D192" s="10"/>
    </row>
    <row r="193" spans="1:4" ht="14.25" customHeight="1" x14ac:dyDescent="0.35">
      <c r="A193" s="10"/>
      <c r="B193" s="10"/>
      <c r="C193" s="10"/>
      <c r="D193" s="10"/>
    </row>
    <row r="194" spans="1:4" ht="14.25" customHeight="1" x14ac:dyDescent="0.35">
      <c r="A194" s="10"/>
      <c r="B194" s="10"/>
      <c r="C194" s="10"/>
      <c r="D194" s="10"/>
    </row>
    <row r="195" spans="1:4" ht="14.25" customHeight="1" x14ac:dyDescent="0.35">
      <c r="A195" s="10"/>
      <c r="B195" s="10"/>
      <c r="C195" s="10"/>
      <c r="D195" s="10"/>
    </row>
    <row r="196" spans="1:4" ht="14.25" customHeight="1" x14ac:dyDescent="0.35">
      <c r="A196" s="10"/>
      <c r="B196" s="10"/>
      <c r="C196" s="10"/>
      <c r="D196" s="10"/>
    </row>
    <row r="197" spans="1:4" ht="14.25" customHeight="1" x14ac:dyDescent="0.35">
      <c r="A197" s="10"/>
      <c r="B197" s="10"/>
      <c r="C197" s="10"/>
      <c r="D197" s="10"/>
    </row>
    <row r="198" spans="1:4" ht="14.25" customHeight="1" x14ac:dyDescent="0.35">
      <c r="A198" s="10"/>
      <c r="B198" s="10"/>
      <c r="C198" s="10"/>
      <c r="D198" s="10"/>
    </row>
    <row r="199" spans="1:4" ht="14.25" customHeight="1" x14ac:dyDescent="0.35">
      <c r="A199" s="10"/>
      <c r="B199" s="10"/>
      <c r="C199" s="10"/>
      <c r="D199" s="10"/>
    </row>
    <row r="200" spans="1:4" ht="14.25" customHeight="1" x14ac:dyDescent="0.35">
      <c r="A200" s="10"/>
      <c r="B200" s="10"/>
      <c r="C200" s="10"/>
      <c r="D200" s="10"/>
    </row>
    <row r="201" spans="1:4" ht="14.25" customHeight="1" x14ac:dyDescent="0.35">
      <c r="A201" s="10"/>
      <c r="B201" s="10"/>
      <c r="C201" s="10"/>
      <c r="D201" s="10"/>
    </row>
    <row r="202" spans="1:4" ht="14.25" customHeight="1" x14ac:dyDescent="0.35">
      <c r="A202" s="10"/>
      <c r="B202" s="10"/>
      <c r="C202" s="10"/>
      <c r="D202" s="10"/>
    </row>
    <row r="203" spans="1:4" ht="14.25" customHeight="1" x14ac:dyDescent="0.35">
      <c r="A203" s="10"/>
      <c r="B203" s="10"/>
      <c r="C203" s="10"/>
      <c r="D203" s="10"/>
    </row>
    <row r="204" spans="1:4" ht="14.25" customHeight="1" x14ac:dyDescent="0.35">
      <c r="A204" s="10"/>
      <c r="B204" s="10"/>
      <c r="C204" s="10"/>
      <c r="D204" s="10"/>
    </row>
    <row r="205" spans="1:4" ht="14.25" customHeight="1" x14ac:dyDescent="0.35">
      <c r="A205" s="10"/>
      <c r="B205" s="10"/>
      <c r="C205" s="10"/>
      <c r="D205" s="10"/>
    </row>
    <row r="206" spans="1:4" ht="14.25" customHeight="1" x14ac:dyDescent="0.35">
      <c r="A206" s="10"/>
      <c r="B206" s="10"/>
      <c r="C206" s="10"/>
      <c r="D206" s="10"/>
    </row>
    <row r="207" spans="1:4" ht="14.25" customHeight="1" x14ac:dyDescent="0.35">
      <c r="A207" s="10"/>
      <c r="B207" s="10"/>
      <c r="C207" s="10"/>
      <c r="D207" s="10"/>
    </row>
    <row r="208" spans="1:4" ht="14.25" customHeight="1" x14ac:dyDescent="0.35">
      <c r="A208" s="10"/>
      <c r="B208" s="10"/>
      <c r="C208" s="10"/>
      <c r="D208" s="10"/>
    </row>
    <row r="209" spans="1:4" ht="14.25" customHeight="1" x14ac:dyDescent="0.35">
      <c r="A209" s="10"/>
      <c r="B209" s="10"/>
      <c r="C209" s="10"/>
      <c r="D209" s="10"/>
    </row>
    <row r="210" spans="1:4" ht="14.25" customHeight="1" x14ac:dyDescent="0.35">
      <c r="A210" s="10"/>
      <c r="B210" s="10"/>
      <c r="C210" s="10"/>
      <c r="D210" s="10"/>
    </row>
    <row r="211" spans="1:4" ht="14.25" customHeight="1" x14ac:dyDescent="0.35">
      <c r="A211" s="10"/>
      <c r="B211" s="10"/>
      <c r="C211" s="10"/>
      <c r="D211" s="10"/>
    </row>
    <row r="212" spans="1:4" ht="14.25" customHeight="1" x14ac:dyDescent="0.35">
      <c r="A212" s="10"/>
      <c r="B212" s="10"/>
      <c r="C212" s="10"/>
      <c r="D212" s="10"/>
    </row>
    <row r="213" spans="1:4" ht="14.25" customHeight="1" x14ac:dyDescent="0.35">
      <c r="A213" s="10"/>
      <c r="B213" s="10"/>
      <c r="C213" s="10"/>
      <c r="D213" s="10"/>
    </row>
    <row r="214" spans="1:4" ht="14.25" customHeight="1" x14ac:dyDescent="0.35">
      <c r="A214" s="10"/>
      <c r="B214" s="10"/>
      <c r="C214" s="10"/>
      <c r="D214" s="10"/>
    </row>
    <row r="215" spans="1:4" ht="14.25" customHeight="1" x14ac:dyDescent="0.35">
      <c r="A215" s="10"/>
      <c r="B215" s="10"/>
      <c r="C215" s="10"/>
      <c r="D215" s="10"/>
    </row>
    <row r="216" spans="1:4" ht="14.25" customHeight="1" x14ac:dyDescent="0.35">
      <c r="A216" s="10"/>
      <c r="B216" s="10"/>
      <c r="C216" s="10"/>
      <c r="D216" s="10"/>
    </row>
    <row r="217" spans="1:4" ht="14.25" customHeight="1" x14ac:dyDescent="0.35">
      <c r="A217" s="10"/>
      <c r="B217" s="10"/>
      <c r="C217" s="10"/>
      <c r="D217" s="10"/>
    </row>
    <row r="218" spans="1:4" ht="14.25" customHeight="1" x14ac:dyDescent="0.35">
      <c r="A218" s="10"/>
      <c r="B218" s="10"/>
      <c r="C218" s="10"/>
      <c r="D218" s="10"/>
    </row>
    <row r="219" spans="1:4" ht="14.25" customHeight="1" x14ac:dyDescent="0.35">
      <c r="A219" s="10"/>
      <c r="B219" s="10"/>
      <c r="C219" s="10"/>
      <c r="D219" s="10"/>
    </row>
    <row r="220" spans="1:4" ht="14.25" customHeight="1" x14ac:dyDescent="0.35">
      <c r="A220" s="10"/>
      <c r="B220" s="10"/>
      <c r="C220" s="10"/>
      <c r="D220" s="10"/>
    </row>
    <row r="221" spans="1:4" ht="14.25" customHeight="1" x14ac:dyDescent="0.35">
      <c r="A221" s="10"/>
      <c r="B221" s="10"/>
      <c r="C221" s="10"/>
      <c r="D221" s="10"/>
    </row>
    <row r="222" spans="1:4" ht="14.25" customHeight="1" x14ac:dyDescent="0.35">
      <c r="A222" s="10"/>
      <c r="B222" s="10"/>
      <c r="C222" s="10"/>
      <c r="D222" s="10"/>
    </row>
    <row r="223" spans="1:4" ht="14.25" customHeight="1" x14ac:dyDescent="0.35">
      <c r="A223" s="10"/>
      <c r="B223" s="10"/>
      <c r="C223" s="10"/>
      <c r="D223" s="10"/>
    </row>
    <row r="224" spans="1:4" ht="14.25" customHeight="1" x14ac:dyDescent="0.35">
      <c r="A224" s="10"/>
      <c r="B224" s="10"/>
      <c r="C224" s="10"/>
      <c r="D224" s="10"/>
    </row>
    <row r="225" spans="1:4" ht="14.25" customHeight="1" x14ac:dyDescent="0.35">
      <c r="A225" s="10"/>
      <c r="B225" s="10"/>
      <c r="C225" s="10"/>
      <c r="D225" s="10"/>
    </row>
    <row r="226" spans="1:4" ht="14.25" customHeight="1" x14ac:dyDescent="0.35">
      <c r="A226" s="10"/>
      <c r="B226" s="10"/>
      <c r="C226" s="10"/>
      <c r="D226" s="10"/>
    </row>
    <row r="227" spans="1:4" ht="14.25" customHeight="1" x14ac:dyDescent="0.35">
      <c r="A227" s="10"/>
      <c r="B227" s="10"/>
      <c r="C227" s="10"/>
      <c r="D227" s="10"/>
    </row>
    <row r="228" spans="1:4" ht="14.25" customHeight="1" x14ac:dyDescent="0.35">
      <c r="A228" s="10"/>
      <c r="B228" s="10"/>
      <c r="C228" s="10"/>
      <c r="D228" s="10"/>
    </row>
    <row r="229" spans="1:4" ht="14.25" customHeight="1" x14ac:dyDescent="0.35">
      <c r="A229" s="10"/>
      <c r="B229" s="10"/>
      <c r="C229" s="10"/>
      <c r="D229" s="10"/>
    </row>
    <row r="230" spans="1:4" ht="14.25" customHeight="1" x14ac:dyDescent="0.35">
      <c r="A230" s="10"/>
      <c r="B230" s="10"/>
      <c r="C230" s="10"/>
      <c r="D230" s="10"/>
    </row>
    <row r="231" spans="1:4" ht="14.25" customHeight="1" x14ac:dyDescent="0.35">
      <c r="A231" s="10"/>
      <c r="B231" s="10"/>
      <c r="C231" s="10"/>
      <c r="D231" s="10"/>
    </row>
    <row r="232" spans="1:4" ht="14.25" customHeight="1" x14ac:dyDescent="0.35">
      <c r="A232" s="10"/>
      <c r="B232" s="10"/>
      <c r="C232" s="10"/>
      <c r="D232" s="10"/>
    </row>
    <row r="233" spans="1:4" ht="14.25" customHeight="1" x14ac:dyDescent="0.35">
      <c r="A233" s="10"/>
      <c r="B233" s="10"/>
      <c r="C233" s="10"/>
      <c r="D233" s="10"/>
    </row>
    <row r="234" spans="1:4" ht="14.25" customHeight="1" x14ac:dyDescent="0.35">
      <c r="A234" s="10"/>
      <c r="B234" s="10"/>
      <c r="C234" s="10"/>
      <c r="D234" s="10"/>
    </row>
    <row r="235" spans="1:4" ht="14.25" customHeight="1" x14ac:dyDescent="0.35">
      <c r="A235" s="10"/>
      <c r="B235" s="10"/>
      <c r="C235" s="10"/>
      <c r="D235" s="10"/>
    </row>
    <row r="236" spans="1:4" ht="14.25" customHeight="1" x14ac:dyDescent="0.35">
      <c r="A236" s="10"/>
      <c r="B236" s="10"/>
      <c r="C236" s="10"/>
      <c r="D236" s="10"/>
    </row>
    <row r="237" spans="1:4" ht="14.25" customHeight="1" x14ac:dyDescent="0.35">
      <c r="A237" s="10"/>
      <c r="B237" s="10"/>
      <c r="C237" s="10"/>
      <c r="D237" s="10"/>
    </row>
    <row r="238" spans="1:4" ht="14.25" customHeight="1" x14ac:dyDescent="0.35">
      <c r="A238" s="10"/>
      <c r="B238" s="10"/>
      <c r="C238" s="10"/>
      <c r="D238" s="10"/>
    </row>
    <row r="239" spans="1:4" ht="14.25" customHeight="1" x14ac:dyDescent="0.35">
      <c r="A239" s="10"/>
      <c r="B239" s="10"/>
      <c r="C239" s="10"/>
      <c r="D239" s="10"/>
    </row>
    <row r="240" spans="1:4" ht="14.25" customHeight="1" x14ac:dyDescent="0.35">
      <c r="A240" s="10"/>
      <c r="B240" s="10"/>
      <c r="C240" s="10"/>
      <c r="D240" s="10"/>
    </row>
    <row r="241" spans="1:4" ht="14.25" customHeight="1" x14ac:dyDescent="0.35">
      <c r="A241" s="10"/>
      <c r="B241" s="10"/>
      <c r="C241" s="10"/>
      <c r="D241" s="10"/>
    </row>
    <row r="242" spans="1:4" ht="14.25" customHeight="1" x14ac:dyDescent="0.35">
      <c r="A242" s="10"/>
      <c r="B242" s="10"/>
      <c r="C242" s="10"/>
      <c r="D242" s="10"/>
    </row>
    <row r="243" spans="1:4" ht="14.25" customHeight="1" x14ac:dyDescent="0.35">
      <c r="A243" s="10"/>
      <c r="B243" s="10"/>
      <c r="C243" s="10"/>
      <c r="D243" s="10"/>
    </row>
    <row r="244" spans="1:4" ht="14.25" customHeight="1" x14ac:dyDescent="0.35">
      <c r="A244" s="10"/>
      <c r="B244" s="10"/>
      <c r="C244" s="10"/>
      <c r="D244" s="10"/>
    </row>
    <row r="245" spans="1:4" ht="14.25" customHeight="1" x14ac:dyDescent="0.35">
      <c r="A245" s="10"/>
      <c r="B245" s="10"/>
      <c r="C245" s="10"/>
      <c r="D245" s="10"/>
    </row>
    <row r="246" spans="1:4" ht="14.25" customHeight="1" x14ac:dyDescent="0.35">
      <c r="A246" s="10"/>
      <c r="B246" s="10"/>
      <c r="C246" s="10"/>
      <c r="D246" s="10"/>
    </row>
    <row r="247" spans="1:4" ht="14.25" customHeight="1" x14ac:dyDescent="0.35">
      <c r="A247" s="10"/>
      <c r="B247" s="10"/>
      <c r="C247" s="10"/>
      <c r="D247" s="10"/>
    </row>
    <row r="248" spans="1:4" ht="14.25" customHeight="1" x14ac:dyDescent="0.35">
      <c r="A248" s="10"/>
      <c r="B248" s="10"/>
      <c r="C248" s="10"/>
      <c r="D248" s="10"/>
    </row>
    <row r="249" spans="1:4" ht="14.25" customHeight="1" x14ac:dyDescent="0.35">
      <c r="A249" s="10"/>
      <c r="B249" s="10"/>
      <c r="C249" s="10"/>
      <c r="D249" s="10"/>
    </row>
    <row r="250" spans="1:4" ht="14.25" customHeight="1" x14ac:dyDescent="0.35">
      <c r="A250" s="10"/>
      <c r="B250" s="10"/>
      <c r="C250" s="10"/>
      <c r="D250" s="10"/>
    </row>
    <row r="251" spans="1:4" ht="14.25" customHeight="1" x14ac:dyDescent="0.35">
      <c r="A251" s="10"/>
      <c r="B251" s="10"/>
      <c r="C251" s="10"/>
      <c r="D251" s="10"/>
    </row>
    <row r="252" spans="1:4" ht="14.25" customHeight="1" x14ac:dyDescent="0.35">
      <c r="A252" s="10"/>
      <c r="B252" s="10"/>
      <c r="C252" s="10"/>
      <c r="D252" s="10"/>
    </row>
    <row r="253" spans="1:4" ht="14.25" customHeight="1" x14ac:dyDescent="0.35">
      <c r="A253" s="10"/>
      <c r="B253" s="10"/>
      <c r="C253" s="10"/>
      <c r="D253" s="10"/>
    </row>
    <row r="254" spans="1:4" ht="14.25" customHeight="1" x14ac:dyDescent="0.35">
      <c r="A254" s="10"/>
      <c r="B254" s="10"/>
      <c r="C254" s="10"/>
      <c r="D254" s="10"/>
    </row>
    <row r="255" spans="1:4" ht="14.25" customHeight="1" x14ac:dyDescent="0.35">
      <c r="A255" s="10"/>
      <c r="B255" s="10"/>
      <c r="C255" s="10"/>
      <c r="D255" s="10"/>
    </row>
    <row r="256" spans="1:4" ht="14.25" customHeight="1" x14ac:dyDescent="0.35">
      <c r="A256" s="10"/>
      <c r="B256" s="10"/>
      <c r="C256" s="10"/>
      <c r="D256" s="10"/>
    </row>
    <row r="257" spans="1:4" ht="14.25" customHeight="1" x14ac:dyDescent="0.35">
      <c r="A257" s="10"/>
      <c r="B257" s="10"/>
      <c r="C257" s="10"/>
      <c r="D257" s="10"/>
    </row>
    <row r="258" spans="1:4" ht="14.25" customHeight="1" x14ac:dyDescent="0.35">
      <c r="A258" s="10"/>
      <c r="B258" s="10"/>
      <c r="C258" s="10"/>
      <c r="D258" s="10"/>
    </row>
    <row r="259" spans="1:4" ht="14.25" customHeight="1" x14ac:dyDescent="0.35">
      <c r="A259" s="10"/>
      <c r="B259" s="10"/>
      <c r="C259" s="10"/>
      <c r="D259" s="10"/>
    </row>
    <row r="260" spans="1:4" ht="14.25" customHeight="1" x14ac:dyDescent="0.35">
      <c r="A260" s="10"/>
      <c r="B260" s="10"/>
      <c r="C260" s="10"/>
      <c r="D260" s="10"/>
    </row>
    <row r="261" spans="1:4" ht="14.25" customHeight="1" x14ac:dyDescent="0.35">
      <c r="A261" s="10"/>
      <c r="B261" s="10"/>
      <c r="C261" s="10"/>
      <c r="D261" s="10"/>
    </row>
    <row r="262" spans="1:4" ht="14.25" customHeight="1" x14ac:dyDescent="0.35">
      <c r="A262" s="10"/>
      <c r="B262" s="10"/>
      <c r="C262" s="10"/>
      <c r="D262" s="10"/>
    </row>
    <row r="263" spans="1:4" ht="14.25" customHeight="1" x14ac:dyDescent="0.35">
      <c r="A263" s="10"/>
      <c r="B263" s="10"/>
      <c r="C263" s="10"/>
      <c r="D263" s="10"/>
    </row>
    <row r="264" spans="1:4" ht="14.25" customHeight="1" x14ac:dyDescent="0.35">
      <c r="A264" s="10"/>
      <c r="B264" s="10"/>
      <c r="C264" s="10"/>
      <c r="D264" s="10"/>
    </row>
    <row r="265" spans="1:4" ht="14.25" customHeight="1" x14ac:dyDescent="0.35">
      <c r="A265" s="10"/>
      <c r="B265" s="10"/>
      <c r="C265" s="10"/>
      <c r="D265" s="10"/>
    </row>
    <row r="266" spans="1:4" ht="14.25" customHeight="1" x14ac:dyDescent="0.35">
      <c r="A266" s="10"/>
      <c r="B266" s="10"/>
      <c r="C266" s="10"/>
      <c r="D266" s="10"/>
    </row>
    <row r="267" spans="1:4" ht="14.25" customHeight="1" x14ac:dyDescent="0.35">
      <c r="A267" s="10"/>
      <c r="B267" s="10"/>
      <c r="C267" s="10"/>
      <c r="D267" s="10"/>
    </row>
    <row r="268" spans="1:4" ht="14.25" customHeight="1" x14ac:dyDescent="0.35">
      <c r="A268" s="10"/>
      <c r="B268" s="10"/>
      <c r="C268" s="10"/>
      <c r="D268" s="10"/>
    </row>
    <row r="269" spans="1:4" ht="14.25" customHeight="1" x14ac:dyDescent="0.35">
      <c r="A269" s="10"/>
      <c r="B269" s="10"/>
      <c r="C269" s="10"/>
      <c r="D269" s="10"/>
    </row>
    <row r="270" spans="1:4" ht="14.25" customHeight="1" x14ac:dyDescent="0.35">
      <c r="A270" s="10"/>
      <c r="B270" s="10"/>
      <c r="C270" s="10"/>
      <c r="D270" s="10"/>
    </row>
    <row r="271" spans="1:4" ht="14.25" customHeight="1" x14ac:dyDescent="0.35">
      <c r="A271" s="10"/>
      <c r="B271" s="10"/>
      <c r="C271" s="10"/>
      <c r="D271" s="10"/>
    </row>
    <row r="272" spans="1:4" ht="14.25" customHeight="1" x14ac:dyDescent="0.35">
      <c r="A272" s="10"/>
      <c r="B272" s="10"/>
      <c r="C272" s="10"/>
      <c r="D272" s="10"/>
    </row>
    <row r="273" spans="1:4" ht="14.25" customHeight="1" x14ac:dyDescent="0.35">
      <c r="A273" s="10"/>
      <c r="B273" s="10"/>
      <c r="C273" s="10"/>
      <c r="D273" s="10"/>
    </row>
    <row r="274" spans="1:4" ht="14.25" customHeight="1" x14ac:dyDescent="0.35">
      <c r="A274" s="10"/>
      <c r="B274" s="10"/>
      <c r="C274" s="10"/>
      <c r="D274" s="10"/>
    </row>
    <row r="275" spans="1:4" ht="14.25" customHeight="1" x14ac:dyDescent="0.35">
      <c r="A275" s="10"/>
      <c r="B275" s="10"/>
      <c r="C275" s="10"/>
      <c r="D275" s="10"/>
    </row>
    <row r="276" spans="1:4" ht="14.25" customHeight="1" x14ac:dyDescent="0.35">
      <c r="A276" s="10"/>
      <c r="B276" s="10"/>
      <c r="C276" s="10"/>
      <c r="D276" s="10"/>
    </row>
    <row r="277" spans="1:4" ht="14.25" customHeight="1" x14ac:dyDescent="0.35">
      <c r="A277" s="10"/>
      <c r="B277" s="10"/>
      <c r="C277" s="10"/>
      <c r="D277" s="10"/>
    </row>
    <row r="278" spans="1:4" ht="14.25" customHeight="1" x14ac:dyDescent="0.35">
      <c r="A278" s="10"/>
      <c r="B278" s="10"/>
      <c r="C278" s="10"/>
      <c r="D278" s="10"/>
    </row>
    <row r="279" spans="1:4" ht="14.25" customHeight="1" x14ac:dyDescent="0.35">
      <c r="A279" s="10"/>
      <c r="B279" s="10"/>
      <c r="C279" s="10"/>
      <c r="D279" s="10"/>
    </row>
    <row r="280" spans="1:4" ht="14.25" customHeight="1" x14ac:dyDescent="0.35">
      <c r="A280" s="10"/>
      <c r="B280" s="10"/>
      <c r="C280" s="10"/>
      <c r="D280" s="10"/>
    </row>
    <row r="281" spans="1:4" ht="14.25" customHeight="1" x14ac:dyDescent="0.35">
      <c r="A281" s="10"/>
      <c r="B281" s="10"/>
      <c r="C281" s="10"/>
      <c r="D281" s="10"/>
    </row>
    <row r="282" spans="1:4" ht="14.25" customHeight="1" x14ac:dyDescent="0.35">
      <c r="A282" s="10"/>
      <c r="B282" s="10"/>
      <c r="C282" s="10"/>
      <c r="D282" s="10"/>
    </row>
    <row r="283" spans="1:4" ht="14.25" customHeight="1" x14ac:dyDescent="0.35">
      <c r="A283" s="10"/>
      <c r="B283" s="10"/>
      <c r="C283" s="10"/>
      <c r="D283" s="10"/>
    </row>
    <row r="284" spans="1:4" ht="14.25" customHeight="1" x14ac:dyDescent="0.35">
      <c r="A284" s="10"/>
      <c r="B284" s="10"/>
      <c r="C284" s="10"/>
      <c r="D284" s="10"/>
    </row>
    <row r="285" spans="1:4" ht="14.25" customHeight="1" x14ac:dyDescent="0.35">
      <c r="A285" s="10"/>
      <c r="B285" s="10"/>
      <c r="C285" s="10"/>
      <c r="D285" s="10"/>
    </row>
    <row r="286" spans="1:4" ht="14.25" customHeight="1" x14ac:dyDescent="0.35">
      <c r="A286" s="10"/>
      <c r="B286" s="10"/>
      <c r="C286" s="10"/>
      <c r="D286" s="10"/>
    </row>
    <row r="287" spans="1:4" ht="14.25" customHeight="1" x14ac:dyDescent="0.35">
      <c r="A287" s="10"/>
      <c r="B287" s="10"/>
      <c r="C287" s="10"/>
      <c r="D287" s="10"/>
    </row>
    <row r="288" spans="1:4" ht="14.25" customHeight="1" x14ac:dyDescent="0.35">
      <c r="A288" s="10"/>
      <c r="B288" s="10"/>
      <c r="C288" s="10"/>
      <c r="D288" s="10"/>
    </row>
    <row r="289" spans="1:4" ht="14.25" customHeight="1" x14ac:dyDescent="0.35">
      <c r="A289" s="10"/>
      <c r="B289" s="10"/>
      <c r="C289" s="10"/>
      <c r="D289" s="10"/>
    </row>
    <row r="290" spans="1:4" ht="14.25" customHeight="1" x14ac:dyDescent="0.35">
      <c r="A290" s="10"/>
      <c r="B290" s="10"/>
      <c r="C290" s="10"/>
      <c r="D290" s="10"/>
    </row>
    <row r="291" spans="1:4" ht="14.25" customHeight="1" x14ac:dyDescent="0.35">
      <c r="A291" s="10"/>
      <c r="B291" s="10"/>
      <c r="C291" s="10"/>
      <c r="D291" s="10"/>
    </row>
    <row r="292" spans="1:4" ht="14.25" customHeight="1" x14ac:dyDescent="0.35">
      <c r="A292" s="10"/>
      <c r="B292" s="10"/>
      <c r="C292" s="10"/>
      <c r="D292" s="10"/>
    </row>
    <row r="293" spans="1:4" ht="14.25" customHeight="1" x14ac:dyDescent="0.35">
      <c r="A293" s="10"/>
      <c r="B293" s="10"/>
      <c r="C293" s="10"/>
      <c r="D293" s="10"/>
    </row>
    <row r="294" spans="1:4" ht="14.25" customHeight="1" x14ac:dyDescent="0.35">
      <c r="A294" s="10"/>
      <c r="B294" s="10"/>
      <c r="C294" s="10"/>
      <c r="D294" s="10"/>
    </row>
    <row r="295" spans="1:4" ht="14.25" customHeight="1" x14ac:dyDescent="0.35">
      <c r="A295" s="10"/>
      <c r="B295" s="10"/>
      <c r="C295" s="10"/>
      <c r="D295" s="10"/>
    </row>
    <row r="296" spans="1:4" ht="14.25" customHeight="1" x14ac:dyDescent="0.35">
      <c r="A296" s="10"/>
      <c r="B296" s="10"/>
      <c r="C296" s="10"/>
      <c r="D296" s="10"/>
    </row>
    <row r="297" spans="1:4" ht="14.25" customHeight="1" x14ac:dyDescent="0.35">
      <c r="A297" s="10"/>
      <c r="B297" s="10"/>
      <c r="C297" s="10"/>
      <c r="D297" s="10"/>
    </row>
    <row r="298" spans="1:4" ht="14.25" customHeight="1" x14ac:dyDescent="0.35">
      <c r="A298" s="10"/>
      <c r="B298" s="10"/>
      <c r="C298" s="10"/>
      <c r="D298" s="10"/>
    </row>
    <row r="299" spans="1:4" ht="14.25" customHeight="1" x14ac:dyDescent="0.35">
      <c r="A299" s="10"/>
      <c r="B299" s="10"/>
      <c r="C299" s="10"/>
      <c r="D299" s="10"/>
    </row>
    <row r="300" spans="1:4" ht="14.25" customHeight="1" x14ac:dyDescent="0.35">
      <c r="A300" s="10"/>
      <c r="B300" s="10"/>
      <c r="C300" s="10"/>
      <c r="D300" s="10"/>
    </row>
    <row r="301" spans="1:4" ht="14.25" customHeight="1" x14ac:dyDescent="0.35">
      <c r="A301" s="10"/>
      <c r="B301" s="10"/>
      <c r="C301" s="10"/>
      <c r="D301" s="10"/>
    </row>
    <row r="302" spans="1:4" ht="14.25" customHeight="1" x14ac:dyDescent="0.35">
      <c r="A302" s="10"/>
      <c r="B302" s="10"/>
      <c r="C302" s="10"/>
      <c r="D302" s="10"/>
    </row>
    <row r="303" spans="1:4" ht="14.25" customHeight="1" x14ac:dyDescent="0.35">
      <c r="A303" s="10"/>
      <c r="B303" s="10"/>
      <c r="C303" s="10"/>
      <c r="D303" s="10"/>
    </row>
    <row r="304" spans="1:4" ht="14.25" customHeight="1" x14ac:dyDescent="0.35">
      <c r="A304" s="10"/>
      <c r="B304" s="10"/>
      <c r="C304" s="10"/>
      <c r="D304" s="10"/>
    </row>
    <row r="305" spans="1:4" ht="14.25" customHeight="1" x14ac:dyDescent="0.35">
      <c r="A305" s="10"/>
      <c r="B305" s="10"/>
      <c r="C305" s="10"/>
      <c r="D305" s="10"/>
    </row>
    <row r="306" spans="1:4" ht="14.25" customHeight="1" x14ac:dyDescent="0.35">
      <c r="A306" s="10"/>
      <c r="B306" s="10"/>
      <c r="C306" s="10"/>
      <c r="D306" s="10"/>
    </row>
    <row r="307" spans="1:4" ht="14.25" customHeight="1" x14ac:dyDescent="0.35">
      <c r="A307" s="10"/>
      <c r="B307" s="10"/>
      <c r="C307" s="10"/>
      <c r="D307" s="10"/>
    </row>
    <row r="308" spans="1:4" ht="14.25" customHeight="1" x14ac:dyDescent="0.35">
      <c r="A308" s="10"/>
      <c r="B308" s="10"/>
      <c r="C308" s="10"/>
      <c r="D308" s="10"/>
    </row>
    <row r="309" spans="1:4" ht="14.25" customHeight="1" x14ac:dyDescent="0.35">
      <c r="A309" s="10"/>
      <c r="B309" s="10"/>
      <c r="C309" s="10"/>
      <c r="D309" s="10"/>
    </row>
    <row r="310" spans="1:4" ht="14.25" customHeight="1" x14ac:dyDescent="0.35">
      <c r="A310" s="10"/>
      <c r="B310" s="10"/>
      <c r="C310" s="10"/>
      <c r="D310" s="10"/>
    </row>
    <row r="311" spans="1:4" ht="14.25" customHeight="1" x14ac:dyDescent="0.35">
      <c r="A311" s="10"/>
      <c r="B311" s="10"/>
      <c r="C311" s="10"/>
      <c r="D311" s="10"/>
    </row>
    <row r="312" spans="1:4" ht="14.25" customHeight="1" x14ac:dyDescent="0.35">
      <c r="A312" s="10"/>
      <c r="B312" s="10"/>
      <c r="C312" s="10"/>
      <c r="D312" s="10"/>
    </row>
    <row r="313" spans="1:4" ht="14.25" customHeight="1" x14ac:dyDescent="0.35">
      <c r="A313" s="10"/>
      <c r="B313" s="10"/>
      <c r="C313" s="10"/>
      <c r="D313" s="10"/>
    </row>
    <row r="314" spans="1:4" ht="14.25" customHeight="1" x14ac:dyDescent="0.35">
      <c r="A314" s="10"/>
      <c r="B314" s="10"/>
      <c r="C314" s="10"/>
      <c r="D314" s="10"/>
    </row>
    <row r="315" spans="1:4" ht="14.25" customHeight="1" x14ac:dyDescent="0.35">
      <c r="A315" s="10"/>
      <c r="B315" s="10"/>
      <c r="C315" s="10"/>
      <c r="D315" s="10"/>
    </row>
    <row r="316" spans="1:4" ht="14.25" customHeight="1" x14ac:dyDescent="0.35">
      <c r="A316" s="10"/>
      <c r="B316" s="10"/>
      <c r="C316" s="10"/>
      <c r="D316" s="10"/>
    </row>
    <row r="317" spans="1:4" ht="14.25" customHeight="1" x14ac:dyDescent="0.35">
      <c r="A317" s="10"/>
      <c r="B317" s="10"/>
      <c r="C317" s="10"/>
      <c r="D317" s="10"/>
    </row>
    <row r="318" spans="1:4" ht="14.25" customHeight="1" x14ac:dyDescent="0.35">
      <c r="A318" s="10"/>
      <c r="B318" s="10"/>
      <c r="C318" s="10"/>
      <c r="D318" s="10"/>
    </row>
    <row r="319" spans="1:4" ht="14.25" customHeight="1" x14ac:dyDescent="0.35">
      <c r="A319" s="10"/>
      <c r="B319" s="10"/>
      <c r="C319" s="10"/>
      <c r="D319" s="10"/>
    </row>
    <row r="320" spans="1:4" ht="14.25" customHeight="1" x14ac:dyDescent="0.35">
      <c r="A320" s="10"/>
      <c r="B320" s="10"/>
      <c r="C320" s="10"/>
      <c r="D320" s="10"/>
    </row>
    <row r="321" spans="1:4" ht="14.25" customHeight="1" x14ac:dyDescent="0.35">
      <c r="A321" s="10"/>
      <c r="B321" s="10"/>
      <c r="C321" s="10"/>
      <c r="D321" s="10"/>
    </row>
    <row r="322" spans="1:4" ht="14.25" customHeight="1" x14ac:dyDescent="0.35">
      <c r="A322" s="10"/>
      <c r="B322" s="10"/>
      <c r="C322" s="10"/>
      <c r="D322" s="10"/>
    </row>
    <row r="323" spans="1:4" ht="14.25" customHeight="1" x14ac:dyDescent="0.35">
      <c r="A323" s="10"/>
      <c r="B323" s="10"/>
      <c r="C323" s="10"/>
      <c r="D323" s="10"/>
    </row>
    <row r="324" spans="1:4" ht="14.25" customHeight="1" x14ac:dyDescent="0.35">
      <c r="A324" s="10"/>
      <c r="B324" s="10"/>
      <c r="C324" s="10"/>
      <c r="D324" s="10"/>
    </row>
    <row r="325" spans="1:4" ht="14.25" customHeight="1" x14ac:dyDescent="0.35">
      <c r="A325" s="10"/>
      <c r="B325" s="10"/>
      <c r="C325" s="10"/>
      <c r="D325" s="10"/>
    </row>
    <row r="326" spans="1:4" ht="14.25" customHeight="1" x14ac:dyDescent="0.35">
      <c r="A326" s="10"/>
      <c r="B326" s="10"/>
      <c r="C326" s="10"/>
      <c r="D326" s="10"/>
    </row>
    <row r="327" spans="1:4" ht="14.25" customHeight="1" x14ac:dyDescent="0.35">
      <c r="A327" s="10"/>
      <c r="B327" s="10"/>
      <c r="C327" s="10"/>
      <c r="D327" s="10"/>
    </row>
    <row r="328" spans="1:4" ht="14.25" customHeight="1" x14ac:dyDescent="0.35">
      <c r="A328" s="10"/>
      <c r="B328" s="10"/>
      <c r="C328" s="10"/>
      <c r="D328" s="10"/>
    </row>
    <row r="329" spans="1:4" ht="14.25" customHeight="1" x14ac:dyDescent="0.35">
      <c r="A329" s="10"/>
      <c r="B329" s="10"/>
      <c r="C329" s="10"/>
      <c r="D329" s="10"/>
    </row>
    <row r="330" spans="1:4" ht="14.25" customHeight="1" x14ac:dyDescent="0.35">
      <c r="A330" s="10"/>
      <c r="B330" s="10"/>
      <c r="C330" s="10"/>
      <c r="D330" s="10"/>
    </row>
    <row r="331" spans="1:4" ht="14.25" customHeight="1" x14ac:dyDescent="0.35">
      <c r="A331" s="10"/>
      <c r="B331" s="10"/>
      <c r="C331" s="10"/>
      <c r="D331" s="10"/>
    </row>
    <row r="332" spans="1:4" ht="14.25" customHeight="1" x14ac:dyDescent="0.35">
      <c r="A332" s="10"/>
      <c r="B332" s="10"/>
      <c r="C332" s="10"/>
      <c r="D332" s="10"/>
    </row>
    <row r="333" spans="1:4" ht="14.25" customHeight="1" x14ac:dyDescent="0.35">
      <c r="A333" s="10"/>
      <c r="B333" s="10"/>
      <c r="C333" s="10"/>
      <c r="D333" s="10"/>
    </row>
    <row r="334" spans="1:4" ht="14.25" customHeight="1" x14ac:dyDescent="0.35">
      <c r="A334" s="10"/>
      <c r="B334" s="10"/>
      <c r="C334" s="10"/>
      <c r="D334" s="10"/>
    </row>
    <row r="335" spans="1:4" ht="14.25" customHeight="1" x14ac:dyDescent="0.35">
      <c r="A335" s="10"/>
      <c r="B335" s="10"/>
      <c r="C335" s="10"/>
      <c r="D335" s="10"/>
    </row>
    <row r="336" spans="1:4" ht="14.25" customHeight="1" x14ac:dyDescent="0.35">
      <c r="A336" s="10"/>
      <c r="B336" s="10"/>
      <c r="C336" s="10"/>
      <c r="D336" s="10"/>
    </row>
    <row r="337" spans="1:4" ht="14.25" customHeight="1" x14ac:dyDescent="0.35">
      <c r="A337" s="10"/>
      <c r="B337" s="10"/>
      <c r="C337" s="10"/>
      <c r="D337" s="10"/>
    </row>
    <row r="338" spans="1:4" ht="14.25" customHeight="1" x14ac:dyDescent="0.35">
      <c r="A338" s="10"/>
      <c r="B338" s="10"/>
      <c r="C338" s="10"/>
      <c r="D338" s="10"/>
    </row>
    <row r="339" spans="1:4" ht="14.25" customHeight="1" x14ac:dyDescent="0.35">
      <c r="A339" s="10"/>
      <c r="B339" s="10"/>
      <c r="C339" s="10"/>
      <c r="D339" s="10"/>
    </row>
    <row r="340" spans="1:4" ht="14.25" customHeight="1" x14ac:dyDescent="0.35">
      <c r="A340" s="10"/>
      <c r="B340" s="10"/>
      <c r="C340" s="10"/>
      <c r="D340" s="10"/>
    </row>
    <row r="341" spans="1:4" ht="14.25" customHeight="1" x14ac:dyDescent="0.35">
      <c r="A341" s="10"/>
      <c r="B341" s="10"/>
      <c r="C341" s="10"/>
      <c r="D341" s="10"/>
    </row>
    <row r="342" spans="1:4" ht="14.25" customHeight="1" x14ac:dyDescent="0.35">
      <c r="A342" s="10"/>
      <c r="B342" s="10"/>
      <c r="C342" s="10"/>
      <c r="D342" s="10"/>
    </row>
    <row r="343" spans="1:4" ht="14.25" customHeight="1" x14ac:dyDescent="0.35">
      <c r="A343" s="10"/>
      <c r="B343" s="10"/>
      <c r="C343" s="10"/>
      <c r="D343" s="10"/>
    </row>
    <row r="344" spans="1:4" ht="14.25" customHeight="1" x14ac:dyDescent="0.35">
      <c r="A344" s="10"/>
      <c r="B344" s="10"/>
      <c r="C344" s="10"/>
      <c r="D344" s="10"/>
    </row>
    <row r="345" spans="1:4" ht="14.25" customHeight="1" x14ac:dyDescent="0.35">
      <c r="A345" s="10"/>
      <c r="B345" s="10"/>
      <c r="C345" s="10"/>
      <c r="D345" s="10"/>
    </row>
    <row r="346" spans="1:4" ht="14.25" customHeight="1" x14ac:dyDescent="0.35">
      <c r="A346" s="10"/>
      <c r="B346" s="10"/>
      <c r="C346" s="10"/>
      <c r="D346" s="10"/>
    </row>
    <row r="347" spans="1:4" ht="14.25" customHeight="1" x14ac:dyDescent="0.35">
      <c r="A347" s="10"/>
      <c r="B347" s="10"/>
      <c r="C347" s="10"/>
      <c r="D347" s="10"/>
    </row>
    <row r="348" spans="1:4" ht="14.25" customHeight="1" x14ac:dyDescent="0.35">
      <c r="A348" s="10"/>
      <c r="B348" s="10"/>
      <c r="C348" s="10"/>
      <c r="D348" s="10"/>
    </row>
    <row r="349" spans="1:4" ht="14.25" customHeight="1" x14ac:dyDescent="0.35">
      <c r="A349" s="10"/>
      <c r="B349" s="10"/>
      <c r="C349" s="10"/>
      <c r="D349" s="10"/>
    </row>
    <row r="350" spans="1:4" ht="14.25" customHeight="1" x14ac:dyDescent="0.35">
      <c r="A350" s="10"/>
      <c r="B350" s="10"/>
      <c r="C350" s="10"/>
      <c r="D350" s="10"/>
    </row>
    <row r="351" spans="1:4" ht="14.25" customHeight="1" x14ac:dyDescent="0.35">
      <c r="A351" s="10"/>
      <c r="B351" s="10"/>
      <c r="C351" s="10"/>
      <c r="D351" s="10"/>
    </row>
    <row r="352" spans="1:4" ht="14.25" customHeight="1" x14ac:dyDescent="0.35">
      <c r="A352" s="10"/>
      <c r="B352" s="10"/>
      <c r="C352" s="10"/>
      <c r="D352" s="10"/>
    </row>
    <row r="353" spans="1:4" ht="14.25" customHeight="1" x14ac:dyDescent="0.35">
      <c r="A353" s="10"/>
      <c r="B353" s="10"/>
      <c r="C353" s="10"/>
      <c r="D353" s="10"/>
    </row>
    <row r="354" spans="1:4" ht="14.25" customHeight="1" x14ac:dyDescent="0.35">
      <c r="A354" s="10"/>
      <c r="B354" s="10"/>
      <c r="C354" s="10"/>
      <c r="D354" s="10"/>
    </row>
    <row r="355" spans="1:4" ht="14.25" customHeight="1" x14ac:dyDescent="0.35">
      <c r="A355" s="10"/>
      <c r="B355" s="10"/>
      <c r="C355" s="10"/>
      <c r="D355" s="10"/>
    </row>
    <row r="356" spans="1:4" ht="14.25" customHeight="1" x14ac:dyDescent="0.35">
      <c r="A356" s="10"/>
      <c r="B356" s="10"/>
      <c r="C356" s="10"/>
      <c r="D356" s="10"/>
    </row>
    <row r="357" spans="1:4" ht="14.25" customHeight="1" x14ac:dyDescent="0.35">
      <c r="A357" s="10"/>
      <c r="B357" s="10"/>
      <c r="C357" s="10"/>
      <c r="D357" s="10"/>
    </row>
    <row r="358" spans="1:4" ht="14.25" customHeight="1" x14ac:dyDescent="0.35">
      <c r="A358" s="10"/>
      <c r="B358" s="10"/>
      <c r="C358" s="10"/>
      <c r="D358" s="10"/>
    </row>
    <row r="359" spans="1:4" ht="14.25" customHeight="1" x14ac:dyDescent="0.35">
      <c r="A359" s="10"/>
      <c r="B359" s="10"/>
      <c r="C359" s="10"/>
      <c r="D359" s="10"/>
    </row>
    <row r="360" spans="1:4" ht="14.25" customHeight="1" x14ac:dyDescent="0.35">
      <c r="A360" s="10"/>
      <c r="B360" s="10"/>
      <c r="C360" s="10"/>
      <c r="D360" s="10"/>
    </row>
    <row r="361" spans="1:4" ht="14.25" customHeight="1" x14ac:dyDescent="0.35">
      <c r="A361" s="10"/>
      <c r="B361" s="10"/>
      <c r="C361" s="10"/>
      <c r="D361" s="10"/>
    </row>
    <row r="362" spans="1:4" ht="14.25" customHeight="1" x14ac:dyDescent="0.35">
      <c r="A362" s="10"/>
      <c r="B362" s="10"/>
      <c r="C362" s="10"/>
      <c r="D362" s="10"/>
    </row>
    <row r="363" spans="1:4" ht="14.25" customHeight="1" x14ac:dyDescent="0.35">
      <c r="A363" s="10"/>
      <c r="B363" s="10"/>
      <c r="C363" s="10"/>
      <c r="D363" s="10"/>
    </row>
    <row r="364" spans="1:4" ht="14.25" customHeight="1" x14ac:dyDescent="0.35">
      <c r="A364" s="10"/>
      <c r="B364" s="10"/>
      <c r="C364" s="10"/>
      <c r="D364" s="10"/>
    </row>
    <row r="365" spans="1:4" ht="14.25" customHeight="1" x14ac:dyDescent="0.35">
      <c r="A365" s="10"/>
      <c r="B365" s="10"/>
      <c r="C365" s="10"/>
      <c r="D365" s="10"/>
    </row>
    <row r="366" spans="1:4" ht="14.25" customHeight="1" x14ac:dyDescent="0.35">
      <c r="A366" s="10"/>
      <c r="B366" s="10"/>
      <c r="C366" s="10"/>
      <c r="D366" s="10"/>
    </row>
    <row r="367" spans="1:4" ht="14.25" customHeight="1" x14ac:dyDescent="0.35">
      <c r="A367" s="10"/>
      <c r="B367" s="10"/>
      <c r="C367" s="10"/>
      <c r="D367" s="10"/>
    </row>
    <row r="368" spans="1:4" ht="14.25" customHeight="1" x14ac:dyDescent="0.35">
      <c r="A368" s="10"/>
      <c r="B368" s="10"/>
      <c r="C368" s="10"/>
      <c r="D368" s="10"/>
    </row>
    <row r="369" spans="1:4" ht="14.25" customHeight="1" x14ac:dyDescent="0.35">
      <c r="A369" s="10"/>
      <c r="B369" s="10"/>
      <c r="C369" s="10"/>
      <c r="D369" s="10"/>
    </row>
    <row r="370" spans="1:4" ht="14.25" customHeight="1" x14ac:dyDescent="0.35">
      <c r="A370" s="10"/>
      <c r="B370" s="10"/>
      <c r="C370" s="10"/>
      <c r="D370" s="10"/>
    </row>
    <row r="371" spans="1:4" ht="14.25" customHeight="1" x14ac:dyDescent="0.35">
      <c r="A371" s="10"/>
      <c r="B371" s="10"/>
      <c r="C371" s="10"/>
      <c r="D371" s="10"/>
    </row>
    <row r="372" spans="1:4" ht="14.25" customHeight="1" x14ac:dyDescent="0.35">
      <c r="A372" s="10"/>
      <c r="B372" s="10"/>
      <c r="C372" s="10"/>
      <c r="D372" s="10"/>
    </row>
    <row r="373" spans="1:4" ht="14.25" customHeight="1" x14ac:dyDescent="0.35">
      <c r="A373" s="10"/>
      <c r="B373" s="10"/>
      <c r="C373" s="10"/>
      <c r="D373" s="10"/>
    </row>
    <row r="374" spans="1:4" ht="14.25" customHeight="1" x14ac:dyDescent="0.35">
      <c r="A374" s="10"/>
      <c r="B374" s="10"/>
      <c r="C374" s="10"/>
      <c r="D374" s="10"/>
    </row>
    <row r="375" spans="1:4" ht="14.25" customHeight="1" x14ac:dyDescent="0.35">
      <c r="A375" s="10"/>
      <c r="B375" s="10"/>
      <c r="C375" s="10"/>
      <c r="D375" s="10"/>
    </row>
    <row r="376" spans="1:4" ht="14.25" customHeight="1" x14ac:dyDescent="0.35">
      <c r="A376" s="10"/>
      <c r="B376" s="10"/>
      <c r="C376" s="10"/>
      <c r="D376" s="10"/>
    </row>
    <row r="377" spans="1:4" ht="14.25" customHeight="1" x14ac:dyDescent="0.35">
      <c r="A377" s="10"/>
      <c r="B377" s="10"/>
      <c r="C377" s="10"/>
      <c r="D377" s="10"/>
    </row>
    <row r="378" spans="1:4" ht="14.25" customHeight="1" x14ac:dyDescent="0.35">
      <c r="A378" s="10"/>
      <c r="B378" s="10"/>
      <c r="C378" s="10"/>
      <c r="D378" s="10"/>
    </row>
    <row r="379" spans="1:4" ht="14.25" customHeight="1" x14ac:dyDescent="0.35">
      <c r="A379" s="10"/>
      <c r="B379" s="10"/>
      <c r="C379" s="10"/>
      <c r="D379" s="10"/>
    </row>
    <row r="380" spans="1:4" ht="14.25" customHeight="1" x14ac:dyDescent="0.35">
      <c r="A380" s="10"/>
      <c r="B380" s="10"/>
      <c r="C380" s="10"/>
      <c r="D380" s="10"/>
    </row>
    <row r="381" spans="1:4" ht="14.25" customHeight="1" x14ac:dyDescent="0.35">
      <c r="A381" s="10"/>
      <c r="B381" s="10"/>
      <c r="C381" s="10"/>
      <c r="D381" s="10"/>
    </row>
    <row r="382" spans="1:4" ht="14.25" customHeight="1" x14ac:dyDescent="0.35">
      <c r="A382" s="10"/>
      <c r="B382" s="10"/>
      <c r="C382" s="10"/>
      <c r="D382" s="10"/>
    </row>
    <row r="383" spans="1:4" ht="14.25" customHeight="1" x14ac:dyDescent="0.35">
      <c r="A383" s="10"/>
      <c r="B383" s="10"/>
      <c r="C383" s="10"/>
      <c r="D383" s="10"/>
    </row>
    <row r="384" spans="1:4" ht="14.25" customHeight="1" x14ac:dyDescent="0.35">
      <c r="A384" s="10"/>
      <c r="B384" s="10"/>
      <c r="C384" s="10"/>
      <c r="D384" s="10"/>
    </row>
    <row r="385" spans="1:4" ht="14.25" customHeight="1" x14ac:dyDescent="0.35">
      <c r="A385" s="10"/>
      <c r="B385" s="10"/>
      <c r="C385" s="10"/>
      <c r="D385" s="10"/>
    </row>
    <row r="386" spans="1:4" ht="14.25" customHeight="1" x14ac:dyDescent="0.35">
      <c r="A386" s="10"/>
      <c r="B386" s="10"/>
      <c r="C386" s="10"/>
      <c r="D386" s="10"/>
    </row>
    <row r="387" spans="1:4" ht="14.25" customHeight="1" x14ac:dyDescent="0.35">
      <c r="A387" s="10"/>
      <c r="B387" s="10"/>
      <c r="C387" s="10"/>
      <c r="D387" s="10"/>
    </row>
    <row r="388" spans="1:4" ht="14.25" customHeight="1" x14ac:dyDescent="0.35">
      <c r="A388" s="10"/>
      <c r="B388" s="10"/>
      <c r="C388" s="10"/>
      <c r="D388" s="10"/>
    </row>
    <row r="389" spans="1:4" ht="14.25" customHeight="1" x14ac:dyDescent="0.35">
      <c r="A389" s="10"/>
      <c r="B389" s="10"/>
      <c r="C389" s="10"/>
      <c r="D389" s="10"/>
    </row>
    <row r="390" spans="1:4" ht="14.25" customHeight="1" x14ac:dyDescent="0.35">
      <c r="A390" s="10"/>
      <c r="B390" s="10"/>
      <c r="C390" s="10"/>
      <c r="D390" s="10"/>
    </row>
    <row r="391" spans="1:4" ht="14.25" customHeight="1" x14ac:dyDescent="0.35">
      <c r="A391" s="10"/>
      <c r="B391" s="10"/>
      <c r="C391" s="10"/>
      <c r="D391" s="10"/>
    </row>
    <row r="392" spans="1:4" ht="14.25" customHeight="1" x14ac:dyDescent="0.35">
      <c r="A392" s="10"/>
      <c r="B392" s="10"/>
      <c r="C392" s="10"/>
      <c r="D392" s="10"/>
    </row>
    <row r="393" spans="1:4" ht="14.25" customHeight="1" x14ac:dyDescent="0.35">
      <c r="A393" s="10"/>
      <c r="B393" s="10"/>
      <c r="C393" s="10"/>
      <c r="D393" s="10"/>
    </row>
    <row r="394" spans="1:4" ht="14.25" customHeight="1" x14ac:dyDescent="0.35">
      <c r="A394" s="10"/>
      <c r="B394" s="10"/>
      <c r="C394" s="10"/>
      <c r="D394" s="10"/>
    </row>
    <row r="395" spans="1:4" ht="14.25" customHeight="1" x14ac:dyDescent="0.35">
      <c r="A395" s="10"/>
      <c r="B395" s="10"/>
      <c r="C395" s="10"/>
      <c r="D395" s="10"/>
    </row>
    <row r="396" spans="1:4" ht="14.25" customHeight="1" x14ac:dyDescent="0.35">
      <c r="A396" s="10"/>
      <c r="B396" s="10"/>
      <c r="C396" s="10"/>
      <c r="D396" s="10"/>
    </row>
    <row r="397" spans="1:4" ht="14.25" customHeight="1" x14ac:dyDescent="0.35">
      <c r="A397" s="10"/>
      <c r="B397" s="10"/>
      <c r="C397" s="10"/>
      <c r="D397" s="10"/>
    </row>
    <row r="398" spans="1:4" ht="14.25" customHeight="1" x14ac:dyDescent="0.35">
      <c r="A398" s="10"/>
      <c r="B398" s="10"/>
      <c r="C398" s="10"/>
      <c r="D398" s="10"/>
    </row>
    <row r="399" spans="1:4" ht="14.25" customHeight="1" x14ac:dyDescent="0.35">
      <c r="A399" s="10"/>
      <c r="B399" s="10"/>
      <c r="C399" s="10"/>
      <c r="D399" s="10"/>
    </row>
    <row r="400" spans="1:4" ht="14.25" customHeight="1" x14ac:dyDescent="0.35">
      <c r="A400" s="10"/>
      <c r="B400" s="10"/>
      <c r="C400" s="10"/>
      <c r="D400" s="10"/>
    </row>
    <row r="401" spans="1:4" ht="14.25" customHeight="1" x14ac:dyDescent="0.35">
      <c r="A401" s="10"/>
      <c r="B401" s="10"/>
      <c r="C401" s="10"/>
      <c r="D401" s="10"/>
    </row>
    <row r="402" spans="1:4" ht="14.25" customHeight="1" x14ac:dyDescent="0.35">
      <c r="A402" s="10"/>
      <c r="B402" s="10"/>
      <c r="C402" s="10"/>
      <c r="D402" s="10"/>
    </row>
    <row r="403" spans="1:4" ht="14.25" customHeight="1" x14ac:dyDescent="0.35">
      <c r="A403" s="10"/>
      <c r="B403" s="10"/>
      <c r="C403" s="10"/>
      <c r="D403" s="10"/>
    </row>
    <row r="404" spans="1:4" ht="14.25" customHeight="1" x14ac:dyDescent="0.35">
      <c r="A404" s="10"/>
      <c r="B404" s="10"/>
      <c r="C404" s="10"/>
      <c r="D404" s="10"/>
    </row>
    <row r="405" spans="1:4" ht="14.25" customHeight="1" x14ac:dyDescent="0.35">
      <c r="A405" s="10"/>
      <c r="B405" s="10"/>
      <c r="C405" s="10"/>
      <c r="D405" s="10"/>
    </row>
    <row r="406" spans="1:4" ht="14.25" customHeight="1" x14ac:dyDescent="0.35">
      <c r="A406" s="10"/>
      <c r="B406" s="10"/>
      <c r="C406" s="10"/>
      <c r="D406" s="10"/>
    </row>
    <row r="407" spans="1:4" ht="14.25" customHeight="1" x14ac:dyDescent="0.35">
      <c r="A407" s="10"/>
      <c r="B407" s="10"/>
      <c r="C407" s="10"/>
      <c r="D407" s="10"/>
    </row>
    <row r="408" spans="1:4" ht="14.25" customHeight="1" x14ac:dyDescent="0.35">
      <c r="A408" s="10"/>
      <c r="B408" s="10"/>
      <c r="C408" s="10"/>
      <c r="D408" s="10"/>
    </row>
    <row r="409" spans="1:4" ht="14.25" customHeight="1" x14ac:dyDescent="0.35">
      <c r="A409" s="10"/>
      <c r="B409" s="10"/>
      <c r="C409" s="10"/>
      <c r="D409" s="10"/>
    </row>
    <row r="410" spans="1:4" ht="14.25" customHeight="1" x14ac:dyDescent="0.35">
      <c r="A410" s="10"/>
      <c r="B410" s="10"/>
      <c r="C410" s="10"/>
      <c r="D410" s="10"/>
    </row>
    <row r="411" spans="1:4" ht="14.25" customHeight="1" x14ac:dyDescent="0.35">
      <c r="A411" s="10"/>
      <c r="B411" s="10"/>
      <c r="C411" s="10"/>
      <c r="D411" s="10"/>
    </row>
    <row r="412" spans="1:4" ht="14.25" customHeight="1" x14ac:dyDescent="0.35">
      <c r="A412" s="10"/>
      <c r="B412" s="10"/>
      <c r="C412" s="10"/>
      <c r="D412" s="10"/>
    </row>
    <row r="413" spans="1:4" ht="14.25" customHeight="1" x14ac:dyDescent="0.35">
      <c r="A413" s="10"/>
      <c r="B413" s="10"/>
      <c r="C413" s="10"/>
      <c r="D413" s="10"/>
    </row>
    <row r="414" spans="1:4" ht="14.25" customHeight="1" x14ac:dyDescent="0.35">
      <c r="A414" s="10"/>
      <c r="B414" s="10"/>
      <c r="C414" s="10"/>
      <c r="D414" s="10"/>
    </row>
    <row r="415" spans="1:4" ht="14.25" customHeight="1" x14ac:dyDescent="0.35">
      <c r="A415" s="10"/>
      <c r="B415" s="10"/>
      <c r="C415" s="10"/>
      <c r="D415" s="10"/>
    </row>
    <row r="416" spans="1:4" ht="14.25" customHeight="1" x14ac:dyDescent="0.35">
      <c r="A416" s="10"/>
      <c r="B416" s="10"/>
      <c r="C416" s="10"/>
      <c r="D416" s="10"/>
    </row>
    <row r="417" spans="1:4" ht="14.25" customHeight="1" x14ac:dyDescent="0.35">
      <c r="A417" s="10"/>
      <c r="B417" s="10"/>
      <c r="C417" s="10"/>
      <c r="D417" s="10"/>
    </row>
    <row r="418" spans="1:4" ht="14.25" customHeight="1" x14ac:dyDescent="0.35">
      <c r="A418" s="10"/>
      <c r="B418" s="10"/>
      <c r="C418" s="10"/>
      <c r="D418" s="10"/>
    </row>
    <row r="419" spans="1:4" ht="14.25" customHeight="1" x14ac:dyDescent="0.35">
      <c r="A419" s="10"/>
      <c r="B419" s="10"/>
      <c r="C419" s="10"/>
      <c r="D419" s="10"/>
    </row>
    <row r="420" spans="1:4" ht="14.25" customHeight="1" x14ac:dyDescent="0.35">
      <c r="A420" s="10"/>
      <c r="B420" s="10"/>
      <c r="C420" s="10"/>
      <c r="D420" s="10"/>
    </row>
    <row r="421" spans="1:4" ht="14.25" customHeight="1" x14ac:dyDescent="0.35">
      <c r="A421" s="10"/>
      <c r="B421" s="10"/>
      <c r="C421" s="10"/>
      <c r="D421" s="10"/>
    </row>
    <row r="422" spans="1:4" ht="14.25" customHeight="1" x14ac:dyDescent="0.35">
      <c r="A422" s="10"/>
      <c r="B422" s="10"/>
      <c r="C422" s="10"/>
      <c r="D422" s="10"/>
    </row>
    <row r="423" spans="1:4" ht="14.25" customHeight="1" x14ac:dyDescent="0.35">
      <c r="A423" s="10"/>
      <c r="B423" s="10"/>
      <c r="C423" s="10"/>
      <c r="D423" s="10"/>
    </row>
    <row r="424" spans="1:4" ht="14.25" customHeight="1" x14ac:dyDescent="0.35">
      <c r="A424" s="10"/>
      <c r="B424" s="10"/>
      <c r="C424" s="10"/>
      <c r="D424" s="10"/>
    </row>
    <row r="425" spans="1:4" ht="14.25" customHeight="1" x14ac:dyDescent="0.35">
      <c r="A425" s="10"/>
      <c r="B425" s="10"/>
      <c r="C425" s="10"/>
      <c r="D425" s="10"/>
    </row>
    <row r="426" spans="1:4" ht="14.25" customHeight="1" x14ac:dyDescent="0.35">
      <c r="A426" s="10"/>
      <c r="B426" s="10"/>
      <c r="C426" s="10"/>
      <c r="D426" s="10"/>
    </row>
    <row r="427" spans="1:4" ht="14.25" customHeight="1" x14ac:dyDescent="0.35">
      <c r="A427" s="10"/>
      <c r="B427" s="10"/>
      <c r="C427" s="10"/>
      <c r="D427" s="10"/>
    </row>
    <row r="428" spans="1:4" ht="14.25" customHeight="1" x14ac:dyDescent="0.35">
      <c r="A428" s="10"/>
      <c r="B428" s="10"/>
      <c r="C428" s="10"/>
      <c r="D428" s="10"/>
    </row>
    <row r="429" spans="1:4" ht="14.25" customHeight="1" x14ac:dyDescent="0.35">
      <c r="A429" s="10"/>
      <c r="B429" s="10"/>
      <c r="C429" s="10"/>
      <c r="D429" s="10"/>
    </row>
    <row r="430" spans="1:4" ht="14.25" customHeight="1" x14ac:dyDescent="0.35">
      <c r="A430" s="10"/>
      <c r="B430" s="10"/>
      <c r="C430" s="10"/>
      <c r="D430" s="10"/>
    </row>
    <row r="431" spans="1:4" ht="14.25" customHeight="1" x14ac:dyDescent="0.35">
      <c r="A431" s="10"/>
      <c r="B431" s="10"/>
      <c r="C431" s="10"/>
      <c r="D431" s="10"/>
    </row>
    <row r="432" spans="1:4" ht="14.25" customHeight="1" x14ac:dyDescent="0.35">
      <c r="A432" s="10"/>
      <c r="B432" s="10"/>
      <c r="C432" s="10"/>
      <c r="D432" s="10"/>
    </row>
    <row r="433" spans="1:4" ht="14.25" customHeight="1" x14ac:dyDescent="0.35">
      <c r="A433" s="10"/>
      <c r="B433" s="10"/>
      <c r="C433" s="10"/>
      <c r="D433" s="10"/>
    </row>
    <row r="434" spans="1:4" ht="14.25" customHeight="1" x14ac:dyDescent="0.35">
      <c r="A434" s="10"/>
      <c r="B434" s="10"/>
      <c r="C434" s="10"/>
      <c r="D434" s="10"/>
    </row>
    <row r="435" spans="1:4" ht="14.25" customHeight="1" x14ac:dyDescent="0.35">
      <c r="A435" s="10"/>
      <c r="B435" s="10"/>
      <c r="C435" s="10"/>
      <c r="D435" s="10"/>
    </row>
    <row r="436" spans="1:4" ht="14.25" customHeight="1" x14ac:dyDescent="0.35">
      <c r="A436" s="10"/>
      <c r="B436" s="10"/>
      <c r="C436" s="10"/>
      <c r="D436" s="10"/>
    </row>
    <row r="437" spans="1:4" ht="14.25" customHeight="1" x14ac:dyDescent="0.35">
      <c r="A437" s="10"/>
      <c r="B437" s="10"/>
      <c r="C437" s="10"/>
      <c r="D437" s="10"/>
    </row>
    <row r="438" spans="1:4" ht="14.25" customHeight="1" x14ac:dyDescent="0.35">
      <c r="A438" s="10"/>
      <c r="B438" s="10"/>
      <c r="C438" s="10"/>
      <c r="D438" s="10"/>
    </row>
    <row r="439" spans="1:4" ht="14.25" customHeight="1" x14ac:dyDescent="0.35">
      <c r="A439" s="10"/>
      <c r="B439" s="10"/>
      <c r="C439" s="10"/>
      <c r="D439" s="10"/>
    </row>
    <row r="440" spans="1:4" ht="14.25" customHeight="1" x14ac:dyDescent="0.35">
      <c r="A440" s="10"/>
      <c r="B440" s="10"/>
      <c r="C440" s="10"/>
      <c r="D440" s="10"/>
    </row>
    <row r="441" spans="1:4" ht="14.25" customHeight="1" x14ac:dyDescent="0.35">
      <c r="A441" s="10"/>
      <c r="B441" s="10"/>
      <c r="C441" s="10"/>
      <c r="D441" s="10"/>
    </row>
    <row r="442" spans="1:4" ht="14.25" customHeight="1" x14ac:dyDescent="0.35">
      <c r="A442" s="10"/>
      <c r="B442" s="10"/>
      <c r="C442" s="10"/>
      <c r="D442" s="10"/>
    </row>
    <row r="443" spans="1:4" ht="14.25" customHeight="1" x14ac:dyDescent="0.35">
      <c r="A443" s="10"/>
      <c r="B443" s="10"/>
      <c r="C443" s="10"/>
      <c r="D443" s="10"/>
    </row>
    <row r="444" spans="1:4" ht="14.25" customHeight="1" x14ac:dyDescent="0.35">
      <c r="A444" s="10"/>
      <c r="B444" s="10"/>
      <c r="C444" s="10"/>
      <c r="D444" s="10"/>
    </row>
    <row r="445" spans="1:4" ht="14.25" customHeight="1" x14ac:dyDescent="0.35">
      <c r="A445" s="10"/>
      <c r="B445" s="10"/>
      <c r="C445" s="10"/>
      <c r="D445" s="10"/>
    </row>
    <row r="446" spans="1:4" ht="14.25" customHeight="1" x14ac:dyDescent="0.35">
      <c r="A446" s="10"/>
      <c r="B446" s="10"/>
      <c r="C446" s="10"/>
      <c r="D446" s="10"/>
    </row>
    <row r="447" spans="1:4" ht="14.25" customHeight="1" x14ac:dyDescent="0.35">
      <c r="A447" s="10"/>
      <c r="B447" s="10"/>
      <c r="C447" s="10"/>
      <c r="D447" s="10"/>
    </row>
    <row r="448" spans="1:4" ht="14.25" customHeight="1" x14ac:dyDescent="0.35">
      <c r="A448" s="10"/>
      <c r="B448" s="10"/>
      <c r="C448" s="10"/>
      <c r="D448" s="10"/>
    </row>
    <row r="449" spans="1:4" ht="14.25" customHeight="1" x14ac:dyDescent="0.35">
      <c r="A449" s="10"/>
      <c r="B449" s="10"/>
      <c r="C449" s="10"/>
      <c r="D449" s="10"/>
    </row>
    <row r="450" spans="1:4" ht="14.25" customHeight="1" x14ac:dyDescent="0.35">
      <c r="A450" s="10"/>
      <c r="B450" s="10"/>
      <c r="C450" s="10"/>
      <c r="D450" s="10"/>
    </row>
    <row r="451" spans="1:4" ht="14.25" customHeight="1" x14ac:dyDescent="0.35">
      <c r="A451" s="10"/>
      <c r="B451" s="10"/>
      <c r="C451" s="10"/>
      <c r="D451" s="10"/>
    </row>
    <row r="452" spans="1:4" ht="14.25" customHeight="1" x14ac:dyDescent="0.35">
      <c r="A452" s="10"/>
      <c r="B452" s="10"/>
      <c r="C452" s="10"/>
      <c r="D452" s="10"/>
    </row>
    <row r="453" spans="1:4" ht="14.25" customHeight="1" x14ac:dyDescent="0.35">
      <c r="A453" s="10"/>
      <c r="B453" s="10"/>
      <c r="C453" s="10"/>
      <c r="D453" s="10"/>
    </row>
    <row r="454" spans="1:4" ht="14.25" customHeight="1" x14ac:dyDescent="0.35">
      <c r="A454" s="10"/>
      <c r="B454" s="10"/>
      <c r="C454" s="10"/>
      <c r="D454" s="10"/>
    </row>
    <row r="455" spans="1:4" ht="14.25" customHeight="1" x14ac:dyDescent="0.35">
      <c r="A455" s="10"/>
      <c r="B455" s="10"/>
      <c r="C455" s="10"/>
      <c r="D455" s="10"/>
    </row>
    <row r="456" spans="1:4" ht="14.25" customHeight="1" x14ac:dyDescent="0.35">
      <c r="A456" s="10"/>
      <c r="B456" s="10"/>
      <c r="C456" s="10"/>
      <c r="D456" s="10"/>
    </row>
    <row r="457" spans="1:4" ht="14.25" customHeight="1" x14ac:dyDescent="0.35">
      <c r="A457" s="10"/>
      <c r="B457" s="10"/>
      <c r="C457" s="10"/>
      <c r="D457" s="10"/>
    </row>
    <row r="458" spans="1:4" ht="14.25" customHeight="1" x14ac:dyDescent="0.35">
      <c r="A458" s="10"/>
      <c r="B458" s="10"/>
      <c r="C458" s="10"/>
      <c r="D458" s="10"/>
    </row>
    <row r="459" spans="1:4" ht="14.25" customHeight="1" x14ac:dyDescent="0.35">
      <c r="A459" s="10"/>
      <c r="B459" s="10"/>
      <c r="C459" s="10"/>
      <c r="D459" s="10"/>
    </row>
    <row r="460" spans="1:4" ht="14.25" customHeight="1" x14ac:dyDescent="0.35">
      <c r="A460" s="10"/>
      <c r="B460" s="10"/>
      <c r="C460" s="10"/>
      <c r="D460" s="10"/>
    </row>
    <row r="461" spans="1:4" ht="14.25" customHeight="1" x14ac:dyDescent="0.35">
      <c r="A461" s="10"/>
      <c r="B461" s="10"/>
      <c r="C461" s="10"/>
      <c r="D461" s="10"/>
    </row>
    <row r="462" spans="1:4" ht="14.25" customHeight="1" x14ac:dyDescent="0.35">
      <c r="A462" s="10"/>
      <c r="B462" s="10"/>
      <c r="C462" s="10"/>
      <c r="D462" s="10"/>
    </row>
    <row r="463" spans="1:4" ht="14.25" customHeight="1" x14ac:dyDescent="0.35">
      <c r="A463" s="10"/>
      <c r="B463" s="10"/>
      <c r="C463" s="10"/>
      <c r="D463" s="10"/>
    </row>
    <row r="464" spans="1:4" ht="14.25" customHeight="1" x14ac:dyDescent="0.35">
      <c r="A464" s="10"/>
      <c r="B464" s="10"/>
      <c r="C464" s="10"/>
      <c r="D464" s="10"/>
    </row>
    <row r="465" spans="1:4" ht="14.25" customHeight="1" x14ac:dyDescent="0.35">
      <c r="A465" s="10"/>
      <c r="B465" s="10"/>
      <c r="C465" s="10"/>
      <c r="D465" s="10"/>
    </row>
    <row r="466" spans="1:4" ht="14.25" customHeight="1" x14ac:dyDescent="0.35">
      <c r="A466" s="10"/>
      <c r="B466" s="10"/>
      <c r="C466" s="10"/>
      <c r="D466" s="10"/>
    </row>
    <row r="467" spans="1:4" ht="14.25" customHeight="1" x14ac:dyDescent="0.35">
      <c r="A467" s="10"/>
      <c r="B467" s="10"/>
      <c r="C467" s="10"/>
      <c r="D467" s="10"/>
    </row>
    <row r="468" spans="1:4" ht="14.25" customHeight="1" x14ac:dyDescent="0.35">
      <c r="A468" s="10"/>
      <c r="B468" s="10"/>
      <c r="C468" s="10"/>
      <c r="D468" s="10"/>
    </row>
    <row r="469" spans="1:4" ht="14.25" customHeight="1" x14ac:dyDescent="0.35">
      <c r="A469" s="10"/>
      <c r="B469" s="10"/>
      <c r="C469" s="10"/>
      <c r="D469" s="10"/>
    </row>
    <row r="470" spans="1:4" ht="14.25" customHeight="1" x14ac:dyDescent="0.35">
      <c r="A470" s="10"/>
      <c r="B470" s="10"/>
      <c r="C470" s="10"/>
      <c r="D470" s="10"/>
    </row>
    <row r="471" spans="1:4" ht="14.25" customHeight="1" x14ac:dyDescent="0.35">
      <c r="A471" s="10"/>
      <c r="B471" s="10"/>
      <c r="C471" s="10"/>
      <c r="D471" s="10"/>
    </row>
    <row r="472" spans="1:4" ht="14.25" customHeight="1" x14ac:dyDescent="0.35">
      <c r="A472" s="10"/>
      <c r="B472" s="10"/>
      <c r="C472" s="10"/>
      <c r="D472" s="10"/>
    </row>
    <row r="473" spans="1:4" ht="14.25" customHeight="1" x14ac:dyDescent="0.35">
      <c r="A473" s="10"/>
      <c r="B473" s="10"/>
      <c r="C473" s="10"/>
      <c r="D473" s="10"/>
    </row>
    <row r="474" spans="1:4" ht="14.25" customHeight="1" x14ac:dyDescent="0.35">
      <c r="A474" s="10"/>
      <c r="B474" s="10"/>
      <c r="C474" s="10"/>
      <c r="D474" s="10"/>
    </row>
    <row r="475" spans="1:4" ht="14.25" customHeight="1" x14ac:dyDescent="0.35">
      <c r="A475" s="10"/>
      <c r="B475" s="10"/>
      <c r="C475" s="10"/>
      <c r="D475" s="10"/>
    </row>
    <row r="476" spans="1:4" ht="14.25" customHeight="1" x14ac:dyDescent="0.35">
      <c r="A476" s="10"/>
      <c r="B476" s="10"/>
      <c r="C476" s="10"/>
      <c r="D476" s="10"/>
    </row>
    <row r="477" spans="1:4" ht="14.25" customHeight="1" x14ac:dyDescent="0.35">
      <c r="A477" s="10"/>
      <c r="B477" s="10"/>
      <c r="C477" s="10"/>
      <c r="D477" s="10"/>
    </row>
    <row r="478" spans="1:4" ht="14.25" customHeight="1" x14ac:dyDescent="0.35">
      <c r="A478" s="10"/>
      <c r="B478" s="10"/>
      <c r="C478" s="10"/>
      <c r="D478" s="10"/>
    </row>
    <row r="479" spans="1:4" ht="14.25" customHeight="1" x14ac:dyDescent="0.35">
      <c r="A479" s="10"/>
      <c r="B479" s="10"/>
      <c r="C479" s="10"/>
      <c r="D479" s="10"/>
    </row>
    <row r="480" spans="1:4" ht="14.25" customHeight="1" x14ac:dyDescent="0.35">
      <c r="A480" s="10"/>
      <c r="B480" s="10"/>
      <c r="C480" s="10"/>
      <c r="D480" s="10"/>
    </row>
    <row r="481" spans="1:4" ht="14.25" customHeight="1" x14ac:dyDescent="0.35">
      <c r="A481" s="10"/>
      <c r="B481" s="10"/>
      <c r="C481" s="10"/>
      <c r="D481" s="10"/>
    </row>
    <row r="482" spans="1:4" ht="14.25" customHeight="1" x14ac:dyDescent="0.35">
      <c r="A482" s="10"/>
      <c r="B482" s="10"/>
      <c r="C482" s="10"/>
      <c r="D482" s="10"/>
    </row>
    <row r="483" spans="1:4" ht="14.25" customHeight="1" x14ac:dyDescent="0.35">
      <c r="A483" s="10"/>
      <c r="B483" s="10"/>
      <c r="C483" s="10"/>
      <c r="D483" s="10"/>
    </row>
    <row r="484" spans="1:4" ht="14.25" customHeight="1" x14ac:dyDescent="0.35">
      <c r="A484" s="10"/>
      <c r="B484" s="10"/>
      <c r="C484" s="10"/>
      <c r="D484" s="10"/>
    </row>
    <row r="485" spans="1:4" ht="14.25" customHeight="1" x14ac:dyDescent="0.35">
      <c r="A485" s="10"/>
      <c r="B485" s="10"/>
      <c r="C485" s="10"/>
      <c r="D485" s="10"/>
    </row>
    <row r="486" spans="1:4" ht="14.25" customHeight="1" x14ac:dyDescent="0.35">
      <c r="A486" s="10"/>
      <c r="B486" s="10"/>
      <c r="C486" s="10"/>
      <c r="D486" s="10"/>
    </row>
    <row r="487" spans="1:4" ht="14.25" customHeight="1" x14ac:dyDescent="0.35">
      <c r="A487" s="10"/>
      <c r="B487" s="10"/>
      <c r="C487" s="10"/>
      <c r="D487" s="10"/>
    </row>
    <row r="488" spans="1:4" ht="14.25" customHeight="1" x14ac:dyDescent="0.35">
      <c r="A488" s="10"/>
      <c r="B488" s="10"/>
      <c r="C488" s="10"/>
      <c r="D488" s="10"/>
    </row>
    <row r="489" spans="1:4" ht="14.25" customHeight="1" x14ac:dyDescent="0.35">
      <c r="A489" s="10"/>
      <c r="B489" s="10"/>
      <c r="C489" s="10"/>
      <c r="D489" s="10"/>
    </row>
    <row r="490" spans="1:4" ht="14.25" customHeight="1" x14ac:dyDescent="0.35">
      <c r="A490" s="10"/>
      <c r="B490" s="10"/>
      <c r="C490" s="10"/>
      <c r="D490" s="10"/>
    </row>
    <row r="491" spans="1:4" ht="14.25" customHeight="1" x14ac:dyDescent="0.35">
      <c r="A491" s="10"/>
      <c r="B491" s="10"/>
      <c r="C491" s="10"/>
      <c r="D491" s="10"/>
    </row>
    <row r="492" spans="1:4" ht="14.25" customHeight="1" x14ac:dyDescent="0.35">
      <c r="A492" s="10"/>
      <c r="B492" s="10"/>
      <c r="C492" s="10"/>
      <c r="D492" s="10"/>
    </row>
    <row r="493" spans="1:4" ht="14.25" customHeight="1" x14ac:dyDescent="0.35">
      <c r="A493" s="10"/>
      <c r="B493" s="10"/>
      <c r="C493" s="10"/>
      <c r="D493" s="10"/>
    </row>
    <row r="494" spans="1:4" ht="14.25" customHeight="1" x14ac:dyDescent="0.35">
      <c r="A494" s="10"/>
      <c r="B494" s="10"/>
      <c r="C494" s="10"/>
      <c r="D494" s="10"/>
    </row>
    <row r="495" spans="1:4" ht="14.25" customHeight="1" x14ac:dyDescent="0.35">
      <c r="A495" s="10"/>
      <c r="B495" s="10"/>
      <c r="C495" s="10"/>
      <c r="D495" s="10"/>
    </row>
    <row r="496" spans="1:4" ht="14.25" customHeight="1" x14ac:dyDescent="0.35">
      <c r="A496" s="10"/>
      <c r="B496" s="10"/>
      <c r="C496" s="10"/>
      <c r="D496" s="10"/>
    </row>
    <row r="497" spans="1:4" ht="14.25" customHeight="1" x14ac:dyDescent="0.35">
      <c r="A497" s="10"/>
      <c r="B497" s="10"/>
      <c r="C497" s="10"/>
      <c r="D497" s="10"/>
    </row>
    <row r="498" spans="1:4" ht="14.25" customHeight="1" x14ac:dyDescent="0.35">
      <c r="A498" s="10"/>
      <c r="B498" s="10"/>
      <c r="C498" s="10"/>
      <c r="D498" s="10"/>
    </row>
    <row r="499" spans="1:4" ht="14.25" customHeight="1" x14ac:dyDescent="0.35">
      <c r="A499" s="10"/>
      <c r="B499" s="10"/>
      <c r="C499" s="10"/>
      <c r="D499" s="10"/>
    </row>
    <row r="500" spans="1:4" ht="14.25" customHeight="1" x14ac:dyDescent="0.35">
      <c r="A500" s="10"/>
      <c r="B500" s="10"/>
      <c r="C500" s="10"/>
      <c r="D500" s="10"/>
    </row>
    <row r="501" spans="1:4" ht="14.25" customHeight="1" x14ac:dyDescent="0.35">
      <c r="A501" s="10"/>
      <c r="B501" s="10"/>
      <c r="C501" s="10"/>
      <c r="D501" s="10"/>
    </row>
    <row r="502" spans="1:4" ht="14.25" customHeight="1" x14ac:dyDescent="0.35">
      <c r="A502" s="10"/>
      <c r="B502" s="10"/>
      <c r="C502" s="10"/>
      <c r="D502" s="10"/>
    </row>
    <row r="503" spans="1:4" ht="14.25" customHeight="1" x14ac:dyDescent="0.35">
      <c r="A503" s="10"/>
      <c r="B503" s="10"/>
      <c r="C503" s="10"/>
      <c r="D503" s="10"/>
    </row>
    <row r="504" spans="1:4" ht="14.25" customHeight="1" x14ac:dyDescent="0.35">
      <c r="A504" s="10"/>
      <c r="B504" s="10"/>
      <c r="C504" s="10"/>
      <c r="D504" s="10"/>
    </row>
    <row r="505" spans="1:4" ht="14.25" customHeight="1" x14ac:dyDescent="0.35">
      <c r="A505" s="10"/>
      <c r="B505" s="10"/>
      <c r="C505" s="10"/>
      <c r="D505" s="10"/>
    </row>
    <row r="506" spans="1:4" ht="14.25" customHeight="1" x14ac:dyDescent="0.35">
      <c r="A506" s="10"/>
      <c r="B506" s="10"/>
      <c r="C506" s="10"/>
      <c r="D506" s="10"/>
    </row>
    <row r="507" spans="1:4" ht="14.25" customHeight="1" x14ac:dyDescent="0.35">
      <c r="A507" s="10"/>
      <c r="B507" s="10"/>
      <c r="C507" s="10"/>
      <c r="D507" s="10"/>
    </row>
    <row r="508" spans="1:4" ht="14.25" customHeight="1" x14ac:dyDescent="0.35">
      <c r="A508" s="10"/>
      <c r="B508" s="10"/>
      <c r="C508" s="10"/>
      <c r="D508" s="10"/>
    </row>
    <row r="509" spans="1:4" ht="14.25" customHeight="1" x14ac:dyDescent="0.35">
      <c r="A509" s="10"/>
      <c r="B509" s="10"/>
      <c r="C509" s="10"/>
      <c r="D509" s="10"/>
    </row>
    <row r="510" spans="1:4" ht="14.25" customHeight="1" x14ac:dyDescent="0.35">
      <c r="A510" s="10"/>
      <c r="B510" s="10"/>
      <c r="C510" s="10"/>
      <c r="D510" s="10"/>
    </row>
    <row r="511" spans="1:4" ht="14.25" customHeight="1" x14ac:dyDescent="0.35">
      <c r="A511" s="10"/>
      <c r="B511" s="10"/>
      <c r="C511" s="10"/>
      <c r="D511" s="10"/>
    </row>
    <row r="512" spans="1:4" ht="14.25" customHeight="1" x14ac:dyDescent="0.35">
      <c r="A512" s="10"/>
      <c r="B512" s="10"/>
      <c r="C512" s="10"/>
      <c r="D512" s="10"/>
    </row>
    <row r="513" spans="1:4" ht="14.25" customHeight="1" x14ac:dyDescent="0.35">
      <c r="A513" s="10"/>
      <c r="B513" s="10"/>
      <c r="C513" s="10"/>
      <c r="D513" s="10"/>
    </row>
    <row r="514" spans="1:4" ht="14.25" customHeight="1" x14ac:dyDescent="0.35">
      <c r="A514" s="10"/>
      <c r="B514" s="10"/>
      <c r="C514" s="10"/>
      <c r="D514" s="10"/>
    </row>
    <row r="515" spans="1:4" ht="14.25" customHeight="1" x14ac:dyDescent="0.35">
      <c r="A515" s="10"/>
      <c r="B515" s="10"/>
      <c r="C515" s="10"/>
      <c r="D515" s="10"/>
    </row>
    <row r="516" spans="1:4" ht="14.25" customHeight="1" x14ac:dyDescent="0.35">
      <c r="A516" s="10"/>
      <c r="B516" s="10"/>
      <c r="C516" s="10"/>
      <c r="D516" s="10"/>
    </row>
    <row r="517" spans="1:4" ht="14.25" customHeight="1" x14ac:dyDescent="0.35">
      <c r="A517" s="10"/>
      <c r="B517" s="10"/>
      <c r="C517" s="10"/>
      <c r="D517" s="10"/>
    </row>
    <row r="518" spans="1:4" ht="14.25" customHeight="1" x14ac:dyDescent="0.35">
      <c r="A518" s="10"/>
      <c r="B518" s="10"/>
      <c r="C518" s="10"/>
      <c r="D518" s="10"/>
    </row>
    <row r="519" spans="1:4" ht="14.25" customHeight="1" x14ac:dyDescent="0.35">
      <c r="A519" s="10"/>
      <c r="B519" s="10"/>
      <c r="C519" s="10"/>
      <c r="D519" s="10"/>
    </row>
    <row r="520" spans="1:4" ht="14.25" customHeight="1" x14ac:dyDescent="0.35">
      <c r="A520" s="10"/>
      <c r="B520" s="10"/>
      <c r="C520" s="10"/>
      <c r="D520" s="10"/>
    </row>
    <row r="521" spans="1:4" ht="14.25" customHeight="1" x14ac:dyDescent="0.35">
      <c r="A521" s="10"/>
      <c r="B521" s="10"/>
      <c r="C521" s="10"/>
      <c r="D521" s="10"/>
    </row>
    <row r="522" spans="1:4" ht="14.25" customHeight="1" x14ac:dyDescent="0.35">
      <c r="A522" s="10"/>
      <c r="B522" s="10"/>
      <c r="C522" s="10"/>
      <c r="D522" s="10"/>
    </row>
    <row r="523" spans="1:4" ht="14.25" customHeight="1" x14ac:dyDescent="0.35">
      <c r="A523" s="10"/>
      <c r="B523" s="10"/>
      <c r="C523" s="10"/>
      <c r="D523" s="10"/>
    </row>
    <row r="524" spans="1:4" ht="14.25" customHeight="1" x14ac:dyDescent="0.35">
      <c r="A524" s="10"/>
      <c r="B524" s="10"/>
      <c r="C524" s="10"/>
      <c r="D524" s="10"/>
    </row>
    <row r="525" spans="1:4" ht="14.25" customHeight="1" x14ac:dyDescent="0.35">
      <c r="A525" s="10"/>
      <c r="B525" s="10"/>
      <c r="C525" s="10"/>
      <c r="D525" s="10"/>
    </row>
    <row r="526" spans="1:4" ht="14.25" customHeight="1" x14ac:dyDescent="0.35">
      <c r="A526" s="10"/>
      <c r="B526" s="10"/>
      <c r="C526" s="10"/>
      <c r="D526" s="10"/>
    </row>
    <row r="527" spans="1:4" ht="14.25" customHeight="1" x14ac:dyDescent="0.35">
      <c r="A527" s="10"/>
      <c r="B527" s="10"/>
      <c r="C527" s="10"/>
      <c r="D527" s="10"/>
    </row>
    <row r="528" spans="1:4" ht="14.25" customHeight="1" x14ac:dyDescent="0.35">
      <c r="A528" s="10"/>
      <c r="B528" s="10"/>
      <c r="C528" s="10"/>
      <c r="D528" s="10"/>
    </row>
    <row r="529" spans="1:4" ht="14.25" customHeight="1" x14ac:dyDescent="0.35">
      <c r="A529" s="10"/>
      <c r="B529" s="10"/>
      <c r="C529" s="10"/>
      <c r="D529" s="10"/>
    </row>
    <row r="530" spans="1:4" ht="14.25" customHeight="1" x14ac:dyDescent="0.35">
      <c r="A530" s="10"/>
      <c r="B530" s="10"/>
      <c r="C530" s="10"/>
      <c r="D530" s="10"/>
    </row>
    <row r="531" spans="1:4" ht="14.25" customHeight="1" x14ac:dyDescent="0.35">
      <c r="A531" s="10"/>
      <c r="B531" s="10"/>
      <c r="C531" s="10"/>
      <c r="D531" s="10"/>
    </row>
    <row r="532" spans="1:4" ht="14.25" customHeight="1" x14ac:dyDescent="0.35">
      <c r="A532" s="10"/>
      <c r="B532" s="10"/>
      <c r="C532" s="10"/>
      <c r="D532" s="10"/>
    </row>
    <row r="533" spans="1:4" ht="14.25" customHeight="1" x14ac:dyDescent="0.35">
      <c r="A533" s="10"/>
      <c r="B533" s="10"/>
      <c r="C533" s="10"/>
      <c r="D533" s="10"/>
    </row>
    <row r="534" spans="1:4" ht="14.25" customHeight="1" x14ac:dyDescent="0.35">
      <c r="A534" s="10"/>
      <c r="B534" s="10"/>
      <c r="C534" s="10"/>
      <c r="D534" s="10"/>
    </row>
    <row r="535" spans="1:4" ht="14.25" customHeight="1" x14ac:dyDescent="0.35">
      <c r="A535" s="10"/>
      <c r="B535" s="10"/>
      <c r="C535" s="10"/>
      <c r="D535" s="10"/>
    </row>
    <row r="536" spans="1:4" ht="14.25" customHeight="1" x14ac:dyDescent="0.35">
      <c r="A536" s="10"/>
      <c r="B536" s="10"/>
      <c r="C536" s="10"/>
      <c r="D536" s="10"/>
    </row>
    <row r="537" spans="1:4" ht="14.25" customHeight="1" x14ac:dyDescent="0.35">
      <c r="A537" s="10"/>
      <c r="B537" s="10"/>
      <c r="C537" s="10"/>
      <c r="D537" s="10"/>
    </row>
    <row r="538" spans="1:4" ht="14.25" customHeight="1" x14ac:dyDescent="0.35">
      <c r="A538" s="10"/>
      <c r="B538" s="10"/>
      <c r="C538" s="10"/>
      <c r="D538" s="10"/>
    </row>
    <row r="539" spans="1:4" ht="14.25" customHeight="1" x14ac:dyDescent="0.35">
      <c r="A539" s="10"/>
      <c r="B539" s="10"/>
      <c r="C539" s="10"/>
      <c r="D539" s="10"/>
    </row>
    <row r="540" spans="1:4" ht="14.25" customHeight="1" x14ac:dyDescent="0.35">
      <c r="A540" s="10"/>
      <c r="B540" s="10"/>
      <c r="C540" s="10"/>
      <c r="D540" s="10"/>
    </row>
    <row r="541" spans="1:4" ht="14.25" customHeight="1" x14ac:dyDescent="0.35">
      <c r="A541" s="10"/>
      <c r="B541" s="10"/>
      <c r="C541" s="10"/>
      <c r="D541" s="10"/>
    </row>
    <row r="542" spans="1:4" ht="14.25" customHeight="1" x14ac:dyDescent="0.35">
      <c r="A542" s="10"/>
      <c r="B542" s="10"/>
      <c r="C542" s="10"/>
      <c r="D542" s="10"/>
    </row>
    <row r="543" spans="1:4" ht="14.25" customHeight="1" x14ac:dyDescent="0.35">
      <c r="A543" s="10"/>
      <c r="B543" s="10"/>
      <c r="C543" s="10"/>
      <c r="D543" s="10"/>
    </row>
    <row r="544" spans="1:4" ht="14.25" customHeight="1" x14ac:dyDescent="0.35">
      <c r="A544" s="10"/>
      <c r="B544" s="10"/>
      <c r="C544" s="10"/>
      <c r="D544" s="10"/>
    </row>
    <row r="545" spans="1:4" ht="14.25" customHeight="1" x14ac:dyDescent="0.35">
      <c r="A545" s="10"/>
      <c r="B545" s="10"/>
      <c r="C545" s="10"/>
      <c r="D545" s="10"/>
    </row>
    <row r="546" spans="1:4" ht="14.25" customHeight="1" x14ac:dyDescent="0.35">
      <c r="A546" s="10"/>
      <c r="B546" s="10"/>
      <c r="C546" s="10"/>
      <c r="D546" s="10"/>
    </row>
    <row r="547" spans="1:4" ht="14.25" customHeight="1" x14ac:dyDescent="0.35">
      <c r="A547" s="10"/>
      <c r="B547" s="10"/>
      <c r="C547" s="10"/>
      <c r="D547" s="10"/>
    </row>
    <row r="548" spans="1:4" ht="14.25" customHeight="1" x14ac:dyDescent="0.35">
      <c r="A548" s="10"/>
      <c r="B548" s="10"/>
      <c r="C548" s="10"/>
      <c r="D548" s="10"/>
    </row>
    <row r="549" spans="1:4" ht="14.25" customHeight="1" x14ac:dyDescent="0.35">
      <c r="A549" s="10"/>
      <c r="B549" s="10"/>
      <c r="C549" s="10"/>
      <c r="D549" s="10"/>
    </row>
    <row r="550" spans="1:4" ht="14.25" customHeight="1" x14ac:dyDescent="0.35">
      <c r="A550" s="10"/>
      <c r="B550" s="10"/>
      <c r="C550" s="10"/>
      <c r="D550" s="10"/>
    </row>
    <row r="551" spans="1:4" ht="14.25" customHeight="1" x14ac:dyDescent="0.35">
      <c r="A551" s="10"/>
      <c r="B551" s="10"/>
      <c r="C551" s="10"/>
      <c r="D551" s="10"/>
    </row>
    <row r="552" spans="1:4" ht="14.25" customHeight="1" x14ac:dyDescent="0.35">
      <c r="A552" s="10"/>
      <c r="B552" s="10"/>
      <c r="C552" s="10"/>
      <c r="D552" s="10"/>
    </row>
    <row r="553" spans="1:4" ht="14.25" customHeight="1" x14ac:dyDescent="0.35">
      <c r="A553" s="10"/>
      <c r="B553" s="10"/>
      <c r="C553" s="10"/>
      <c r="D553" s="10"/>
    </row>
    <row r="554" spans="1:4" ht="14.25" customHeight="1" x14ac:dyDescent="0.35">
      <c r="A554" s="10"/>
      <c r="B554" s="10"/>
      <c r="C554" s="10"/>
      <c r="D554" s="10"/>
    </row>
    <row r="555" spans="1:4" ht="14.25" customHeight="1" x14ac:dyDescent="0.35">
      <c r="A555" s="10"/>
      <c r="B555" s="10"/>
      <c r="C555" s="10"/>
      <c r="D555" s="10"/>
    </row>
    <row r="556" spans="1:4" ht="14.25" customHeight="1" x14ac:dyDescent="0.35">
      <c r="A556" s="10"/>
      <c r="B556" s="10"/>
      <c r="C556" s="10"/>
      <c r="D556" s="10"/>
    </row>
    <row r="557" spans="1:4" ht="14.25" customHeight="1" x14ac:dyDescent="0.35">
      <c r="A557" s="10"/>
      <c r="B557" s="10"/>
      <c r="C557" s="10"/>
      <c r="D557" s="10"/>
    </row>
    <row r="558" spans="1:4" ht="14.25" customHeight="1" x14ac:dyDescent="0.35">
      <c r="A558" s="10"/>
      <c r="B558" s="10"/>
      <c r="C558" s="10"/>
      <c r="D558" s="10"/>
    </row>
    <row r="559" spans="1:4" ht="14.25" customHeight="1" x14ac:dyDescent="0.35">
      <c r="A559" s="10"/>
      <c r="B559" s="10"/>
      <c r="C559" s="10"/>
      <c r="D559" s="10"/>
    </row>
    <row r="560" spans="1:4" ht="14.25" customHeight="1" x14ac:dyDescent="0.35">
      <c r="A560" s="10"/>
      <c r="B560" s="10"/>
      <c r="C560" s="10"/>
      <c r="D560" s="10"/>
    </row>
    <row r="561" spans="1:4" ht="14.25" customHeight="1" x14ac:dyDescent="0.35">
      <c r="A561" s="10"/>
      <c r="B561" s="10"/>
      <c r="C561" s="10"/>
      <c r="D561" s="10"/>
    </row>
    <row r="562" spans="1:4" ht="14.25" customHeight="1" x14ac:dyDescent="0.35">
      <c r="A562" s="10"/>
      <c r="B562" s="10"/>
      <c r="C562" s="10"/>
      <c r="D562" s="10"/>
    </row>
    <row r="563" spans="1:4" ht="14.25" customHeight="1" x14ac:dyDescent="0.35">
      <c r="A563" s="10"/>
      <c r="B563" s="10"/>
      <c r="C563" s="10"/>
      <c r="D563" s="10"/>
    </row>
    <row r="564" spans="1:4" ht="14.25" customHeight="1" x14ac:dyDescent="0.35">
      <c r="A564" s="10"/>
      <c r="B564" s="10"/>
      <c r="C564" s="10"/>
      <c r="D564" s="10"/>
    </row>
    <row r="565" spans="1:4" ht="14.25" customHeight="1" x14ac:dyDescent="0.35">
      <c r="A565" s="10"/>
      <c r="B565" s="10"/>
      <c r="C565" s="10"/>
      <c r="D565" s="10"/>
    </row>
    <row r="566" spans="1:4" ht="14.25" customHeight="1" x14ac:dyDescent="0.35">
      <c r="A566" s="10"/>
      <c r="B566" s="10"/>
      <c r="C566" s="10"/>
      <c r="D566" s="10"/>
    </row>
    <row r="567" spans="1:4" ht="14.25" customHeight="1" x14ac:dyDescent="0.35">
      <c r="A567" s="10"/>
      <c r="B567" s="10"/>
      <c r="C567" s="10"/>
      <c r="D567" s="10"/>
    </row>
    <row r="568" spans="1:4" ht="14.25" customHeight="1" x14ac:dyDescent="0.35">
      <c r="A568" s="10"/>
      <c r="B568" s="10"/>
      <c r="C568" s="10"/>
      <c r="D568" s="10"/>
    </row>
    <row r="569" spans="1:4" ht="14.25" customHeight="1" x14ac:dyDescent="0.35">
      <c r="A569" s="10"/>
      <c r="B569" s="10"/>
      <c r="C569" s="10"/>
      <c r="D569" s="10"/>
    </row>
    <row r="570" spans="1:4" ht="14.25" customHeight="1" x14ac:dyDescent="0.35">
      <c r="A570" s="10"/>
      <c r="B570" s="10"/>
      <c r="C570" s="10"/>
      <c r="D570" s="10"/>
    </row>
    <row r="571" spans="1:4" ht="14.25" customHeight="1" x14ac:dyDescent="0.35">
      <c r="A571" s="10"/>
      <c r="B571" s="10"/>
      <c r="C571" s="10"/>
      <c r="D571" s="10"/>
    </row>
    <row r="572" spans="1:4" ht="14.25" customHeight="1" x14ac:dyDescent="0.35">
      <c r="A572" s="10"/>
      <c r="B572" s="10"/>
      <c r="C572" s="10"/>
      <c r="D572" s="10"/>
    </row>
    <row r="573" spans="1:4" ht="14.25" customHeight="1" x14ac:dyDescent="0.35">
      <c r="A573" s="10"/>
      <c r="B573" s="10"/>
      <c r="C573" s="10"/>
      <c r="D573" s="10"/>
    </row>
    <row r="574" spans="1:4" ht="14.25" customHeight="1" x14ac:dyDescent="0.35">
      <c r="A574" s="10"/>
      <c r="B574" s="10"/>
      <c r="C574" s="10"/>
      <c r="D574" s="10"/>
    </row>
    <row r="575" spans="1:4" ht="14.25" customHeight="1" x14ac:dyDescent="0.35">
      <c r="A575" s="10"/>
      <c r="B575" s="10"/>
      <c r="C575" s="10"/>
      <c r="D575" s="10"/>
    </row>
    <row r="576" spans="1:4" ht="14.25" customHeight="1" x14ac:dyDescent="0.35">
      <c r="A576" s="10"/>
      <c r="B576" s="10"/>
      <c r="C576" s="10"/>
      <c r="D576" s="10"/>
    </row>
    <row r="577" spans="1:4" ht="14.25" customHeight="1" x14ac:dyDescent="0.35">
      <c r="A577" s="10"/>
      <c r="B577" s="10"/>
      <c r="C577" s="10"/>
      <c r="D577" s="10"/>
    </row>
    <row r="578" spans="1:4" ht="14.25" customHeight="1" x14ac:dyDescent="0.35">
      <c r="A578" s="10"/>
      <c r="B578" s="10"/>
      <c r="C578" s="10"/>
      <c r="D578" s="10"/>
    </row>
    <row r="579" spans="1:4" ht="14.25" customHeight="1" x14ac:dyDescent="0.35">
      <c r="A579" s="10"/>
      <c r="B579" s="10"/>
      <c r="C579" s="10"/>
      <c r="D579" s="10"/>
    </row>
    <row r="580" spans="1:4" ht="14.25" customHeight="1" x14ac:dyDescent="0.35">
      <c r="A580" s="10"/>
      <c r="B580" s="10"/>
      <c r="C580" s="10"/>
      <c r="D580" s="10"/>
    </row>
    <row r="581" spans="1:4" ht="14.25" customHeight="1" x14ac:dyDescent="0.35">
      <c r="A581" s="10"/>
      <c r="B581" s="10"/>
      <c r="C581" s="10"/>
      <c r="D581" s="10"/>
    </row>
    <row r="582" spans="1:4" ht="14.25" customHeight="1" x14ac:dyDescent="0.35">
      <c r="A582" s="10"/>
      <c r="B582" s="10"/>
      <c r="C582" s="10"/>
      <c r="D582" s="10"/>
    </row>
    <row r="583" spans="1:4" ht="14.25" customHeight="1" x14ac:dyDescent="0.35">
      <c r="A583" s="10"/>
      <c r="B583" s="10"/>
      <c r="C583" s="10"/>
      <c r="D583" s="10"/>
    </row>
    <row r="584" spans="1:4" ht="14.25" customHeight="1" x14ac:dyDescent="0.35">
      <c r="A584" s="10"/>
      <c r="B584" s="10"/>
      <c r="C584" s="10"/>
      <c r="D584" s="10"/>
    </row>
    <row r="585" spans="1:4" ht="14.25" customHeight="1" x14ac:dyDescent="0.35">
      <c r="A585" s="10"/>
      <c r="B585" s="10"/>
      <c r="C585" s="10"/>
      <c r="D585" s="10"/>
    </row>
    <row r="586" spans="1:4" ht="14.25" customHeight="1" x14ac:dyDescent="0.35">
      <c r="A586" s="10"/>
      <c r="B586" s="10"/>
      <c r="C586" s="10"/>
      <c r="D586" s="10"/>
    </row>
    <row r="587" spans="1:4" ht="14.25" customHeight="1" x14ac:dyDescent="0.35">
      <c r="A587" s="10"/>
      <c r="B587" s="10"/>
      <c r="C587" s="10"/>
      <c r="D587" s="10"/>
    </row>
    <row r="588" spans="1:4" ht="14.25" customHeight="1" x14ac:dyDescent="0.35">
      <c r="A588" s="10"/>
      <c r="B588" s="10"/>
      <c r="C588" s="10"/>
      <c r="D588" s="10"/>
    </row>
    <row r="589" spans="1:4" ht="14.25" customHeight="1" x14ac:dyDescent="0.35">
      <c r="A589" s="10"/>
      <c r="B589" s="10"/>
      <c r="C589" s="10"/>
      <c r="D589" s="10"/>
    </row>
    <row r="590" spans="1:4" ht="14.25" customHeight="1" x14ac:dyDescent="0.35">
      <c r="A590" s="10"/>
      <c r="B590" s="10"/>
      <c r="C590" s="10"/>
      <c r="D590" s="10"/>
    </row>
    <row r="591" spans="1:4" ht="14.25" customHeight="1" x14ac:dyDescent="0.35">
      <c r="A591" s="10"/>
      <c r="B591" s="10"/>
      <c r="C591" s="10"/>
      <c r="D591" s="10"/>
    </row>
    <row r="592" spans="1:4" ht="14.25" customHeight="1" x14ac:dyDescent="0.35">
      <c r="A592" s="10"/>
      <c r="B592" s="10"/>
      <c r="C592" s="10"/>
      <c r="D592" s="10"/>
    </row>
    <row r="593" spans="1:4" ht="14.25" customHeight="1" x14ac:dyDescent="0.35">
      <c r="A593" s="10"/>
      <c r="B593" s="10"/>
      <c r="C593" s="10"/>
      <c r="D593" s="10"/>
    </row>
    <row r="594" spans="1:4" ht="14.25" customHeight="1" x14ac:dyDescent="0.35">
      <c r="A594" s="10"/>
      <c r="B594" s="10"/>
      <c r="C594" s="10"/>
      <c r="D594" s="10"/>
    </row>
    <row r="595" spans="1:4" ht="14.25" customHeight="1" x14ac:dyDescent="0.35">
      <c r="A595" s="10"/>
      <c r="B595" s="10"/>
      <c r="C595" s="10"/>
      <c r="D595" s="10"/>
    </row>
    <row r="596" spans="1:4" ht="14.25" customHeight="1" x14ac:dyDescent="0.35">
      <c r="A596" s="10"/>
      <c r="B596" s="10"/>
      <c r="C596" s="10"/>
      <c r="D596" s="10"/>
    </row>
    <row r="597" spans="1:4" ht="14.25" customHeight="1" x14ac:dyDescent="0.35">
      <c r="A597" s="10"/>
      <c r="B597" s="10"/>
      <c r="C597" s="10"/>
      <c r="D597" s="10"/>
    </row>
    <row r="598" spans="1:4" ht="14.25" customHeight="1" x14ac:dyDescent="0.35">
      <c r="A598" s="10"/>
      <c r="B598" s="10"/>
      <c r="C598" s="10"/>
      <c r="D598" s="10"/>
    </row>
    <row r="599" spans="1:4" ht="14.25" customHeight="1" x14ac:dyDescent="0.35">
      <c r="A599" s="10"/>
      <c r="B599" s="10"/>
      <c r="C599" s="10"/>
      <c r="D599" s="10"/>
    </row>
    <row r="600" spans="1:4" ht="14.25" customHeight="1" x14ac:dyDescent="0.35">
      <c r="A600" s="10"/>
      <c r="B600" s="10"/>
      <c r="C600" s="10"/>
      <c r="D600" s="10"/>
    </row>
    <row r="601" spans="1:4" ht="14.25" customHeight="1" x14ac:dyDescent="0.35">
      <c r="A601" s="10"/>
      <c r="B601" s="10"/>
      <c r="C601" s="10"/>
      <c r="D601" s="10"/>
    </row>
    <row r="602" spans="1:4" ht="14.25" customHeight="1" x14ac:dyDescent="0.35">
      <c r="A602" s="10"/>
      <c r="B602" s="10"/>
      <c r="C602" s="10"/>
      <c r="D602" s="10"/>
    </row>
    <row r="603" spans="1:4" ht="14.25" customHeight="1" x14ac:dyDescent="0.35">
      <c r="A603" s="10"/>
      <c r="B603" s="10"/>
      <c r="C603" s="10"/>
      <c r="D603" s="10"/>
    </row>
    <row r="604" spans="1:4" ht="14.25" customHeight="1" x14ac:dyDescent="0.35">
      <c r="A604" s="10"/>
      <c r="B604" s="10"/>
      <c r="C604" s="10"/>
      <c r="D604" s="10"/>
    </row>
    <row r="605" spans="1:4" ht="14.25" customHeight="1" x14ac:dyDescent="0.35">
      <c r="A605" s="10"/>
      <c r="B605" s="10"/>
      <c r="C605" s="10"/>
      <c r="D605" s="10"/>
    </row>
    <row r="606" spans="1:4" ht="14.25" customHeight="1" x14ac:dyDescent="0.35">
      <c r="A606" s="10"/>
      <c r="B606" s="10"/>
      <c r="C606" s="10"/>
      <c r="D606" s="10"/>
    </row>
    <row r="607" spans="1:4" ht="14.25" customHeight="1" x14ac:dyDescent="0.35">
      <c r="A607" s="10"/>
      <c r="B607" s="10"/>
      <c r="C607" s="10"/>
      <c r="D607" s="10"/>
    </row>
    <row r="608" spans="1:4" ht="14.25" customHeight="1" x14ac:dyDescent="0.35">
      <c r="A608" s="10"/>
      <c r="B608" s="10"/>
      <c r="C608" s="10"/>
      <c r="D608" s="10"/>
    </row>
    <row r="609" spans="1:4" ht="14.25" customHeight="1" x14ac:dyDescent="0.35">
      <c r="A609" s="10"/>
      <c r="B609" s="10"/>
      <c r="C609" s="10"/>
      <c r="D609" s="10"/>
    </row>
    <row r="610" spans="1:4" ht="14.25" customHeight="1" x14ac:dyDescent="0.35">
      <c r="A610" s="10"/>
      <c r="B610" s="10"/>
      <c r="C610" s="10"/>
      <c r="D610" s="10"/>
    </row>
    <row r="611" spans="1:4" ht="14.25" customHeight="1" x14ac:dyDescent="0.35">
      <c r="A611" s="10"/>
      <c r="B611" s="10"/>
      <c r="C611" s="10"/>
      <c r="D611" s="10"/>
    </row>
    <row r="612" spans="1:4" ht="14.25" customHeight="1" x14ac:dyDescent="0.35">
      <c r="A612" s="10"/>
      <c r="B612" s="10"/>
      <c r="C612" s="10"/>
      <c r="D612" s="10"/>
    </row>
    <row r="613" spans="1:4" ht="14.25" customHeight="1" x14ac:dyDescent="0.35">
      <c r="A613" s="10"/>
      <c r="B613" s="10"/>
      <c r="C613" s="10"/>
      <c r="D613" s="10"/>
    </row>
    <row r="614" spans="1:4" ht="14.25" customHeight="1" x14ac:dyDescent="0.35">
      <c r="A614" s="10"/>
      <c r="B614" s="10"/>
      <c r="C614" s="10"/>
      <c r="D614" s="10"/>
    </row>
    <row r="615" spans="1:4" ht="14.25" customHeight="1" x14ac:dyDescent="0.35">
      <c r="A615" s="10"/>
      <c r="B615" s="10"/>
      <c r="C615" s="10"/>
      <c r="D615" s="10"/>
    </row>
    <row r="616" spans="1:4" ht="14.25" customHeight="1" x14ac:dyDescent="0.35">
      <c r="A616" s="10"/>
      <c r="B616" s="10"/>
      <c r="C616" s="10"/>
      <c r="D616" s="10"/>
    </row>
    <row r="617" spans="1:4" ht="14.25" customHeight="1" x14ac:dyDescent="0.35">
      <c r="A617" s="10"/>
      <c r="B617" s="10"/>
      <c r="C617" s="10"/>
      <c r="D617" s="10"/>
    </row>
    <row r="618" spans="1:4" ht="14.25" customHeight="1" x14ac:dyDescent="0.35">
      <c r="A618" s="10"/>
      <c r="B618" s="10"/>
      <c r="C618" s="10"/>
      <c r="D618" s="10"/>
    </row>
    <row r="619" spans="1:4" ht="14.25" customHeight="1" x14ac:dyDescent="0.35">
      <c r="A619" s="10"/>
      <c r="B619" s="10"/>
      <c r="C619" s="10"/>
      <c r="D619" s="10"/>
    </row>
    <row r="620" spans="1:4" ht="14.25" customHeight="1" x14ac:dyDescent="0.35">
      <c r="A620" s="10"/>
      <c r="B620" s="10"/>
      <c r="C620" s="10"/>
      <c r="D620" s="10"/>
    </row>
    <row r="621" spans="1:4" ht="14.25" customHeight="1" x14ac:dyDescent="0.35">
      <c r="A621" s="10"/>
      <c r="B621" s="10"/>
      <c r="C621" s="10"/>
      <c r="D621" s="10"/>
    </row>
    <row r="622" spans="1:4" ht="14.25" customHeight="1" x14ac:dyDescent="0.35">
      <c r="A622" s="10"/>
      <c r="B622" s="10"/>
      <c r="C622" s="10"/>
      <c r="D622" s="10"/>
    </row>
    <row r="623" spans="1:4" ht="14.25" customHeight="1" x14ac:dyDescent="0.35">
      <c r="A623" s="10"/>
      <c r="B623" s="10"/>
      <c r="C623" s="10"/>
      <c r="D623" s="10"/>
    </row>
    <row r="624" spans="1:4" ht="14.25" customHeight="1" x14ac:dyDescent="0.35">
      <c r="A624" s="10"/>
      <c r="B624" s="10"/>
      <c r="C624" s="10"/>
      <c r="D624" s="10"/>
    </row>
    <row r="625" spans="1:4" ht="14.25" customHeight="1" x14ac:dyDescent="0.35">
      <c r="A625" s="10"/>
      <c r="B625" s="10"/>
      <c r="C625" s="10"/>
      <c r="D625" s="10"/>
    </row>
    <row r="626" spans="1:4" ht="14.25" customHeight="1" x14ac:dyDescent="0.35">
      <c r="A626" s="10"/>
      <c r="B626" s="10"/>
      <c r="C626" s="10"/>
      <c r="D626" s="10"/>
    </row>
    <row r="627" spans="1:4" ht="14.25" customHeight="1" x14ac:dyDescent="0.35">
      <c r="A627" s="10"/>
      <c r="B627" s="10"/>
      <c r="C627" s="10"/>
      <c r="D627" s="10"/>
    </row>
    <row r="628" spans="1:4" ht="14.25" customHeight="1" x14ac:dyDescent="0.35">
      <c r="A628" s="10"/>
      <c r="B628" s="10"/>
      <c r="C628" s="10"/>
      <c r="D628" s="10"/>
    </row>
    <row r="629" spans="1:4" ht="14.25" customHeight="1" x14ac:dyDescent="0.35">
      <c r="A629" s="10"/>
      <c r="B629" s="10"/>
      <c r="C629" s="10"/>
      <c r="D629" s="10"/>
    </row>
    <row r="630" spans="1:4" ht="14.25" customHeight="1" x14ac:dyDescent="0.35">
      <c r="A630" s="10"/>
      <c r="B630" s="10"/>
      <c r="C630" s="10"/>
      <c r="D630" s="10"/>
    </row>
    <row r="631" spans="1:4" ht="14.25" customHeight="1" x14ac:dyDescent="0.35">
      <c r="A631" s="10"/>
      <c r="B631" s="10"/>
      <c r="C631" s="10"/>
      <c r="D631" s="10"/>
    </row>
    <row r="632" spans="1:4" ht="14.25" customHeight="1" x14ac:dyDescent="0.35">
      <c r="A632" s="10"/>
      <c r="B632" s="10"/>
      <c r="C632" s="10"/>
      <c r="D632" s="10"/>
    </row>
    <row r="633" spans="1:4" ht="14.25" customHeight="1" x14ac:dyDescent="0.35">
      <c r="A633" s="10"/>
      <c r="B633" s="10"/>
      <c r="C633" s="10"/>
      <c r="D633" s="10"/>
    </row>
    <row r="634" spans="1:4" ht="14.25" customHeight="1" x14ac:dyDescent="0.35">
      <c r="A634" s="10"/>
      <c r="B634" s="10"/>
      <c r="C634" s="10"/>
      <c r="D634" s="10"/>
    </row>
    <row r="635" spans="1:4" ht="14.25" customHeight="1" x14ac:dyDescent="0.35">
      <c r="A635" s="10"/>
      <c r="B635" s="10"/>
      <c r="C635" s="10"/>
      <c r="D635" s="10"/>
    </row>
    <row r="636" spans="1:4" ht="14.25" customHeight="1" x14ac:dyDescent="0.35">
      <c r="A636" s="10"/>
      <c r="B636" s="10"/>
      <c r="C636" s="10"/>
      <c r="D636" s="10"/>
    </row>
    <row r="637" spans="1:4" ht="14.25" customHeight="1" x14ac:dyDescent="0.35">
      <c r="A637" s="10"/>
      <c r="B637" s="10"/>
      <c r="C637" s="10"/>
      <c r="D637" s="10"/>
    </row>
    <row r="638" spans="1:4" ht="14.25" customHeight="1" x14ac:dyDescent="0.35">
      <c r="A638" s="10"/>
      <c r="B638" s="10"/>
      <c r="C638" s="10"/>
      <c r="D638" s="10"/>
    </row>
    <row r="639" spans="1:4" ht="14.25" customHeight="1" x14ac:dyDescent="0.35">
      <c r="A639" s="10"/>
      <c r="B639" s="10"/>
      <c r="C639" s="10"/>
      <c r="D639" s="10"/>
    </row>
    <row r="640" spans="1:4" ht="14.25" customHeight="1" x14ac:dyDescent="0.35">
      <c r="A640" s="10"/>
      <c r="B640" s="10"/>
      <c r="C640" s="10"/>
      <c r="D640" s="10"/>
    </row>
    <row r="641" spans="1:4" ht="14.25" customHeight="1" x14ac:dyDescent="0.35">
      <c r="A641" s="10"/>
      <c r="B641" s="10"/>
      <c r="C641" s="10"/>
      <c r="D641" s="10"/>
    </row>
    <row r="642" spans="1:4" ht="14.25" customHeight="1" x14ac:dyDescent="0.35">
      <c r="A642" s="10"/>
      <c r="B642" s="10"/>
      <c r="C642" s="10"/>
      <c r="D642" s="10"/>
    </row>
    <row r="643" spans="1:4" ht="14.25" customHeight="1" x14ac:dyDescent="0.35">
      <c r="A643" s="10"/>
      <c r="B643" s="10"/>
      <c r="C643" s="10"/>
      <c r="D643" s="10"/>
    </row>
    <row r="644" spans="1:4" ht="14.25" customHeight="1" x14ac:dyDescent="0.35">
      <c r="A644" s="10"/>
      <c r="B644" s="10"/>
      <c r="C644" s="10"/>
      <c r="D644" s="10"/>
    </row>
    <row r="645" spans="1:4" ht="14.25" customHeight="1" x14ac:dyDescent="0.35">
      <c r="A645" s="10"/>
      <c r="B645" s="10"/>
      <c r="C645" s="10"/>
      <c r="D645" s="10"/>
    </row>
    <row r="646" spans="1:4" ht="14.25" customHeight="1" x14ac:dyDescent="0.35">
      <c r="A646" s="10"/>
      <c r="B646" s="10"/>
      <c r="C646" s="10"/>
      <c r="D646" s="10"/>
    </row>
    <row r="647" spans="1:4" ht="14.25" customHeight="1" x14ac:dyDescent="0.35">
      <c r="A647" s="10"/>
      <c r="B647" s="10"/>
      <c r="C647" s="10"/>
      <c r="D647" s="10"/>
    </row>
    <row r="648" spans="1:4" ht="14.25" customHeight="1" x14ac:dyDescent="0.35">
      <c r="A648" s="10"/>
      <c r="B648" s="10"/>
      <c r="C648" s="10"/>
      <c r="D648" s="10"/>
    </row>
    <row r="649" spans="1:4" ht="14.25" customHeight="1" x14ac:dyDescent="0.35">
      <c r="A649" s="10"/>
      <c r="B649" s="10"/>
      <c r="C649" s="10"/>
      <c r="D649" s="10"/>
    </row>
    <row r="650" spans="1:4" ht="14.25" customHeight="1" x14ac:dyDescent="0.35">
      <c r="A650" s="10"/>
      <c r="B650" s="10"/>
      <c r="C650" s="10"/>
      <c r="D650" s="10"/>
    </row>
    <row r="651" spans="1:4" ht="14.25" customHeight="1" x14ac:dyDescent="0.35">
      <c r="A651" s="10"/>
      <c r="B651" s="10"/>
      <c r="C651" s="10"/>
      <c r="D651" s="10"/>
    </row>
    <row r="652" spans="1:4" ht="14.25" customHeight="1" x14ac:dyDescent="0.35">
      <c r="A652" s="10"/>
      <c r="B652" s="10"/>
      <c r="C652" s="10"/>
      <c r="D652" s="10"/>
    </row>
    <row r="653" spans="1:4" ht="14.25" customHeight="1" x14ac:dyDescent="0.35">
      <c r="A653" s="10"/>
      <c r="B653" s="10"/>
      <c r="C653" s="10"/>
      <c r="D653" s="10"/>
    </row>
    <row r="654" spans="1:4" ht="14.25" customHeight="1" x14ac:dyDescent="0.35">
      <c r="A654" s="10"/>
      <c r="B654" s="10"/>
      <c r="C654" s="10"/>
      <c r="D654" s="10"/>
    </row>
    <row r="655" spans="1:4" ht="14.25" customHeight="1" x14ac:dyDescent="0.35">
      <c r="A655" s="10"/>
      <c r="B655" s="10"/>
      <c r="C655" s="10"/>
      <c r="D655" s="10"/>
    </row>
    <row r="656" spans="1:4" ht="14.25" customHeight="1" x14ac:dyDescent="0.35">
      <c r="A656" s="10"/>
      <c r="B656" s="10"/>
      <c r="C656" s="10"/>
      <c r="D656" s="10"/>
    </row>
    <row r="657" spans="1:4" ht="14.25" customHeight="1" x14ac:dyDescent="0.35">
      <c r="A657" s="10"/>
      <c r="B657" s="10"/>
      <c r="C657" s="10"/>
      <c r="D657" s="10"/>
    </row>
    <row r="658" spans="1:4" ht="14.25" customHeight="1" x14ac:dyDescent="0.35">
      <c r="A658" s="10"/>
      <c r="B658" s="10"/>
      <c r="C658" s="10"/>
      <c r="D658" s="10"/>
    </row>
    <row r="659" spans="1:4" ht="14.25" customHeight="1" x14ac:dyDescent="0.35">
      <c r="A659" s="10"/>
      <c r="B659" s="10"/>
      <c r="C659" s="10"/>
      <c r="D659" s="10"/>
    </row>
    <row r="660" spans="1:4" ht="14.25" customHeight="1" x14ac:dyDescent="0.35">
      <c r="A660" s="10"/>
      <c r="B660" s="10"/>
      <c r="C660" s="10"/>
      <c r="D660" s="10"/>
    </row>
    <row r="661" spans="1:4" ht="14.25" customHeight="1" x14ac:dyDescent="0.35">
      <c r="A661" s="10"/>
      <c r="B661" s="10"/>
      <c r="C661" s="10"/>
      <c r="D661" s="10"/>
    </row>
    <row r="662" spans="1:4" ht="14.25" customHeight="1" x14ac:dyDescent="0.35">
      <c r="A662" s="10"/>
      <c r="B662" s="10"/>
      <c r="C662" s="10"/>
      <c r="D662" s="10"/>
    </row>
    <row r="663" spans="1:4" ht="14.25" customHeight="1" x14ac:dyDescent="0.35">
      <c r="A663" s="10"/>
      <c r="B663" s="10"/>
      <c r="C663" s="10"/>
      <c r="D663" s="10"/>
    </row>
    <row r="664" spans="1:4" ht="14.25" customHeight="1" x14ac:dyDescent="0.35">
      <c r="A664" s="10"/>
      <c r="B664" s="10"/>
      <c r="C664" s="10"/>
      <c r="D664" s="10"/>
    </row>
    <row r="665" spans="1:4" ht="14.25" customHeight="1" x14ac:dyDescent="0.35">
      <c r="A665" s="10"/>
      <c r="B665" s="10"/>
      <c r="C665" s="10"/>
      <c r="D665" s="10"/>
    </row>
    <row r="666" spans="1:4" ht="14.25" customHeight="1" x14ac:dyDescent="0.35">
      <c r="A666" s="10"/>
      <c r="B666" s="10"/>
      <c r="C666" s="10"/>
      <c r="D666" s="10"/>
    </row>
    <row r="667" spans="1:4" ht="14.25" customHeight="1" x14ac:dyDescent="0.35">
      <c r="A667" s="10"/>
      <c r="B667" s="10"/>
      <c r="C667" s="10"/>
      <c r="D667" s="10"/>
    </row>
    <row r="668" spans="1:4" ht="14.25" customHeight="1" x14ac:dyDescent="0.35">
      <c r="A668" s="10"/>
      <c r="B668" s="10"/>
      <c r="C668" s="10"/>
      <c r="D668" s="10"/>
    </row>
    <row r="669" spans="1:4" ht="14.25" customHeight="1" x14ac:dyDescent="0.35">
      <c r="A669" s="10"/>
      <c r="B669" s="10"/>
      <c r="C669" s="10"/>
      <c r="D669" s="10"/>
    </row>
    <row r="670" spans="1:4" ht="14.25" customHeight="1" x14ac:dyDescent="0.35">
      <c r="A670" s="10"/>
      <c r="B670" s="10"/>
      <c r="C670" s="10"/>
      <c r="D670" s="10"/>
    </row>
    <row r="671" spans="1:4" ht="14.25" customHeight="1" x14ac:dyDescent="0.35">
      <c r="A671" s="10"/>
      <c r="B671" s="10"/>
      <c r="C671" s="10"/>
      <c r="D671" s="10"/>
    </row>
    <row r="672" spans="1:4" ht="14.25" customHeight="1" x14ac:dyDescent="0.35">
      <c r="A672" s="10"/>
      <c r="B672" s="10"/>
      <c r="C672" s="10"/>
      <c r="D672" s="10"/>
    </row>
    <row r="673" spans="1:4" ht="14.25" customHeight="1" x14ac:dyDescent="0.35">
      <c r="A673" s="10"/>
      <c r="B673" s="10"/>
      <c r="C673" s="10"/>
      <c r="D673" s="10"/>
    </row>
    <row r="674" spans="1:4" ht="14.25" customHeight="1" x14ac:dyDescent="0.35">
      <c r="A674" s="10"/>
      <c r="B674" s="10"/>
      <c r="C674" s="10"/>
      <c r="D674" s="10"/>
    </row>
    <row r="675" spans="1:4" ht="14.25" customHeight="1" x14ac:dyDescent="0.35">
      <c r="A675" s="10"/>
      <c r="B675" s="10"/>
      <c r="C675" s="10"/>
      <c r="D675" s="10"/>
    </row>
    <row r="676" spans="1:4" ht="14.25" customHeight="1" x14ac:dyDescent="0.35">
      <c r="A676" s="10"/>
      <c r="B676" s="10"/>
      <c r="C676" s="10"/>
      <c r="D676" s="10"/>
    </row>
    <row r="677" spans="1:4" ht="14.25" customHeight="1" x14ac:dyDescent="0.35">
      <c r="A677" s="10"/>
      <c r="B677" s="10"/>
      <c r="C677" s="10"/>
      <c r="D677" s="10"/>
    </row>
    <row r="678" spans="1:4" ht="14.25" customHeight="1" x14ac:dyDescent="0.35">
      <c r="A678" s="10"/>
      <c r="B678" s="10"/>
      <c r="C678" s="10"/>
      <c r="D678" s="10"/>
    </row>
    <row r="679" spans="1:4" ht="14.25" customHeight="1" x14ac:dyDescent="0.35">
      <c r="A679" s="10"/>
      <c r="B679" s="10"/>
      <c r="C679" s="10"/>
      <c r="D679" s="10"/>
    </row>
    <row r="680" spans="1:4" ht="14.25" customHeight="1" x14ac:dyDescent="0.35">
      <c r="A680" s="10"/>
      <c r="B680" s="10"/>
      <c r="C680" s="10"/>
      <c r="D680" s="10"/>
    </row>
    <row r="681" spans="1:4" ht="14.25" customHeight="1" x14ac:dyDescent="0.35">
      <c r="A681" s="10"/>
      <c r="B681" s="10"/>
      <c r="C681" s="10"/>
      <c r="D681" s="10"/>
    </row>
    <row r="682" spans="1:4" ht="14.25" customHeight="1" x14ac:dyDescent="0.35">
      <c r="A682" s="10"/>
      <c r="B682" s="10"/>
      <c r="C682" s="10"/>
      <c r="D682" s="10"/>
    </row>
    <row r="683" spans="1:4" ht="14.25" customHeight="1" x14ac:dyDescent="0.35">
      <c r="A683" s="10"/>
      <c r="B683" s="10"/>
      <c r="C683" s="10"/>
      <c r="D683" s="10"/>
    </row>
    <row r="684" spans="1:4" ht="14.25" customHeight="1" x14ac:dyDescent="0.35">
      <c r="A684" s="10"/>
      <c r="B684" s="10"/>
      <c r="C684" s="10"/>
      <c r="D684" s="10"/>
    </row>
    <row r="685" spans="1:4" ht="14.25" customHeight="1" x14ac:dyDescent="0.35">
      <c r="A685" s="10"/>
      <c r="B685" s="10"/>
      <c r="C685" s="10"/>
      <c r="D685" s="10"/>
    </row>
    <row r="686" spans="1:4" ht="14.25" customHeight="1" x14ac:dyDescent="0.35">
      <c r="A686" s="10"/>
      <c r="B686" s="10"/>
      <c r="C686" s="10"/>
      <c r="D686" s="10"/>
    </row>
    <row r="687" spans="1:4" ht="14.25" customHeight="1" x14ac:dyDescent="0.35">
      <c r="A687" s="10"/>
      <c r="B687" s="10"/>
      <c r="C687" s="10"/>
      <c r="D687" s="10"/>
    </row>
    <row r="688" spans="1:4" ht="14.25" customHeight="1" x14ac:dyDescent="0.35">
      <c r="A688" s="10"/>
      <c r="B688" s="10"/>
      <c r="C688" s="10"/>
      <c r="D688" s="10"/>
    </row>
    <row r="689" spans="1:4" ht="14.25" customHeight="1" x14ac:dyDescent="0.35">
      <c r="A689" s="10"/>
      <c r="B689" s="10"/>
      <c r="C689" s="10"/>
      <c r="D689" s="10"/>
    </row>
    <row r="690" spans="1:4" ht="14.25" customHeight="1" x14ac:dyDescent="0.35">
      <c r="A690" s="10"/>
      <c r="B690" s="10"/>
      <c r="C690" s="10"/>
      <c r="D690" s="10"/>
    </row>
    <row r="691" spans="1:4" ht="14.25" customHeight="1" x14ac:dyDescent="0.35">
      <c r="A691" s="10"/>
      <c r="B691" s="10"/>
      <c r="C691" s="10"/>
      <c r="D691" s="10"/>
    </row>
    <row r="692" spans="1:4" ht="14.25" customHeight="1" x14ac:dyDescent="0.35">
      <c r="A692" s="10"/>
      <c r="B692" s="10"/>
      <c r="C692" s="10"/>
      <c r="D692" s="10"/>
    </row>
    <row r="693" spans="1:4" ht="14.25" customHeight="1" x14ac:dyDescent="0.35">
      <c r="A693" s="10"/>
      <c r="B693" s="10"/>
      <c r="C693" s="10"/>
      <c r="D693" s="10"/>
    </row>
    <row r="694" spans="1:4" ht="14.25" customHeight="1" x14ac:dyDescent="0.35">
      <c r="A694" s="10"/>
      <c r="B694" s="10"/>
      <c r="C694" s="10"/>
      <c r="D694" s="10"/>
    </row>
    <row r="695" spans="1:4" ht="14.25" customHeight="1" x14ac:dyDescent="0.35">
      <c r="A695" s="10"/>
      <c r="B695" s="10"/>
      <c r="C695" s="10"/>
      <c r="D695" s="10"/>
    </row>
    <row r="696" spans="1:4" ht="14.25" customHeight="1" x14ac:dyDescent="0.35">
      <c r="A696" s="10"/>
      <c r="B696" s="10"/>
      <c r="C696" s="10"/>
      <c r="D696" s="10"/>
    </row>
    <row r="697" spans="1:4" ht="14.25" customHeight="1" x14ac:dyDescent="0.35">
      <c r="A697" s="10"/>
      <c r="B697" s="10"/>
      <c r="C697" s="10"/>
      <c r="D697" s="10"/>
    </row>
    <row r="698" spans="1:4" ht="14.25" customHeight="1" x14ac:dyDescent="0.35">
      <c r="A698" s="10"/>
      <c r="B698" s="10"/>
      <c r="C698" s="10"/>
      <c r="D698" s="10"/>
    </row>
    <row r="699" spans="1:4" ht="14.25" customHeight="1" x14ac:dyDescent="0.35">
      <c r="A699" s="10"/>
      <c r="B699" s="10"/>
      <c r="C699" s="10"/>
      <c r="D699" s="10"/>
    </row>
    <row r="700" spans="1:4" ht="14.25" customHeight="1" x14ac:dyDescent="0.35">
      <c r="A700" s="10"/>
      <c r="B700" s="10"/>
      <c r="C700" s="10"/>
      <c r="D700" s="10"/>
    </row>
    <row r="701" spans="1:4" ht="14.25" customHeight="1" x14ac:dyDescent="0.35">
      <c r="A701" s="10"/>
      <c r="B701" s="10"/>
      <c r="C701" s="10"/>
      <c r="D701" s="10"/>
    </row>
    <row r="702" spans="1:4" ht="14.25" customHeight="1" x14ac:dyDescent="0.35">
      <c r="A702" s="10"/>
      <c r="B702" s="10"/>
      <c r="C702" s="10"/>
      <c r="D702" s="10"/>
    </row>
    <row r="703" spans="1:4" ht="14.25" customHeight="1" x14ac:dyDescent="0.35">
      <c r="A703" s="10"/>
      <c r="B703" s="10"/>
      <c r="C703" s="10"/>
      <c r="D703" s="10"/>
    </row>
    <row r="704" spans="1:4" ht="14.25" customHeight="1" x14ac:dyDescent="0.35">
      <c r="A704" s="10"/>
      <c r="B704" s="10"/>
      <c r="C704" s="10"/>
      <c r="D704" s="10"/>
    </row>
    <row r="705" spans="1:4" ht="14.25" customHeight="1" x14ac:dyDescent="0.35">
      <c r="A705" s="10"/>
      <c r="B705" s="10"/>
      <c r="C705" s="10"/>
      <c r="D705" s="10"/>
    </row>
    <row r="706" spans="1:4" ht="14.25" customHeight="1" x14ac:dyDescent="0.35">
      <c r="A706" s="10"/>
      <c r="B706" s="10"/>
      <c r="C706" s="10"/>
      <c r="D706" s="10"/>
    </row>
    <row r="707" spans="1:4" ht="14.25" customHeight="1" x14ac:dyDescent="0.35">
      <c r="A707" s="10"/>
      <c r="B707" s="10"/>
      <c r="C707" s="10"/>
      <c r="D707" s="10"/>
    </row>
    <row r="708" spans="1:4" ht="14.25" customHeight="1" x14ac:dyDescent="0.35">
      <c r="A708" s="10"/>
      <c r="B708" s="10"/>
      <c r="C708" s="10"/>
      <c r="D708" s="10"/>
    </row>
    <row r="709" spans="1:4" ht="14.25" customHeight="1" x14ac:dyDescent="0.35">
      <c r="A709" s="10"/>
      <c r="B709" s="10"/>
      <c r="C709" s="10"/>
      <c r="D709" s="10"/>
    </row>
    <row r="710" spans="1:4" ht="14.25" customHeight="1" x14ac:dyDescent="0.35">
      <c r="A710" s="10"/>
      <c r="B710" s="10"/>
      <c r="C710" s="10"/>
      <c r="D710" s="10"/>
    </row>
    <row r="711" spans="1:4" ht="14.25" customHeight="1" x14ac:dyDescent="0.35">
      <c r="A711" s="10"/>
      <c r="B711" s="10"/>
      <c r="C711" s="10"/>
      <c r="D711" s="10"/>
    </row>
    <row r="712" spans="1:4" ht="14.25" customHeight="1" x14ac:dyDescent="0.35">
      <c r="A712" s="10"/>
      <c r="B712" s="10"/>
      <c r="C712" s="10"/>
      <c r="D712" s="10"/>
    </row>
    <row r="713" spans="1:4" ht="14.25" customHeight="1" x14ac:dyDescent="0.35">
      <c r="A713" s="10"/>
      <c r="B713" s="10"/>
      <c r="C713" s="10"/>
      <c r="D713" s="10"/>
    </row>
    <row r="714" spans="1:4" ht="14.25" customHeight="1" x14ac:dyDescent="0.35">
      <c r="A714" s="10"/>
      <c r="B714" s="10"/>
      <c r="C714" s="10"/>
      <c r="D714" s="10"/>
    </row>
    <row r="715" spans="1:4" ht="14.25" customHeight="1" x14ac:dyDescent="0.35">
      <c r="A715" s="10"/>
      <c r="B715" s="10"/>
      <c r="C715" s="10"/>
      <c r="D715" s="10"/>
    </row>
    <row r="716" spans="1:4" ht="14.25" customHeight="1" x14ac:dyDescent="0.35">
      <c r="A716" s="10"/>
      <c r="B716" s="10"/>
      <c r="C716" s="10"/>
      <c r="D716" s="10"/>
    </row>
    <row r="717" spans="1:4" ht="14.25" customHeight="1" x14ac:dyDescent="0.35">
      <c r="A717" s="10"/>
      <c r="B717" s="10"/>
      <c r="C717" s="10"/>
      <c r="D717" s="10"/>
    </row>
    <row r="718" spans="1:4" ht="14.25" customHeight="1" x14ac:dyDescent="0.35">
      <c r="A718" s="10"/>
      <c r="B718" s="10"/>
      <c r="C718" s="10"/>
      <c r="D718" s="10"/>
    </row>
    <row r="719" spans="1:4" ht="14.25" customHeight="1" x14ac:dyDescent="0.35">
      <c r="A719" s="10"/>
      <c r="B719" s="10"/>
      <c r="C719" s="10"/>
      <c r="D719" s="10"/>
    </row>
    <row r="720" spans="1:4" ht="14.25" customHeight="1" x14ac:dyDescent="0.35">
      <c r="A720" s="10"/>
      <c r="B720" s="10"/>
      <c r="C720" s="10"/>
      <c r="D720" s="10"/>
    </row>
    <row r="721" spans="1:4" ht="14.25" customHeight="1" x14ac:dyDescent="0.35">
      <c r="A721" s="10"/>
      <c r="B721" s="10"/>
      <c r="C721" s="10"/>
      <c r="D721" s="10"/>
    </row>
    <row r="722" spans="1:4" ht="14.25" customHeight="1" x14ac:dyDescent="0.35">
      <c r="A722" s="10"/>
      <c r="B722" s="10"/>
      <c r="C722" s="10"/>
      <c r="D722" s="10"/>
    </row>
    <row r="723" spans="1:4" ht="14.25" customHeight="1" x14ac:dyDescent="0.35">
      <c r="A723" s="10"/>
      <c r="B723" s="10"/>
      <c r="C723" s="10"/>
      <c r="D723" s="10"/>
    </row>
    <row r="724" spans="1:4" ht="14.25" customHeight="1" x14ac:dyDescent="0.35">
      <c r="A724" s="10"/>
      <c r="B724" s="10"/>
      <c r="C724" s="10"/>
      <c r="D724" s="10"/>
    </row>
    <row r="725" spans="1:4" ht="14.25" customHeight="1" x14ac:dyDescent="0.35">
      <c r="A725" s="10"/>
      <c r="B725" s="10"/>
      <c r="C725" s="10"/>
      <c r="D725" s="10"/>
    </row>
    <row r="726" spans="1:4" ht="14.25" customHeight="1" x14ac:dyDescent="0.35">
      <c r="A726" s="10"/>
      <c r="B726" s="10"/>
      <c r="C726" s="10"/>
      <c r="D726" s="10"/>
    </row>
    <row r="727" spans="1:4" ht="14.25" customHeight="1" x14ac:dyDescent="0.35">
      <c r="A727" s="10"/>
      <c r="B727" s="10"/>
      <c r="C727" s="10"/>
      <c r="D727" s="10"/>
    </row>
    <row r="728" spans="1:4" ht="14.25" customHeight="1" x14ac:dyDescent="0.35">
      <c r="A728" s="10"/>
      <c r="B728" s="10"/>
      <c r="C728" s="10"/>
      <c r="D728" s="10"/>
    </row>
    <row r="729" spans="1:4" ht="14.25" customHeight="1" x14ac:dyDescent="0.35">
      <c r="A729" s="10"/>
      <c r="B729" s="10"/>
      <c r="C729" s="10"/>
      <c r="D729" s="10"/>
    </row>
    <row r="730" spans="1:4" ht="14.25" customHeight="1" x14ac:dyDescent="0.35">
      <c r="A730" s="10"/>
      <c r="B730" s="10"/>
      <c r="C730" s="10"/>
      <c r="D730" s="10"/>
    </row>
    <row r="731" spans="1:4" ht="14.25" customHeight="1" x14ac:dyDescent="0.35">
      <c r="A731" s="10"/>
      <c r="B731" s="10"/>
      <c r="C731" s="10"/>
      <c r="D731" s="10"/>
    </row>
    <row r="732" spans="1:4" ht="14.25" customHeight="1" x14ac:dyDescent="0.35">
      <c r="A732" s="10"/>
      <c r="B732" s="10"/>
      <c r="C732" s="10"/>
      <c r="D732" s="10"/>
    </row>
    <row r="733" spans="1:4" ht="14.25" customHeight="1" x14ac:dyDescent="0.35">
      <c r="A733" s="10"/>
      <c r="B733" s="10"/>
      <c r="C733" s="10"/>
      <c r="D733" s="10"/>
    </row>
    <row r="734" spans="1:4" ht="14.25" customHeight="1" x14ac:dyDescent="0.35">
      <c r="A734" s="10"/>
      <c r="B734" s="10"/>
      <c r="C734" s="10"/>
      <c r="D734" s="10"/>
    </row>
    <row r="735" spans="1:4" ht="14.25" customHeight="1" x14ac:dyDescent="0.35">
      <c r="A735" s="10"/>
      <c r="B735" s="10"/>
      <c r="C735" s="10"/>
      <c r="D735" s="10"/>
    </row>
    <row r="736" spans="1:4" ht="14.25" customHeight="1" x14ac:dyDescent="0.35">
      <c r="A736" s="10"/>
      <c r="B736" s="10"/>
      <c r="C736" s="10"/>
      <c r="D736" s="10"/>
    </row>
    <row r="737" spans="1:4" ht="14.25" customHeight="1" x14ac:dyDescent="0.35">
      <c r="A737" s="10"/>
      <c r="B737" s="10"/>
      <c r="C737" s="10"/>
      <c r="D737" s="10"/>
    </row>
    <row r="738" spans="1:4" ht="14.25" customHeight="1" x14ac:dyDescent="0.35">
      <c r="A738" s="10"/>
      <c r="B738" s="10"/>
      <c r="C738" s="10"/>
      <c r="D738" s="10"/>
    </row>
    <row r="739" spans="1:4" ht="14.25" customHeight="1" x14ac:dyDescent="0.35">
      <c r="A739" s="10"/>
      <c r="B739" s="10"/>
      <c r="C739" s="10"/>
      <c r="D739" s="10"/>
    </row>
    <row r="740" spans="1:4" ht="14.25" customHeight="1" x14ac:dyDescent="0.35">
      <c r="A740" s="10"/>
      <c r="B740" s="10"/>
      <c r="C740" s="10"/>
      <c r="D740" s="10"/>
    </row>
    <row r="741" spans="1:4" ht="14.25" customHeight="1" x14ac:dyDescent="0.35">
      <c r="A741" s="10"/>
      <c r="B741" s="10"/>
      <c r="C741" s="10"/>
      <c r="D741" s="10"/>
    </row>
    <row r="742" spans="1:4" ht="14.25" customHeight="1" x14ac:dyDescent="0.35">
      <c r="A742" s="10"/>
      <c r="B742" s="10"/>
      <c r="C742" s="10"/>
      <c r="D742" s="10"/>
    </row>
    <row r="743" spans="1:4" ht="14.25" customHeight="1" x14ac:dyDescent="0.35">
      <c r="A743" s="10"/>
      <c r="B743" s="10"/>
      <c r="C743" s="10"/>
      <c r="D743" s="10"/>
    </row>
    <row r="744" spans="1:4" ht="14.25" customHeight="1" x14ac:dyDescent="0.35">
      <c r="A744" s="10"/>
      <c r="B744" s="10"/>
      <c r="C744" s="10"/>
      <c r="D744" s="10"/>
    </row>
    <row r="745" spans="1:4" ht="14.25" customHeight="1" x14ac:dyDescent="0.35">
      <c r="A745" s="10"/>
      <c r="B745" s="10"/>
      <c r="C745" s="10"/>
      <c r="D745" s="10"/>
    </row>
    <row r="746" spans="1:4" ht="14.25" customHeight="1" x14ac:dyDescent="0.35">
      <c r="A746" s="10"/>
      <c r="B746" s="10"/>
      <c r="C746" s="10"/>
      <c r="D746" s="10"/>
    </row>
    <row r="747" spans="1:4" ht="14.25" customHeight="1" x14ac:dyDescent="0.35">
      <c r="A747" s="10"/>
      <c r="B747" s="10"/>
      <c r="C747" s="10"/>
      <c r="D747" s="10"/>
    </row>
    <row r="748" spans="1:4" ht="14.25" customHeight="1" x14ac:dyDescent="0.35">
      <c r="A748" s="10"/>
      <c r="B748" s="10"/>
      <c r="C748" s="10"/>
      <c r="D748" s="10"/>
    </row>
    <row r="749" spans="1:4" ht="14.25" customHeight="1" x14ac:dyDescent="0.35">
      <c r="A749" s="10"/>
      <c r="B749" s="10"/>
      <c r="C749" s="10"/>
      <c r="D749" s="10"/>
    </row>
    <row r="750" spans="1:4" ht="14.25" customHeight="1" x14ac:dyDescent="0.35">
      <c r="A750" s="10"/>
      <c r="B750" s="10"/>
      <c r="C750" s="10"/>
      <c r="D750" s="10"/>
    </row>
    <row r="751" spans="1:4" ht="14.25" customHeight="1" x14ac:dyDescent="0.35">
      <c r="A751" s="10"/>
      <c r="B751" s="10"/>
      <c r="C751" s="10"/>
      <c r="D751" s="10"/>
    </row>
    <row r="752" spans="1:4" ht="14.25" customHeight="1" x14ac:dyDescent="0.35">
      <c r="A752" s="10"/>
      <c r="B752" s="10"/>
      <c r="C752" s="10"/>
      <c r="D752" s="10"/>
    </row>
    <row r="753" spans="1:4" ht="14.25" customHeight="1" x14ac:dyDescent="0.35">
      <c r="A753" s="10"/>
      <c r="B753" s="10"/>
      <c r="C753" s="10"/>
      <c r="D753" s="10"/>
    </row>
    <row r="754" spans="1:4" ht="14.25" customHeight="1" x14ac:dyDescent="0.35">
      <c r="A754" s="10"/>
      <c r="B754" s="10"/>
      <c r="C754" s="10"/>
      <c r="D754" s="10"/>
    </row>
    <row r="755" spans="1:4" ht="14.25" customHeight="1" x14ac:dyDescent="0.35">
      <c r="A755" s="10"/>
      <c r="B755" s="10"/>
      <c r="C755" s="10"/>
      <c r="D755" s="10"/>
    </row>
    <row r="756" spans="1:4" ht="14.25" customHeight="1" x14ac:dyDescent="0.35">
      <c r="A756" s="10"/>
      <c r="B756" s="10"/>
      <c r="C756" s="10"/>
      <c r="D756" s="10"/>
    </row>
    <row r="757" spans="1:4" ht="14.25" customHeight="1" x14ac:dyDescent="0.35">
      <c r="A757" s="10"/>
      <c r="B757" s="10"/>
      <c r="C757" s="10"/>
      <c r="D757" s="10"/>
    </row>
    <row r="758" spans="1:4" ht="14.25" customHeight="1" x14ac:dyDescent="0.35">
      <c r="A758" s="10"/>
      <c r="B758" s="10"/>
      <c r="C758" s="10"/>
      <c r="D758" s="10"/>
    </row>
    <row r="759" spans="1:4" ht="14.25" customHeight="1" x14ac:dyDescent="0.35">
      <c r="A759" s="10"/>
      <c r="B759" s="10"/>
      <c r="C759" s="10"/>
      <c r="D759" s="10"/>
    </row>
    <row r="760" spans="1:4" ht="14.25" customHeight="1" x14ac:dyDescent="0.35">
      <c r="A760" s="10"/>
      <c r="B760" s="10"/>
      <c r="C760" s="10"/>
      <c r="D760" s="10"/>
    </row>
    <row r="761" spans="1:4" ht="14.25" customHeight="1" x14ac:dyDescent="0.35">
      <c r="A761" s="10"/>
      <c r="B761" s="10"/>
      <c r="C761" s="10"/>
      <c r="D761" s="10"/>
    </row>
    <row r="762" spans="1:4" ht="14.25" customHeight="1" x14ac:dyDescent="0.35">
      <c r="A762" s="10"/>
      <c r="B762" s="10"/>
      <c r="C762" s="10"/>
      <c r="D762" s="10"/>
    </row>
    <row r="763" spans="1:4" ht="14.25" customHeight="1" x14ac:dyDescent="0.35">
      <c r="A763" s="10"/>
      <c r="B763" s="10"/>
      <c r="C763" s="10"/>
      <c r="D763" s="10"/>
    </row>
    <row r="764" spans="1:4" ht="14.25" customHeight="1" x14ac:dyDescent="0.35">
      <c r="A764" s="10"/>
      <c r="B764" s="10"/>
      <c r="C764" s="10"/>
      <c r="D764" s="10"/>
    </row>
    <row r="765" spans="1:4" ht="14.25" customHeight="1" x14ac:dyDescent="0.35">
      <c r="A765" s="10"/>
      <c r="B765" s="10"/>
      <c r="C765" s="10"/>
      <c r="D765" s="10"/>
    </row>
    <row r="766" spans="1:4" ht="14.25" customHeight="1" x14ac:dyDescent="0.35">
      <c r="A766" s="10"/>
      <c r="B766" s="10"/>
      <c r="C766" s="10"/>
      <c r="D766" s="10"/>
    </row>
    <row r="767" spans="1:4" ht="14.25" customHeight="1" x14ac:dyDescent="0.35">
      <c r="A767" s="10"/>
      <c r="B767" s="10"/>
      <c r="C767" s="10"/>
      <c r="D767" s="10"/>
    </row>
    <row r="768" spans="1:4" ht="14.25" customHeight="1" x14ac:dyDescent="0.35">
      <c r="A768" s="10"/>
      <c r="B768" s="10"/>
      <c r="C768" s="10"/>
      <c r="D768" s="10"/>
    </row>
    <row r="769" spans="1:4" ht="14.25" customHeight="1" x14ac:dyDescent="0.35">
      <c r="A769" s="10"/>
      <c r="B769" s="10"/>
      <c r="C769" s="10"/>
      <c r="D769" s="10"/>
    </row>
    <row r="770" spans="1:4" ht="14.25" customHeight="1" x14ac:dyDescent="0.35">
      <c r="A770" s="10"/>
      <c r="B770" s="10"/>
      <c r="C770" s="10"/>
      <c r="D770" s="10"/>
    </row>
    <row r="771" spans="1:4" ht="14.25" customHeight="1" x14ac:dyDescent="0.35">
      <c r="A771" s="10"/>
      <c r="B771" s="10"/>
      <c r="C771" s="10"/>
      <c r="D771" s="10"/>
    </row>
    <row r="772" spans="1:4" ht="14.25" customHeight="1" x14ac:dyDescent="0.35">
      <c r="A772" s="10"/>
      <c r="B772" s="10"/>
      <c r="C772" s="10"/>
      <c r="D772" s="10"/>
    </row>
    <row r="773" spans="1:4" ht="14.25" customHeight="1" x14ac:dyDescent="0.35">
      <c r="A773" s="10"/>
      <c r="B773" s="10"/>
      <c r="C773" s="10"/>
      <c r="D773" s="10"/>
    </row>
    <row r="774" spans="1:4" ht="14.25" customHeight="1" x14ac:dyDescent="0.35">
      <c r="A774" s="10"/>
      <c r="B774" s="10"/>
      <c r="C774" s="10"/>
      <c r="D774" s="10"/>
    </row>
    <row r="775" spans="1:4" ht="14.25" customHeight="1" x14ac:dyDescent="0.35">
      <c r="A775" s="10"/>
      <c r="B775" s="10"/>
      <c r="C775" s="10"/>
      <c r="D775" s="10"/>
    </row>
    <row r="776" spans="1:4" ht="14.25" customHeight="1" x14ac:dyDescent="0.35">
      <c r="A776" s="10"/>
      <c r="B776" s="10"/>
      <c r="C776" s="10"/>
      <c r="D776" s="10"/>
    </row>
    <row r="777" spans="1:4" ht="14.25" customHeight="1" x14ac:dyDescent="0.35">
      <c r="A777" s="10"/>
      <c r="B777" s="10"/>
      <c r="C777" s="10"/>
      <c r="D777" s="10"/>
    </row>
    <row r="778" spans="1:4" ht="14.25" customHeight="1" x14ac:dyDescent="0.35">
      <c r="A778" s="10"/>
      <c r="B778" s="10"/>
      <c r="C778" s="10"/>
      <c r="D778" s="10"/>
    </row>
    <row r="779" spans="1:4" ht="14.25" customHeight="1" x14ac:dyDescent="0.35">
      <c r="A779" s="10"/>
      <c r="B779" s="10"/>
      <c r="C779" s="10"/>
      <c r="D779" s="10"/>
    </row>
    <row r="780" spans="1:4" ht="14.25" customHeight="1" x14ac:dyDescent="0.35">
      <c r="A780" s="10"/>
      <c r="B780" s="10"/>
      <c r="C780" s="10"/>
      <c r="D780" s="10"/>
    </row>
    <row r="781" spans="1:4" ht="14.25" customHeight="1" x14ac:dyDescent="0.35">
      <c r="A781" s="10"/>
      <c r="B781" s="10"/>
      <c r="C781" s="10"/>
      <c r="D781" s="10"/>
    </row>
    <row r="782" spans="1:4" ht="14.25" customHeight="1" x14ac:dyDescent="0.35">
      <c r="A782" s="10"/>
      <c r="B782" s="10"/>
      <c r="C782" s="10"/>
      <c r="D782" s="10"/>
    </row>
    <row r="783" spans="1:4" ht="14.25" customHeight="1" x14ac:dyDescent="0.35">
      <c r="A783" s="10"/>
      <c r="B783" s="10"/>
      <c r="C783" s="10"/>
      <c r="D783" s="10"/>
    </row>
    <row r="784" spans="1:4" ht="14.25" customHeight="1" x14ac:dyDescent="0.35">
      <c r="A784" s="10"/>
      <c r="B784" s="10"/>
      <c r="C784" s="10"/>
      <c r="D784" s="10"/>
    </row>
    <row r="785" spans="1:4" ht="14.25" customHeight="1" x14ac:dyDescent="0.35">
      <c r="A785" s="10"/>
      <c r="B785" s="10"/>
      <c r="C785" s="10"/>
      <c r="D785" s="10"/>
    </row>
    <row r="786" spans="1:4" ht="14.25" customHeight="1" x14ac:dyDescent="0.35">
      <c r="A786" s="10"/>
      <c r="B786" s="10"/>
      <c r="C786" s="10"/>
      <c r="D786" s="10"/>
    </row>
    <row r="787" spans="1:4" ht="14.25" customHeight="1" x14ac:dyDescent="0.35">
      <c r="A787" s="10"/>
      <c r="B787" s="10"/>
      <c r="C787" s="10"/>
      <c r="D787" s="10"/>
    </row>
    <row r="788" spans="1:4" ht="14.25" customHeight="1" x14ac:dyDescent="0.35">
      <c r="A788" s="10"/>
      <c r="B788" s="10"/>
      <c r="C788" s="10"/>
      <c r="D788" s="10"/>
    </row>
    <row r="789" spans="1:4" ht="14.25" customHeight="1" x14ac:dyDescent="0.35">
      <c r="A789" s="10"/>
      <c r="B789" s="10"/>
      <c r="C789" s="10"/>
      <c r="D789" s="10"/>
    </row>
    <row r="790" spans="1:4" ht="14.25" customHeight="1" x14ac:dyDescent="0.35">
      <c r="A790" s="10"/>
      <c r="B790" s="10"/>
      <c r="C790" s="10"/>
      <c r="D790" s="10"/>
    </row>
    <row r="791" spans="1:4" ht="14.25" customHeight="1" x14ac:dyDescent="0.35">
      <c r="A791" s="10"/>
      <c r="B791" s="10"/>
      <c r="C791" s="10"/>
      <c r="D791" s="10"/>
    </row>
    <row r="792" spans="1:4" ht="14.25" customHeight="1" x14ac:dyDescent="0.35">
      <c r="A792" s="10"/>
      <c r="B792" s="10"/>
      <c r="C792" s="10"/>
      <c r="D792" s="10"/>
    </row>
    <row r="793" spans="1:4" ht="14.25" customHeight="1" x14ac:dyDescent="0.35">
      <c r="A793" s="10"/>
      <c r="B793" s="10"/>
      <c r="C793" s="10"/>
      <c r="D793" s="10"/>
    </row>
    <row r="794" spans="1:4" ht="14.25" customHeight="1" x14ac:dyDescent="0.35">
      <c r="A794" s="10"/>
      <c r="B794" s="10"/>
      <c r="C794" s="10"/>
      <c r="D794" s="10"/>
    </row>
    <row r="795" spans="1:4" ht="14.25" customHeight="1" x14ac:dyDescent="0.35">
      <c r="A795" s="10"/>
      <c r="B795" s="10"/>
      <c r="C795" s="10"/>
      <c r="D795" s="10"/>
    </row>
    <row r="796" spans="1:4" ht="14.25" customHeight="1" x14ac:dyDescent="0.35">
      <c r="A796" s="10"/>
      <c r="B796" s="10"/>
      <c r="C796" s="10"/>
      <c r="D796" s="10"/>
    </row>
    <row r="797" spans="1:4" ht="14.25" customHeight="1" x14ac:dyDescent="0.35">
      <c r="A797" s="10"/>
      <c r="B797" s="10"/>
      <c r="C797" s="10"/>
      <c r="D797" s="10"/>
    </row>
    <row r="798" spans="1:4" ht="14.25" customHeight="1" x14ac:dyDescent="0.35">
      <c r="A798" s="10"/>
      <c r="B798" s="10"/>
      <c r="C798" s="10"/>
      <c r="D798" s="10"/>
    </row>
    <row r="799" spans="1:4" ht="14.25" customHeight="1" x14ac:dyDescent="0.35">
      <c r="A799" s="10"/>
      <c r="B799" s="10"/>
      <c r="C799" s="10"/>
      <c r="D799" s="10"/>
    </row>
    <row r="800" spans="1:4" ht="14.25" customHeight="1" x14ac:dyDescent="0.35">
      <c r="A800" s="10"/>
      <c r="B800" s="10"/>
      <c r="C800" s="10"/>
      <c r="D800" s="10"/>
    </row>
    <row r="801" spans="1:4" ht="14.25" customHeight="1" x14ac:dyDescent="0.35">
      <c r="A801" s="10"/>
      <c r="B801" s="10"/>
      <c r="C801" s="10"/>
      <c r="D801" s="10"/>
    </row>
    <row r="802" spans="1:4" ht="14.25" customHeight="1" x14ac:dyDescent="0.35">
      <c r="A802" s="10"/>
      <c r="B802" s="10"/>
      <c r="C802" s="10"/>
      <c r="D802" s="10"/>
    </row>
    <row r="803" spans="1:4" ht="14.25" customHeight="1" x14ac:dyDescent="0.35">
      <c r="A803" s="10"/>
      <c r="B803" s="10"/>
      <c r="C803" s="10"/>
      <c r="D803" s="10"/>
    </row>
    <row r="804" spans="1:4" ht="14.25" customHeight="1" x14ac:dyDescent="0.35">
      <c r="A804" s="10"/>
      <c r="B804" s="10"/>
      <c r="C804" s="10"/>
      <c r="D804" s="10"/>
    </row>
    <row r="805" spans="1:4" ht="14.25" customHeight="1" x14ac:dyDescent="0.35">
      <c r="A805" s="10"/>
      <c r="B805" s="10"/>
      <c r="C805" s="10"/>
      <c r="D805" s="10"/>
    </row>
    <row r="806" spans="1:4" ht="14.25" customHeight="1" x14ac:dyDescent="0.35">
      <c r="A806" s="10"/>
      <c r="B806" s="10"/>
      <c r="C806" s="10"/>
      <c r="D806" s="10"/>
    </row>
    <row r="807" spans="1:4" ht="14.25" customHeight="1" x14ac:dyDescent="0.35">
      <c r="A807" s="10"/>
      <c r="B807" s="10"/>
      <c r="C807" s="10"/>
      <c r="D807" s="10"/>
    </row>
    <row r="808" spans="1:4" ht="14.25" customHeight="1" x14ac:dyDescent="0.35">
      <c r="A808" s="10"/>
      <c r="B808" s="10"/>
      <c r="C808" s="10"/>
      <c r="D808" s="10"/>
    </row>
    <row r="809" spans="1:4" ht="14.25" customHeight="1" x14ac:dyDescent="0.35">
      <c r="A809" s="10"/>
      <c r="B809" s="10"/>
      <c r="C809" s="10"/>
      <c r="D809" s="10"/>
    </row>
    <row r="810" spans="1:4" ht="14.25" customHeight="1" x14ac:dyDescent="0.35">
      <c r="A810" s="10"/>
      <c r="B810" s="10"/>
      <c r="C810" s="10"/>
      <c r="D810" s="10"/>
    </row>
    <row r="811" spans="1:4" ht="14.25" customHeight="1" x14ac:dyDescent="0.35">
      <c r="A811" s="10"/>
      <c r="B811" s="10"/>
      <c r="C811" s="10"/>
      <c r="D811" s="10"/>
    </row>
    <row r="812" spans="1:4" ht="14.25" customHeight="1" x14ac:dyDescent="0.35">
      <c r="A812" s="10"/>
      <c r="B812" s="10"/>
      <c r="C812" s="10"/>
      <c r="D812" s="10"/>
    </row>
    <row r="813" spans="1:4" ht="14.25" customHeight="1" x14ac:dyDescent="0.35">
      <c r="A813" s="10"/>
      <c r="B813" s="10"/>
      <c r="C813" s="10"/>
      <c r="D813" s="10"/>
    </row>
    <row r="814" spans="1:4" ht="14.25" customHeight="1" x14ac:dyDescent="0.35">
      <c r="A814" s="10"/>
      <c r="B814" s="10"/>
      <c r="C814" s="10"/>
      <c r="D814" s="10"/>
    </row>
    <row r="815" spans="1:4" ht="14.25" customHeight="1" x14ac:dyDescent="0.35">
      <c r="A815" s="10"/>
      <c r="B815" s="10"/>
      <c r="C815" s="10"/>
      <c r="D815" s="10"/>
    </row>
    <row r="816" spans="1:4" ht="14.25" customHeight="1" x14ac:dyDescent="0.35">
      <c r="A816" s="10"/>
      <c r="B816" s="10"/>
      <c r="C816" s="10"/>
      <c r="D816" s="10"/>
    </row>
    <row r="817" spans="1:4" ht="14.25" customHeight="1" x14ac:dyDescent="0.35">
      <c r="A817" s="10"/>
      <c r="B817" s="10"/>
      <c r="C817" s="10"/>
      <c r="D817" s="10"/>
    </row>
    <row r="818" spans="1:4" ht="14.25" customHeight="1" x14ac:dyDescent="0.35">
      <c r="A818" s="10"/>
      <c r="B818" s="10"/>
      <c r="C818" s="10"/>
      <c r="D818" s="10"/>
    </row>
    <row r="819" spans="1:4" ht="14.25" customHeight="1" x14ac:dyDescent="0.35">
      <c r="A819" s="10"/>
      <c r="B819" s="10"/>
      <c r="C819" s="10"/>
      <c r="D819" s="10"/>
    </row>
    <row r="820" spans="1:4" ht="14.25" customHeight="1" x14ac:dyDescent="0.35">
      <c r="A820" s="10"/>
      <c r="B820" s="10"/>
      <c r="C820" s="10"/>
      <c r="D820" s="10"/>
    </row>
    <row r="821" spans="1:4" ht="14.25" customHeight="1" x14ac:dyDescent="0.35">
      <c r="A821" s="10"/>
      <c r="B821" s="10"/>
      <c r="C821" s="10"/>
      <c r="D821" s="10"/>
    </row>
    <row r="822" spans="1:4" ht="14.25" customHeight="1" x14ac:dyDescent="0.35">
      <c r="A822" s="10"/>
      <c r="B822" s="10"/>
      <c r="C822" s="10"/>
      <c r="D822" s="10"/>
    </row>
    <row r="823" spans="1:4" ht="14.25" customHeight="1" x14ac:dyDescent="0.35">
      <c r="A823" s="10"/>
      <c r="B823" s="10"/>
      <c r="C823" s="10"/>
      <c r="D823" s="10"/>
    </row>
    <row r="824" spans="1:4" ht="14.25" customHeight="1" x14ac:dyDescent="0.35">
      <c r="A824" s="10"/>
      <c r="B824" s="10"/>
      <c r="C824" s="10"/>
      <c r="D824" s="10"/>
    </row>
    <row r="825" spans="1:4" ht="14.25" customHeight="1" x14ac:dyDescent="0.35">
      <c r="A825" s="10"/>
      <c r="B825" s="10"/>
      <c r="C825" s="10"/>
      <c r="D825" s="10"/>
    </row>
    <row r="826" spans="1:4" ht="14.25" customHeight="1" x14ac:dyDescent="0.35">
      <c r="A826" s="10"/>
      <c r="B826" s="10"/>
      <c r="C826" s="10"/>
      <c r="D826" s="10"/>
    </row>
    <row r="827" spans="1:4" ht="14.25" customHeight="1" x14ac:dyDescent="0.35">
      <c r="A827" s="10"/>
      <c r="B827" s="10"/>
      <c r="C827" s="10"/>
      <c r="D827" s="10"/>
    </row>
    <row r="828" spans="1:4" ht="14.25" customHeight="1" x14ac:dyDescent="0.35">
      <c r="A828" s="10"/>
      <c r="B828" s="10"/>
      <c r="C828" s="10"/>
      <c r="D828" s="10"/>
    </row>
    <row r="829" spans="1:4" ht="14.25" customHeight="1" x14ac:dyDescent="0.35">
      <c r="A829" s="10"/>
      <c r="B829" s="10"/>
      <c r="C829" s="10"/>
      <c r="D829" s="10"/>
    </row>
    <row r="830" spans="1:4" ht="14.25" customHeight="1" x14ac:dyDescent="0.35">
      <c r="A830" s="10"/>
      <c r="B830" s="10"/>
      <c r="C830" s="10"/>
      <c r="D830" s="10"/>
    </row>
    <row r="831" spans="1:4" ht="14.25" customHeight="1" x14ac:dyDescent="0.35">
      <c r="A831" s="10"/>
      <c r="B831" s="10"/>
      <c r="C831" s="10"/>
      <c r="D831" s="10"/>
    </row>
    <row r="832" spans="1:4" ht="14.25" customHeight="1" x14ac:dyDescent="0.35">
      <c r="A832" s="10"/>
      <c r="B832" s="10"/>
      <c r="C832" s="10"/>
      <c r="D832" s="10"/>
    </row>
    <row r="833" spans="1:4" ht="14.25" customHeight="1" x14ac:dyDescent="0.35">
      <c r="A833" s="10"/>
      <c r="B833" s="10"/>
      <c r="C833" s="10"/>
      <c r="D833" s="10"/>
    </row>
    <row r="834" spans="1:4" ht="14.25" customHeight="1" x14ac:dyDescent="0.35">
      <c r="A834" s="10"/>
      <c r="B834" s="10"/>
      <c r="C834" s="10"/>
      <c r="D834" s="10"/>
    </row>
    <row r="835" spans="1:4" ht="14.25" customHeight="1" x14ac:dyDescent="0.35">
      <c r="A835" s="10"/>
      <c r="B835" s="10"/>
      <c r="C835" s="10"/>
      <c r="D835" s="10"/>
    </row>
    <row r="836" spans="1:4" ht="14.25" customHeight="1" x14ac:dyDescent="0.35">
      <c r="A836" s="10"/>
      <c r="B836" s="10"/>
      <c r="C836" s="10"/>
      <c r="D836" s="10"/>
    </row>
    <row r="837" spans="1:4" ht="14.25" customHeight="1" x14ac:dyDescent="0.35">
      <c r="A837" s="10"/>
      <c r="B837" s="10"/>
      <c r="C837" s="10"/>
      <c r="D837" s="10"/>
    </row>
    <row r="838" spans="1:4" ht="14.25" customHeight="1" x14ac:dyDescent="0.35">
      <c r="A838" s="10"/>
      <c r="B838" s="10"/>
      <c r="C838" s="10"/>
      <c r="D838" s="10"/>
    </row>
    <row r="839" spans="1:4" ht="14.25" customHeight="1" x14ac:dyDescent="0.35">
      <c r="A839" s="10"/>
      <c r="B839" s="10"/>
      <c r="C839" s="10"/>
      <c r="D839" s="10"/>
    </row>
    <row r="840" spans="1:4" ht="14.25" customHeight="1" x14ac:dyDescent="0.35">
      <c r="A840" s="10"/>
      <c r="B840" s="10"/>
      <c r="C840" s="10"/>
      <c r="D840" s="10"/>
    </row>
    <row r="841" spans="1:4" ht="14.25" customHeight="1" x14ac:dyDescent="0.35">
      <c r="A841" s="10"/>
      <c r="B841" s="10"/>
      <c r="C841" s="10"/>
      <c r="D841" s="10"/>
    </row>
    <row r="842" spans="1:4" ht="14.25" customHeight="1" x14ac:dyDescent="0.35">
      <c r="A842" s="10"/>
      <c r="B842" s="10"/>
      <c r="C842" s="10"/>
      <c r="D842" s="10"/>
    </row>
    <row r="843" spans="1:4" ht="14.25" customHeight="1" x14ac:dyDescent="0.35">
      <c r="A843" s="10"/>
      <c r="B843" s="10"/>
      <c r="C843" s="10"/>
      <c r="D843" s="10"/>
    </row>
    <row r="844" spans="1:4" ht="14.25" customHeight="1" x14ac:dyDescent="0.35">
      <c r="A844" s="10"/>
      <c r="B844" s="10"/>
      <c r="C844" s="10"/>
      <c r="D844" s="10"/>
    </row>
    <row r="845" spans="1:4" ht="14.25" customHeight="1" x14ac:dyDescent="0.35">
      <c r="A845" s="10"/>
      <c r="B845" s="10"/>
      <c r="C845" s="10"/>
      <c r="D845" s="10"/>
    </row>
    <row r="846" spans="1:4" ht="14.25" customHeight="1" x14ac:dyDescent="0.35">
      <c r="A846" s="10"/>
      <c r="B846" s="10"/>
      <c r="C846" s="10"/>
      <c r="D846" s="10"/>
    </row>
    <row r="847" spans="1:4" ht="14.25" customHeight="1" x14ac:dyDescent="0.35">
      <c r="A847" s="10"/>
      <c r="B847" s="10"/>
      <c r="C847" s="10"/>
      <c r="D847" s="10"/>
    </row>
    <row r="848" spans="1:4" ht="14.25" customHeight="1" x14ac:dyDescent="0.35">
      <c r="A848" s="10"/>
      <c r="B848" s="10"/>
      <c r="C848" s="10"/>
      <c r="D848" s="10"/>
    </row>
    <row r="849" spans="1:4" ht="14.25" customHeight="1" x14ac:dyDescent="0.35">
      <c r="A849" s="10"/>
      <c r="B849" s="10"/>
      <c r="C849" s="10"/>
      <c r="D849" s="10"/>
    </row>
    <row r="850" spans="1:4" ht="14.25" customHeight="1" x14ac:dyDescent="0.35">
      <c r="A850" s="10"/>
      <c r="B850" s="10"/>
      <c r="C850" s="10"/>
      <c r="D850" s="10"/>
    </row>
    <row r="851" spans="1:4" ht="14.25" customHeight="1" x14ac:dyDescent="0.35">
      <c r="A851" s="10"/>
      <c r="B851" s="10"/>
      <c r="C851" s="10"/>
      <c r="D851" s="10"/>
    </row>
    <row r="852" spans="1:4" ht="14.25" customHeight="1" x14ac:dyDescent="0.35">
      <c r="A852" s="10"/>
      <c r="B852" s="10"/>
      <c r="C852" s="10"/>
      <c r="D852" s="10"/>
    </row>
    <row r="853" spans="1:4" ht="14.25" customHeight="1" x14ac:dyDescent="0.35">
      <c r="A853" s="10"/>
      <c r="B853" s="10"/>
      <c r="C853" s="10"/>
      <c r="D853" s="10"/>
    </row>
    <row r="854" spans="1:4" ht="14.25" customHeight="1" x14ac:dyDescent="0.35">
      <c r="A854" s="10"/>
      <c r="B854" s="10"/>
      <c r="C854" s="10"/>
      <c r="D854" s="10"/>
    </row>
    <row r="855" spans="1:4" ht="14.25" customHeight="1" x14ac:dyDescent="0.35">
      <c r="A855" s="10"/>
      <c r="B855" s="10"/>
      <c r="C855" s="10"/>
      <c r="D855" s="10"/>
    </row>
    <row r="856" spans="1:4" ht="14.25" customHeight="1" x14ac:dyDescent="0.35">
      <c r="A856" s="10"/>
      <c r="B856" s="10"/>
      <c r="C856" s="10"/>
      <c r="D856" s="10"/>
    </row>
    <row r="857" spans="1:4" ht="14.25" customHeight="1" x14ac:dyDescent="0.35">
      <c r="A857" s="10"/>
      <c r="B857" s="10"/>
      <c r="C857" s="10"/>
      <c r="D857" s="10"/>
    </row>
    <row r="858" spans="1:4" ht="14.25" customHeight="1" x14ac:dyDescent="0.35">
      <c r="A858" s="10"/>
      <c r="B858" s="10"/>
      <c r="C858" s="10"/>
      <c r="D858" s="10"/>
    </row>
    <row r="859" spans="1:4" ht="14.25" customHeight="1" x14ac:dyDescent="0.35">
      <c r="A859" s="10"/>
      <c r="B859" s="10"/>
      <c r="C859" s="10"/>
      <c r="D859" s="10"/>
    </row>
    <row r="860" spans="1:4" ht="14.25" customHeight="1" x14ac:dyDescent="0.35">
      <c r="A860" s="10"/>
      <c r="B860" s="10"/>
      <c r="C860" s="10"/>
      <c r="D860" s="10"/>
    </row>
    <row r="861" spans="1:4" ht="14.25" customHeight="1" x14ac:dyDescent="0.35">
      <c r="A861" s="10"/>
      <c r="B861" s="10"/>
      <c r="C861" s="10"/>
      <c r="D861" s="10"/>
    </row>
    <row r="862" spans="1:4" ht="14.25" customHeight="1" x14ac:dyDescent="0.35">
      <c r="A862" s="10"/>
      <c r="B862" s="10"/>
      <c r="C862" s="10"/>
      <c r="D862" s="10"/>
    </row>
    <row r="863" spans="1:4" ht="14.25" customHeight="1" x14ac:dyDescent="0.35">
      <c r="A863" s="10"/>
      <c r="B863" s="10"/>
      <c r="C863" s="10"/>
      <c r="D863" s="10"/>
    </row>
    <row r="864" spans="1:4" ht="14.25" customHeight="1" x14ac:dyDescent="0.35">
      <c r="A864" s="10"/>
      <c r="B864" s="10"/>
      <c r="C864" s="10"/>
      <c r="D864" s="10"/>
    </row>
    <row r="865" spans="1:4" ht="14.25" customHeight="1" x14ac:dyDescent="0.35">
      <c r="A865" s="10"/>
      <c r="B865" s="10"/>
      <c r="C865" s="10"/>
      <c r="D865" s="10"/>
    </row>
    <row r="866" spans="1:4" ht="14.25" customHeight="1" x14ac:dyDescent="0.35">
      <c r="A866" s="10"/>
      <c r="B866" s="10"/>
      <c r="C866" s="10"/>
      <c r="D866" s="10"/>
    </row>
    <row r="867" spans="1:4" ht="14.25" customHeight="1" x14ac:dyDescent="0.35">
      <c r="A867" s="10"/>
      <c r="B867" s="10"/>
      <c r="C867" s="10"/>
      <c r="D867" s="10"/>
    </row>
    <row r="868" spans="1:4" ht="14.25" customHeight="1" x14ac:dyDescent="0.35">
      <c r="A868" s="10"/>
      <c r="B868" s="10"/>
      <c r="C868" s="10"/>
      <c r="D868" s="10"/>
    </row>
    <row r="869" spans="1:4" ht="14.25" customHeight="1" x14ac:dyDescent="0.35">
      <c r="A869" s="10"/>
      <c r="B869" s="10"/>
      <c r="C869" s="10"/>
      <c r="D869" s="10"/>
    </row>
    <row r="870" spans="1:4" ht="14.25" customHeight="1" x14ac:dyDescent="0.35">
      <c r="A870" s="10"/>
      <c r="B870" s="10"/>
      <c r="C870" s="10"/>
      <c r="D870" s="10"/>
    </row>
    <row r="871" spans="1:4" ht="14.25" customHeight="1" x14ac:dyDescent="0.35">
      <c r="A871" s="10"/>
      <c r="B871" s="10"/>
      <c r="C871" s="10"/>
      <c r="D871" s="10"/>
    </row>
    <row r="872" spans="1:4" ht="14.25" customHeight="1" x14ac:dyDescent="0.35">
      <c r="A872" s="10"/>
      <c r="B872" s="10"/>
      <c r="C872" s="10"/>
      <c r="D872" s="10"/>
    </row>
    <row r="873" spans="1:4" ht="14.25" customHeight="1" x14ac:dyDescent="0.35">
      <c r="A873" s="10"/>
      <c r="B873" s="10"/>
      <c r="C873" s="10"/>
      <c r="D873" s="10"/>
    </row>
    <row r="874" spans="1:4" ht="14.25" customHeight="1" x14ac:dyDescent="0.35">
      <c r="A874" s="10"/>
      <c r="B874" s="10"/>
      <c r="C874" s="10"/>
      <c r="D874" s="10"/>
    </row>
    <row r="875" spans="1:4" ht="14.25" customHeight="1" x14ac:dyDescent="0.35">
      <c r="A875" s="10"/>
      <c r="B875" s="10"/>
      <c r="C875" s="10"/>
      <c r="D875" s="10"/>
    </row>
    <row r="876" spans="1:4" ht="14.25" customHeight="1" x14ac:dyDescent="0.35">
      <c r="A876" s="10"/>
      <c r="B876" s="10"/>
      <c r="C876" s="10"/>
      <c r="D876" s="10"/>
    </row>
    <row r="877" spans="1:4" ht="14.25" customHeight="1" x14ac:dyDescent="0.35">
      <c r="A877" s="10"/>
      <c r="B877" s="10"/>
      <c r="C877" s="10"/>
      <c r="D877" s="10"/>
    </row>
    <row r="878" spans="1:4" ht="14.25" customHeight="1" x14ac:dyDescent="0.35">
      <c r="A878" s="10"/>
      <c r="B878" s="10"/>
      <c r="C878" s="10"/>
      <c r="D878" s="10"/>
    </row>
    <row r="879" spans="1:4" ht="14.25" customHeight="1" x14ac:dyDescent="0.35">
      <c r="A879" s="10"/>
      <c r="B879" s="10"/>
      <c r="C879" s="10"/>
      <c r="D879" s="10"/>
    </row>
    <row r="880" spans="1:4" ht="14.25" customHeight="1" x14ac:dyDescent="0.35">
      <c r="A880" s="10"/>
      <c r="B880" s="10"/>
      <c r="C880" s="10"/>
      <c r="D880" s="10"/>
    </row>
    <row r="881" spans="1:4" ht="14.25" customHeight="1" x14ac:dyDescent="0.35">
      <c r="A881" s="10"/>
      <c r="B881" s="10"/>
      <c r="C881" s="10"/>
      <c r="D881" s="10"/>
    </row>
    <row r="882" spans="1:4" ht="14.25" customHeight="1" x14ac:dyDescent="0.35">
      <c r="A882" s="10"/>
      <c r="B882" s="10"/>
      <c r="C882" s="10"/>
      <c r="D882" s="10"/>
    </row>
    <row r="883" spans="1:4" ht="14.25" customHeight="1" x14ac:dyDescent="0.35">
      <c r="A883" s="10"/>
      <c r="B883" s="10"/>
      <c r="C883" s="10"/>
      <c r="D883" s="10"/>
    </row>
    <row r="884" spans="1:4" ht="14.25" customHeight="1" x14ac:dyDescent="0.35">
      <c r="A884" s="10"/>
      <c r="B884" s="10"/>
      <c r="C884" s="10"/>
      <c r="D884" s="10"/>
    </row>
    <row r="885" spans="1:4" ht="14.25" customHeight="1" x14ac:dyDescent="0.35">
      <c r="A885" s="10"/>
      <c r="B885" s="10"/>
      <c r="C885" s="10"/>
      <c r="D885" s="10"/>
    </row>
    <row r="886" spans="1:4" ht="14.25" customHeight="1" x14ac:dyDescent="0.35">
      <c r="A886" s="10"/>
      <c r="B886" s="10"/>
      <c r="C886" s="10"/>
      <c r="D886" s="10"/>
    </row>
    <row r="887" spans="1:4" ht="14.25" customHeight="1" x14ac:dyDescent="0.35">
      <c r="A887" s="10"/>
      <c r="B887" s="10"/>
      <c r="C887" s="10"/>
      <c r="D887" s="10"/>
    </row>
    <row r="888" spans="1:4" ht="14.25" customHeight="1" x14ac:dyDescent="0.35">
      <c r="A888" s="10"/>
      <c r="B888" s="10"/>
      <c r="C888" s="10"/>
      <c r="D888" s="10"/>
    </row>
    <row r="889" spans="1:4" ht="14.25" customHeight="1" x14ac:dyDescent="0.35">
      <c r="A889" s="10"/>
      <c r="B889" s="10"/>
      <c r="C889" s="10"/>
      <c r="D889" s="10"/>
    </row>
    <row r="890" spans="1:4" ht="14.25" customHeight="1" x14ac:dyDescent="0.35">
      <c r="A890" s="10"/>
      <c r="B890" s="10"/>
      <c r="C890" s="10"/>
      <c r="D890" s="10"/>
    </row>
    <row r="891" spans="1:4" ht="14.25" customHeight="1" x14ac:dyDescent="0.35">
      <c r="A891" s="10"/>
      <c r="B891" s="10"/>
      <c r="C891" s="10"/>
      <c r="D891" s="10"/>
    </row>
    <row r="892" spans="1:4" ht="14.25" customHeight="1" x14ac:dyDescent="0.35">
      <c r="A892" s="10"/>
      <c r="B892" s="10"/>
      <c r="C892" s="10"/>
      <c r="D892" s="10"/>
    </row>
    <row r="893" spans="1:4" ht="14.25" customHeight="1" x14ac:dyDescent="0.35">
      <c r="A893" s="10"/>
      <c r="B893" s="10"/>
      <c r="C893" s="10"/>
      <c r="D893" s="10"/>
    </row>
    <row r="894" spans="1:4" ht="14.25" customHeight="1" x14ac:dyDescent="0.35">
      <c r="A894" s="10"/>
      <c r="B894" s="10"/>
      <c r="C894" s="10"/>
      <c r="D894" s="10"/>
    </row>
    <row r="895" spans="1:4" ht="14.25" customHeight="1" x14ac:dyDescent="0.35">
      <c r="A895" s="10"/>
      <c r="B895" s="10"/>
      <c r="C895" s="10"/>
      <c r="D895" s="10"/>
    </row>
    <row r="896" spans="1:4" ht="14.25" customHeight="1" x14ac:dyDescent="0.35">
      <c r="A896" s="10"/>
      <c r="B896" s="10"/>
      <c r="C896" s="10"/>
      <c r="D896" s="10"/>
    </row>
    <row r="897" spans="1:4" ht="14.25" customHeight="1" x14ac:dyDescent="0.35">
      <c r="A897" s="10"/>
      <c r="B897" s="10"/>
      <c r="C897" s="10"/>
      <c r="D897" s="10"/>
    </row>
    <row r="898" spans="1:4" ht="14.25" customHeight="1" x14ac:dyDescent="0.35">
      <c r="A898" s="10"/>
      <c r="B898" s="10"/>
      <c r="C898" s="10"/>
      <c r="D898" s="10"/>
    </row>
    <row r="899" spans="1:4" ht="14.25" customHeight="1" x14ac:dyDescent="0.35">
      <c r="A899" s="10"/>
      <c r="B899" s="10"/>
      <c r="C899" s="10"/>
      <c r="D899" s="10"/>
    </row>
    <row r="900" spans="1:4" ht="14.25" customHeight="1" x14ac:dyDescent="0.35">
      <c r="A900" s="10"/>
      <c r="B900" s="10"/>
      <c r="C900" s="10"/>
      <c r="D900" s="10"/>
    </row>
    <row r="901" spans="1:4" ht="14.25" customHeight="1" x14ac:dyDescent="0.35">
      <c r="A901" s="10"/>
      <c r="B901" s="10"/>
      <c r="C901" s="10"/>
      <c r="D901" s="10"/>
    </row>
    <row r="902" spans="1:4" ht="14.25" customHeight="1" x14ac:dyDescent="0.35">
      <c r="A902" s="10"/>
      <c r="B902" s="10"/>
      <c r="C902" s="10"/>
      <c r="D902" s="10"/>
    </row>
    <row r="903" spans="1:4" ht="14.25" customHeight="1" x14ac:dyDescent="0.35">
      <c r="A903" s="10"/>
      <c r="B903" s="10"/>
      <c r="C903" s="10"/>
      <c r="D903" s="10"/>
    </row>
    <row r="904" spans="1:4" ht="14.25" customHeight="1" x14ac:dyDescent="0.35">
      <c r="A904" s="10"/>
      <c r="B904" s="10"/>
      <c r="C904" s="10"/>
      <c r="D904" s="10"/>
    </row>
    <row r="905" spans="1:4" ht="14.25" customHeight="1" x14ac:dyDescent="0.35">
      <c r="A905" s="10"/>
      <c r="B905" s="10"/>
      <c r="C905" s="10"/>
      <c r="D905" s="10"/>
    </row>
    <row r="906" spans="1:4" ht="14.25" customHeight="1" x14ac:dyDescent="0.35">
      <c r="A906" s="10"/>
      <c r="B906" s="10"/>
      <c r="C906" s="10"/>
      <c r="D906" s="10"/>
    </row>
    <row r="907" spans="1:4" ht="14.25" customHeight="1" x14ac:dyDescent="0.35">
      <c r="A907" s="10"/>
      <c r="B907" s="10"/>
      <c r="C907" s="10"/>
      <c r="D907" s="10"/>
    </row>
    <row r="908" spans="1:4" ht="14.25" customHeight="1" x14ac:dyDescent="0.35">
      <c r="A908" s="10"/>
      <c r="B908" s="10"/>
      <c r="C908" s="10"/>
      <c r="D908" s="10"/>
    </row>
    <row r="909" spans="1:4" ht="14.25" customHeight="1" x14ac:dyDescent="0.35">
      <c r="A909" s="10"/>
      <c r="B909" s="10"/>
      <c r="C909" s="10"/>
      <c r="D909" s="10"/>
    </row>
    <row r="910" spans="1:4" ht="14.25" customHeight="1" x14ac:dyDescent="0.35">
      <c r="A910" s="10"/>
      <c r="B910" s="10"/>
      <c r="C910" s="10"/>
      <c r="D910" s="10"/>
    </row>
    <row r="911" spans="1:4" ht="14.25" customHeight="1" x14ac:dyDescent="0.35">
      <c r="A911" s="10"/>
      <c r="B911" s="10"/>
      <c r="C911" s="10"/>
      <c r="D911" s="10"/>
    </row>
    <row r="912" spans="1:4" ht="14.25" customHeight="1" x14ac:dyDescent="0.35">
      <c r="A912" s="10"/>
      <c r="B912" s="10"/>
      <c r="C912" s="10"/>
      <c r="D912" s="10"/>
    </row>
    <row r="913" spans="1:4" ht="14.25" customHeight="1" x14ac:dyDescent="0.35">
      <c r="A913" s="10"/>
      <c r="B913" s="10"/>
      <c r="C913" s="10"/>
      <c r="D913" s="10"/>
    </row>
    <row r="914" spans="1:4" ht="14.25" customHeight="1" x14ac:dyDescent="0.35">
      <c r="A914" s="10"/>
      <c r="B914" s="10"/>
      <c r="C914" s="10"/>
      <c r="D914" s="10"/>
    </row>
    <row r="915" spans="1:4" ht="14.25" customHeight="1" x14ac:dyDescent="0.35">
      <c r="A915" s="10"/>
      <c r="B915" s="10"/>
      <c r="C915" s="10"/>
      <c r="D915" s="10"/>
    </row>
    <row r="916" spans="1:4" ht="14.25" customHeight="1" x14ac:dyDescent="0.35">
      <c r="A916" s="10"/>
      <c r="B916" s="10"/>
      <c r="C916" s="10"/>
      <c r="D916" s="10"/>
    </row>
    <row r="917" spans="1:4" ht="14.25" customHeight="1" x14ac:dyDescent="0.35">
      <c r="A917" s="10"/>
      <c r="B917" s="10"/>
      <c r="C917" s="10"/>
      <c r="D917" s="10"/>
    </row>
    <row r="918" spans="1:4" ht="14.25" customHeight="1" x14ac:dyDescent="0.35">
      <c r="A918" s="10"/>
      <c r="B918" s="10"/>
      <c r="C918" s="10"/>
      <c r="D918" s="10"/>
    </row>
    <row r="919" spans="1:4" ht="14.25" customHeight="1" x14ac:dyDescent="0.35">
      <c r="A919" s="10"/>
      <c r="B919" s="10"/>
      <c r="C919" s="10"/>
      <c r="D919" s="10"/>
    </row>
    <row r="920" spans="1:4" ht="14.25" customHeight="1" x14ac:dyDescent="0.35">
      <c r="A920" s="10"/>
      <c r="B920" s="10"/>
      <c r="C920" s="10"/>
      <c r="D920" s="10"/>
    </row>
    <row r="921" spans="1:4" ht="14.25" customHeight="1" x14ac:dyDescent="0.35">
      <c r="A921" s="10"/>
      <c r="B921" s="10"/>
      <c r="C921" s="10"/>
      <c r="D921" s="10"/>
    </row>
    <row r="922" spans="1:4" ht="14.25" customHeight="1" x14ac:dyDescent="0.35">
      <c r="A922" s="10"/>
      <c r="B922" s="10"/>
      <c r="C922" s="10"/>
      <c r="D922" s="10"/>
    </row>
    <row r="923" spans="1:4" ht="14.25" customHeight="1" x14ac:dyDescent="0.35">
      <c r="A923" s="10"/>
      <c r="B923" s="10"/>
      <c r="C923" s="10"/>
      <c r="D923" s="10"/>
    </row>
    <row r="924" spans="1:4" ht="14.25" customHeight="1" x14ac:dyDescent="0.35">
      <c r="A924" s="10"/>
      <c r="B924" s="10"/>
      <c r="C924" s="10"/>
      <c r="D924" s="10"/>
    </row>
    <row r="925" spans="1:4" ht="14.25" customHeight="1" x14ac:dyDescent="0.35">
      <c r="A925" s="10"/>
      <c r="B925" s="10"/>
      <c r="C925" s="10"/>
      <c r="D925" s="10"/>
    </row>
    <row r="926" spans="1:4" ht="14.25" customHeight="1" x14ac:dyDescent="0.35">
      <c r="A926" s="10"/>
      <c r="B926" s="10"/>
      <c r="C926" s="10"/>
      <c r="D926" s="10"/>
    </row>
    <row r="927" spans="1:4" ht="14.25" customHeight="1" x14ac:dyDescent="0.35">
      <c r="A927" s="10"/>
      <c r="B927" s="10"/>
      <c r="C927" s="10"/>
      <c r="D927" s="10"/>
    </row>
    <row r="928" spans="1:4" ht="14.25" customHeight="1" x14ac:dyDescent="0.35">
      <c r="A928" s="10"/>
      <c r="B928" s="10"/>
      <c r="C928" s="10"/>
      <c r="D928" s="10"/>
    </row>
    <row r="929" spans="1:4" ht="14.25" customHeight="1" x14ac:dyDescent="0.35">
      <c r="A929" s="10"/>
      <c r="B929" s="10"/>
      <c r="C929" s="10"/>
      <c r="D929" s="10"/>
    </row>
    <row r="930" spans="1:4" ht="14.25" customHeight="1" x14ac:dyDescent="0.35">
      <c r="A930" s="10"/>
      <c r="B930" s="10"/>
      <c r="C930" s="10"/>
      <c r="D930" s="10"/>
    </row>
    <row r="931" spans="1:4" ht="14.25" customHeight="1" x14ac:dyDescent="0.35">
      <c r="A931" s="10"/>
      <c r="B931" s="10"/>
      <c r="C931" s="10"/>
      <c r="D931" s="10"/>
    </row>
    <row r="932" spans="1:4" ht="14.25" customHeight="1" x14ac:dyDescent="0.35">
      <c r="A932" s="10"/>
      <c r="B932" s="10"/>
      <c r="C932" s="10"/>
      <c r="D932" s="10"/>
    </row>
    <row r="933" spans="1:4" ht="14.25" customHeight="1" x14ac:dyDescent="0.35">
      <c r="A933" s="10"/>
      <c r="B933" s="10"/>
      <c r="C933" s="10"/>
      <c r="D933" s="10"/>
    </row>
    <row r="934" spans="1:4" ht="14.25" customHeight="1" x14ac:dyDescent="0.35">
      <c r="A934" s="10"/>
      <c r="B934" s="10"/>
      <c r="C934" s="10"/>
      <c r="D934" s="10"/>
    </row>
    <row r="935" spans="1:4" ht="14.25" customHeight="1" x14ac:dyDescent="0.35">
      <c r="A935" s="10"/>
      <c r="B935" s="10"/>
      <c r="C935" s="10"/>
      <c r="D935" s="10"/>
    </row>
    <row r="936" spans="1:4" ht="14.25" customHeight="1" x14ac:dyDescent="0.35">
      <c r="A936" s="10"/>
      <c r="B936" s="10"/>
      <c r="C936" s="10"/>
      <c r="D936" s="10"/>
    </row>
    <row r="937" spans="1:4" ht="14.25" customHeight="1" x14ac:dyDescent="0.35">
      <c r="A937" s="10"/>
      <c r="B937" s="10"/>
      <c r="C937" s="10"/>
      <c r="D937" s="10"/>
    </row>
    <row r="938" spans="1:4" ht="14.25" customHeight="1" x14ac:dyDescent="0.35">
      <c r="A938" s="10"/>
      <c r="B938" s="10"/>
      <c r="C938" s="10"/>
      <c r="D938" s="10"/>
    </row>
    <row r="939" spans="1:4" ht="14.25" customHeight="1" x14ac:dyDescent="0.35">
      <c r="A939" s="10"/>
      <c r="B939" s="10"/>
      <c r="C939" s="10"/>
      <c r="D939" s="10"/>
    </row>
    <row r="940" spans="1:4" ht="14.25" customHeight="1" x14ac:dyDescent="0.35">
      <c r="A940" s="10"/>
      <c r="B940" s="10"/>
      <c r="C940" s="10"/>
      <c r="D940" s="10"/>
    </row>
    <row r="941" spans="1:4" ht="14.25" customHeight="1" x14ac:dyDescent="0.35">
      <c r="A941" s="10"/>
      <c r="B941" s="10"/>
      <c r="C941" s="10"/>
      <c r="D941" s="10"/>
    </row>
    <row r="942" spans="1:4" ht="14.25" customHeight="1" x14ac:dyDescent="0.35">
      <c r="A942" s="10"/>
      <c r="B942" s="10"/>
      <c r="C942" s="10"/>
      <c r="D942" s="10"/>
    </row>
    <row r="943" spans="1:4" ht="14.25" customHeight="1" x14ac:dyDescent="0.35">
      <c r="A943" s="10"/>
      <c r="B943" s="10"/>
      <c r="C943" s="10"/>
      <c r="D943" s="10"/>
    </row>
    <row r="944" spans="1:4" ht="14.25" customHeight="1" x14ac:dyDescent="0.35">
      <c r="A944" s="10"/>
      <c r="B944" s="10"/>
      <c r="C944" s="10"/>
      <c r="D944" s="10"/>
    </row>
    <row r="945" spans="1:4" ht="14.25" customHeight="1" x14ac:dyDescent="0.35">
      <c r="A945" s="10"/>
      <c r="B945" s="10"/>
      <c r="C945" s="10"/>
      <c r="D945" s="10"/>
    </row>
    <row r="946" spans="1:4" ht="14.25" customHeight="1" x14ac:dyDescent="0.35">
      <c r="A946" s="10"/>
      <c r="B946" s="10"/>
      <c r="C946" s="10"/>
      <c r="D946" s="10"/>
    </row>
    <row r="947" spans="1:4" ht="14.25" customHeight="1" x14ac:dyDescent="0.35">
      <c r="A947" s="10"/>
      <c r="B947" s="10"/>
      <c r="C947" s="10"/>
      <c r="D947" s="10"/>
    </row>
    <row r="948" spans="1:4" ht="14.25" customHeight="1" x14ac:dyDescent="0.35">
      <c r="A948" s="10"/>
      <c r="B948" s="10"/>
      <c r="C948" s="10"/>
      <c r="D948" s="10"/>
    </row>
    <row r="949" spans="1:4" ht="14.25" customHeight="1" x14ac:dyDescent="0.35">
      <c r="A949" s="10"/>
      <c r="B949" s="10"/>
      <c r="C949" s="10"/>
      <c r="D949" s="10"/>
    </row>
    <row r="950" spans="1:4" ht="14.25" customHeight="1" x14ac:dyDescent="0.35">
      <c r="A950" s="10"/>
      <c r="B950" s="10"/>
      <c r="C950" s="10"/>
      <c r="D950" s="10"/>
    </row>
    <row r="951" spans="1:4" ht="14.25" customHeight="1" x14ac:dyDescent="0.35">
      <c r="A951" s="10"/>
      <c r="B951" s="10"/>
      <c r="C951" s="10"/>
      <c r="D951" s="10"/>
    </row>
    <row r="952" spans="1:4" ht="14.25" customHeight="1" x14ac:dyDescent="0.35">
      <c r="A952" s="10"/>
      <c r="B952" s="10"/>
      <c r="C952" s="10"/>
      <c r="D952" s="10"/>
    </row>
    <row r="953" spans="1:4" ht="14.25" customHeight="1" x14ac:dyDescent="0.35">
      <c r="A953" s="10"/>
      <c r="B953" s="10"/>
      <c r="C953" s="10"/>
      <c r="D953" s="10"/>
    </row>
    <row r="954" spans="1:4" ht="14.25" customHeight="1" x14ac:dyDescent="0.35">
      <c r="A954" s="10"/>
      <c r="B954" s="10"/>
      <c r="C954" s="10"/>
      <c r="D954" s="10"/>
    </row>
    <row r="955" spans="1:4" ht="14.25" customHeight="1" x14ac:dyDescent="0.35">
      <c r="A955" s="10"/>
      <c r="B955" s="10"/>
      <c r="C955" s="10"/>
      <c r="D955" s="10"/>
    </row>
    <row r="956" spans="1:4" ht="14.25" customHeight="1" x14ac:dyDescent="0.35">
      <c r="A956" s="10"/>
      <c r="B956" s="10"/>
      <c r="C956" s="10"/>
      <c r="D956" s="10"/>
    </row>
    <row r="957" spans="1:4" ht="14.25" customHeight="1" x14ac:dyDescent="0.35">
      <c r="A957" s="10"/>
      <c r="B957" s="10"/>
      <c r="C957" s="10"/>
      <c r="D957" s="10"/>
    </row>
    <row r="958" spans="1:4" ht="14.25" customHeight="1" x14ac:dyDescent="0.35">
      <c r="A958" s="10"/>
      <c r="B958" s="10"/>
      <c r="C958" s="10"/>
      <c r="D958" s="10"/>
    </row>
    <row r="959" spans="1:4" ht="14.25" customHeight="1" x14ac:dyDescent="0.35">
      <c r="A959" s="10"/>
      <c r="B959" s="10"/>
      <c r="C959" s="10"/>
      <c r="D959" s="10"/>
    </row>
    <row r="960" spans="1:4" ht="14.25" customHeight="1" x14ac:dyDescent="0.35">
      <c r="A960" s="10"/>
      <c r="B960" s="10"/>
      <c r="C960" s="10"/>
      <c r="D960" s="10"/>
    </row>
    <row r="961" spans="1:4" ht="14.25" customHeight="1" x14ac:dyDescent="0.35">
      <c r="A961" s="10"/>
      <c r="B961" s="10"/>
      <c r="C961" s="10"/>
      <c r="D961" s="10"/>
    </row>
    <row r="962" spans="1:4" ht="14.25" customHeight="1" x14ac:dyDescent="0.35">
      <c r="A962" s="10"/>
      <c r="B962" s="10"/>
      <c r="C962" s="10"/>
      <c r="D962" s="10"/>
    </row>
    <row r="963" spans="1:4" ht="14.25" customHeight="1" x14ac:dyDescent="0.35">
      <c r="A963" s="10"/>
      <c r="B963" s="10"/>
      <c r="C963" s="10"/>
      <c r="D963" s="10"/>
    </row>
    <row r="964" spans="1:4" ht="14.25" customHeight="1" x14ac:dyDescent="0.35">
      <c r="A964" s="10"/>
      <c r="B964" s="10"/>
      <c r="C964" s="10"/>
      <c r="D964" s="10"/>
    </row>
    <row r="965" spans="1:4" ht="14.25" customHeight="1" x14ac:dyDescent="0.35">
      <c r="A965" s="10"/>
      <c r="B965" s="10"/>
      <c r="C965" s="10"/>
      <c r="D965" s="10"/>
    </row>
    <row r="966" spans="1:4" ht="14.25" customHeight="1" x14ac:dyDescent="0.35">
      <c r="A966" s="10"/>
      <c r="B966" s="10"/>
      <c r="C966" s="10"/>
      <c r="D966" s="10"/>
    </row>
    <row r="967" spans="1:4" ht="14.25" customHeight="1" x14ac:dyDescent="0.35">
      <c r="A967" s="10"/>
      <c r="B967" s="10"/>
      <c r="C967" s="10"/>
      <c r="D967" s="10"/>
    </row>
    <row r="968" spans="1:4" ht="14.25" customHeight="1" x14ac:dyDescent="0.35">
      <c r="A968" s="10"/>
      <c r="B968" s="10"/>
      <c r="C968" s="10"/>
      <c r="D968" s="10"/>
    </row>
    <row r="969" spans="1:4" ht="14.25" customHeight="1" x14ac:dyDescent="0.35">
      <c r="A969" s="10"/>
      <c r="B969" s="10"/>
      <c r="C969" s="10"/>
      <c r="D969" s="10"/>
    </row>
    <row r="970" spans="1:4" ht="14.25" customHeight="1" x14ac:dyDescent="0.35">
      <c r="A970" s="10"/>
      <c r="B970" s="10"/>
      <c r="C970" s="10"/>
      <c r="D970" s="10"/>
    </row>
    <row r="971" spans="1:4" ht="14.25" customHeight="1" x14ac:dyDescent="0.35">
      <c r="A971" s="10"/>
      <c r="B971" s="10"/>
      <c r="C971" s="10"/>
      <c r="D971" s="10"/>
    </row>
    <row r="972" spans="1:4" ht="14.25" customHeight="1" x14ac:dyDescent="0.35">
      <c r="A972" s="10"/>
      <c r="B972" s="10"/>
      <c r="C972" s="10"/>
      <c r="D972" s="10"/>
    </row>
    <row r="973" spans="1:4" ht="14.25" customHeight="1" x14ac:dyDescent="0.35">
      <c r="A973" s="10"/>
      <c r="B973" s="10"/>
      <c r="C973" s="10"/>
      <c r="D973" s="10"/>
    </row>
    <row r="974" spans="1:4" ht="14.25" customHeight="1" x14ac:dyDescent="0.35">
      <c r="A974" s="10"/>
      <c r="B974" s="10"/>
      <c r="C974" s="10"/>
      <c r="D974" s="10"/>
    </row>
    <row r="975" spans="1:4" ht="14.25" customHeight="1" x14ac:dyDescent="0.35">
      <c r="A975" s="10"/>
      <c r="B975" s="10"/>
      <c r="C975" s="10"/>
      <c r="D975" s="10"/>
    </row>
    <row r="976" spans="1:4" ht="14.25" customHeight="1" x14ac:dyDescent="0.35">
      <c r="A976" s="10"/>
      <c r="B976" s="10"/>
      <c r="C976" s="10"/>
      <c r="D976" s="10"/>
    </row>
    <row r="977" spans="1:4" ht="14.25" customHeight="1" x14ac:dyDescent="0.35">
      <c r="A977" s="10"/>
      <c r="B977" s="10"/>
      <c r="C977" s="10"/>
      <c r="D977" s="10"/>
    </row>
    <row r="978" spans="1:4" ht="14.25" customHeight="1" x14ac:dyDescent="0.35">
      <c r="A978" s="10"/>
      <c r="B978" s="10"/>
      <c r="C978" s="10"/>
      <c r="D978" s="10"/>
    </row>
    <row r="979" spans="1:4" ht="14.25" customHeight="1" x14ac:dyDescent="0.35">
      <c r="A979" s="10"/>
      <c r="B979" s="10"/>
      <c r="C979" s="10"/>
      <c r="D979" s="10"/>
    </row>
    <row r="980" spans="1:4" ht="14.25" customHeight="1" x14ac:dyDescent="0.35">
      <c r="A980" s="10"/>
      <c r="B980" s="10"/>
      <c r="C980" s="10"/>
      <c r="D980" s="10"/>
    </row>
    <row r="981" spans="1:4" ht="14.25" customHeight="1" x14ac:dyDescent="0.35">
      <c r="A981" s="10"/>
      <c r="B981" s="10"/>
      <c r="C981" s="10"/>
      <c r="D981" s="10"/>
    </row>
    <row r="982" spans="1:4" ht="14.25" customHeight="1" x14ac:dyDescent="0.35">
      <c r="A982" s="10"/>
      <c r="B982" s="10"/>
      <c r="C982" s="10"/>
      <c r="D982" s="10"/>
    </row>
    <row r="983" spans="1:4" ht="14.25" customHeight="1" x14ac:dyDescent="0.35">
      <c r="A983" s="10"/>
      <c r="B983" s="10"/>
      <c r="C983" s="10"/>
      <c r="D983" s="10"/>
    </row>
    <row r="984" spans="1:4" ht="14.25" customHeight="1" x14ac:dyDescent="0.35">
      <c r="A984" s="10"/>
      <c r="B984" s="10"/>
      <c r="C984" s="10"/>
      <c r="D984" s="10"/>
    </row>
    <row r="985" spans="1:4" ht="14.25" customHeight="1" x14ac:dyDescent="0.35">
      <c r="A985" s="10"/>
      <c r="B985" s="10"/>
      <c r="C985" s="10"/>
      <c r="D985" s="10"/>
    </row>
    <row r="986" spans="1:4" ht="14.25" customHeight="1" x14ac:dyDescent="0.35">
      <c r="A986" s="10"/>
      <c r="B986" s="10"/>
      <c r="C986" s="10"/>
      <c r="D986" s="10"/>
    </row>
    <row r="987" spans="1:4" ht="14.25" customHeight="1" x14ac:dyDescent="0.35">
      <c r="A987" s="10"/>
      <c r="B987" s="10"/>
      <c r="C987" s="10"/>
      <c r="D987" s="10"/>
    </row>
    <row r="988" spans="1:4" ht="14.25" customHeight="1" x14ac:dyDescent="0.35">
      <c r="A988" s="10"/>
      <c r="B988" s="10"/>
      <c r="C988" s="10"/>
      <c r="D988" s="10"/>
    </row>
    <row r="989" spans="1:4" ht="14.25" customHeight="1" x14ac:dyDescent="0.35">
      <c r="A989" s="10"/>
      <c r="B989" s="10"/>
      <c r="C989" s="10"/>
      <c r="D989" s="10"/>
    </row>
    <row r="990" spans="1:4" ht="14.25" customHeight="1" x14ac:dyDescent="0.35">
      <c r="A990" s="10"/>
      <c r="B990" s="10"/>
      <c r="C990" s="10"/>
      <c r="D990" s="10"/>
    </row>
    <row r="991" spans="1:4" ht="14.25" customHeight="1" x14ac:dyDescent="0.35">
      <c r="A991" s="10"/>
      <c r="B991" s="10"/>
      <c r="C991" s="10"/>
      <c r="D991" s="10"/>
    </row>
    <row r="992" spans="1:4" ht="14.25" customHeight="1" x14ac:dyDescent="0.35">
      <c r="A992" s="10"/>
      <c r="B992" s="10"/>
      <c r="C992" s="10"/>
      <c r="D992" s="10"/>
    </row>
    <row r="993" spans="1:4" ht="14.25" customHeight="1" x14ac:dyDescent="0.35">
      <c r="A993" s="10"/>
      <c r="B993" s="10"/>
      <c r="C993" s="10"/>
      <c r="D993" s="10"/>
    </row>
    <row r="994" spans="1:4" ht="14.25" customHeight="1" x14ac:dyDescent="0.35">
      <c r="A994" s="10"/>
      <c r="B994" s="10"/>
      <c r="C994" s="10"/>
      <c r="D994" s="10"/>
    </row>
    <row r="995" spans="1:4" ht="14.25" customHeight="1" x14ac:dyDescent="0.35">
      <c r="A995" s="10"/>
      <c r="B995" s="10"/>
      <c r="C995" s="10"/>
      <c r="D995" s="10"/>
    </row>
    <row r="996" spans="1:4" ht="14.25" customHeight="1" x14ac:dyDescent="0.35">
      <c r="A996" s="10"/>
      <c r="B996" s="10"/>
      <c r="C996" s="10"/>
      <c r="D996" s="10"/>
    </row>
    <row r="997" spans="1:4" ht="14.25" customHeight="1" x14ac:dyDescent="0.35">
      <c r="A997" s="10"/>
      <c r="B997" s="10"/>
      <c r="C997" s="10"/>
      <c r="D997" s="10"/>
    </row>
    <row r="998" spans="1:4" ht="14.25" customHeight="1" x14ac:dyDescent="0.35">
      <c r="A998" s="10"/>
      <c r="B998" s="10"/>
      <c r="C998" s="10"/>
      <c r="D998" s="10"/>
    </row>
    <row r="999" spans="1:4" ht="14.25" customHeight="1" x14ac:dyDescent="0.35">
      <c r="A999" s="10"/>
      <c r="B999" s="10"/>
      <c r="C999" s="10"/>
      <c r="D999" s="10"/>
    </row>
    <row r="1000" spans="1:4" ht="14.25" customHeight="1" x14ac:dyDescent="0.35">
      <c r="A1000" s="10"/>
      <c r="B1000" s="10"/>
      <c r="C1000" s="10"/>
      <c r="D1000" s="10"/>
    </row>
  </sheetData>
  <pageMargins left="0.75" right="0.75" top="1" bottom="1" header="0" footer="0"/>
  <pageSetup paperSize="9" orientation="portrai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D1000"/>
  <sheetViews>
    <sheetView tabSelected="1" workbookViewId="0">
      <pane ySplit="3" topLeftCell="A116" activePane="bottomLeft" state="frozen"/>
      <selection pane="bottomLeft" activeCell="B134" sqref="B134"/>
    </sheetView>
  </sheetViews>
  <sheetFormatPr defaultColWidth="14.453125" defaultRowHeight="15" customHeight="1" x14ac:dyDescent="0.35"/>
  <cols>
    <col min="1" max="1" width="13" customWidth="1"/>
    <col min="2" max="2" width="30" customWidth="1"/>
    <col min="3" max="3" width="46" customWidth="1"/>
    <col min="4" max="4" width="8" customWidth="1"/>
    <col min="5" max="26" width="8.54296875" customWidth="1"/>
  </cols>
  <sheetData>
    <row r="1" spans="1:4" ht="15.75" customHeight="1" x14ac:dyDescent="0.35">
      <c r="A1" s="11" t="s">
        <v>1075</v>
      </c>
      <c r="B1" s="10"/>
      <c r="C1" s="10"/>
      <c r="D1" s="10"/>
    </row>
    <row r="2" spans="1:4" ht="14.25" customHeight="1" x14ac:dyDescent="0.35">
      <c r="A2" s="10"/>
      <c r="B2" s="10"/>
      <c r="C2" s="10"/>
      <c r="D2" s="10"/>
    </row>
    <row r="3" spans="1:4" ht="15" customHeight="1" x14ac:dyDescent="0.35">
      <c r="A3" s="14" t="s">
        <v>938</v>
      </c>
      <c r="B3" s="14" t="s">
        <v>954</v>
      </c>
      <c r="C3" s="14" t="s">
        <v>999</v>
      </c>
      <c r="D3" s="14" t="s">
        <v>1000</v>
      </c>
    </row>
    <row r="4" spans="1:4" ht="15" customHeight="1" x14ac:dyDescent="0.35">
      <c r="A4" s="19" t="s">
        <v>940</v>
      </c>
      <c r="B4" s="19" t="s">
        <v>963</v>
      </c>
      <c r="C4" s="19" t="s">
        <v>1076</v>
      </c>
      <c r="D4" s="23">
        <f>SUMIFS('Data (parsed)'!$I$2:$I$235,'Data (parsed)'!$B$2:$B$235,$A4,'Data (parsed)'!$C$2:$C$235,$B4,'Data (parsed)'!$H$2:$H$235,$C4)</f>
        <v>1</v>
      </c>
    </row>
    <row r="5" spans="1:4" ht="15" customHeight="1" x14ac:dyDescent="0.35">
      <c r="A5" s="19" t="s">
        <v>940</v>
      </c>
      <c r="B5" s="19" t="s">
        <v>963</v>
      </c>
      <c r="C5" s="19" t="s">
        <v>1005</v>
      </c>
      <c r="D5" s="23">
        <f>SUMIFS('Data (parsed)'!$I$2:$I$235,'Data (parsed)'!$B$2:$B$235,$A5,'Data (parsed)'!$C$2:$C$235,$B5,'Data (parsed)'!$H$2:$H$235,$C5)</f>
        <v>1</v>
      </c>
    </row>
    <row r="6" spans="1:4" ht="15" customHeight="1" x14ac:dyDescent="0.35">
      <c r="A6" s="19" t="s">
        <v>940</v>
      </c>
      <c r="B6" s="19" t="s">
        <v>963</v>
      </c>
      <c r="C6" s="26" t="s">
        <v>1077</v>
      </c>
      <c r="D6" s="23">
        <f>SUMIFS('Data (parsed)'!$I$2:$I$235,'Data (parsed)'!$B$2:$B$235,$A6,'Data (parsed)'!$C$2:$C$235,$B6,'Data (parsed)'!$H$2:$H$235,$C6)</f>
        <v>1</v>
      </c>
    </row>
    <row r="7" spans="1:4" ht="15" customHeight="1" x14ac:dyDescent="0.35">
      <c r="A7" s="19" t="s">
        <v>940</v>
      </c>
      <c r="B7" s="19" t="s">
        <v>958</v>
      </c>
      <c r="C7" s="26" t="s">
        <v>1078</v>
      </c>
      <c r="D7" s="23">
        <f>SUMIFS('Data (parsed)'!$I$2:$I$235,'Data (parsed)'!$B$2:$B$235,$A7,'Data (parsed)'!$C$2:$C$235,$B7,'Data (parsed)'!$H$2:$H$235,$C7)</f>
        <v>6</v>
      </c>
    </row>
    <row r="8" spans="1:4" ht="15" customHeight="1" x14ac:dyDescent="0.35">
      <c r="A8" s="19" t="s">
        <v>940</v>
      </c>
      <c r="B8" s="19" t="s">
        <v>958</v>
      </c>
      <c r="C8" s="19" t="s">
        <v>1079</v>
      </c>
      <c r="D8" s="23">
        <f>SUMIFS('Data (parsed)'!$I$2:$I$235,'Data (parsed)'!$B$2:$B$235,$A8,'Data (parsed)'!$C$2:$C$235,$B8,'Data (parsed)'!$H$2:$H$235,$C8)</f>
        <v>2</v>
      </c>
    </row>
    <row r="9" spans="1:4" ht="15" customHeight="1" x14ac:dyDescent="0.35">
      <c r="A9" s="19" t="s">
        <v>940</v>
      </c>
      <c r="B9" s="19" t="s">
        <v>958</v>
      </c>
      <c r="C9" s="26" t="s">
        <v>1080</v>
      </c>
      <c r="D9" s="23">
        <f>SUMIFS('Data (parsed)'!$I$2:$I$235,'Data (parsed)'!$B$2:$B$235,$A9,'Data (parsed)'!$C$2:$C$235,$B9,'Data (parsed)'!$H$2:$H$235,$C9)</f>
        <v>1</v>
      </c>
    </row>
    <row r="10" spans="1:4" ht="15" customHeight="1" x14ac:dyDescent="0.35">
      <c r="A10" s="19" t="s">
        <v>940</v>
      </c>
      <c r="B10" s="19" t="s">
        <v>958</v>
      </c>
      <c r="C10" s="19" t="s">
        <v>1076</v>
      </c>
      <c r="D10" s="23">
        <f>SUMIFS('Data (parsed)'!$I$2:$I$235,'Data (parsed)'!$B$2:$B$235,$A10,'Data (parsed)'!$C$2:$C$235,$B10,'Data (parsed)'!$H$2:$H$235,$C10)</f>
        <v>1</v>
      </c>
    </row>
    <row r="11" spans="1:4" ht="15" customHeight="1" x14ac:dyDescent="0.35">
      <c r="A11" s="19" t="s">
        <v>940</v>
      </c>
      <c r="B11" s="19" t="s">
        <v>958</v>
      </c>
      <c r="C11" s="26" t="s">
        <v>1081</v>
      </c>
      <c r="D11" s="23">
        <f>SUMIFS('Data (parsed)'!$I$2:$I$235,'Data (parsed)'!$B$2:$B$235,$A11,'Data (parsed)'!$C$2:$C$235,$B11,'Data (parsed)'!$H$2:$H$235,$C11)</f>
        <v>1</v>
      </c>
    </row>
    <row r="12" spans="1:4" ht="15" customHeight="1" x14ac:dyDescent="0.35">
      <c r="A12" s="19" t="s">
        <v>940</v>
      </c>
      <c r="B12" s="19" t="s">
        <v>958</v>
      </c>
      <c r="C12" s="26" t="s">
        <v>1082</v>
      </c>
      <c r="D12" s="23">
        <f>SUMIFS('Data (parsed)'!$I$2:$I$235,'Data (parsed)'!$B$2:$B$235,$A12,'Data (parsed)'!$C$2:$C$235,$B12,'Data (parsed)'!$H$2:$H$235,$C12)</f>
        <v>1</v>
      </c>
    </row>
    <row r="13" spans="1:4" ht="15" customHeight="1" x14ac:dyDescent="0.35">
      <c r="A13" s="19" t="s">
        <v>940</v>
      </c>
      <c r="B13" s="19" t="s">
        <v>960</v>
      </c>
      <c r="C13" s="26" t="s">
        <v>1078</v>
      </c>
      <c r="D13" s="23">
        <f>SUMIFS('Data (parsed)'!$I$2:$I$235,'Data (parsed)'!$B$2:$B$235,$A13,'Data (parsed)'!$C$2:$C$235,$B13,'Data (parsed)'!$H$2:$H$235,$C13)</f>
        <v>3</v>
      </c>
    </row>
    <row r="14" spans="1:4" ht="15" customHeight="1" x14ac:dyDescent="0.35">
      <c r="A14" s="19" t="s">
        <v>940</v>
      </c>
      <c r="B14" s="19" t="s">
        <v>960</v>
      </c>
      <c r="C14" s="26" t="s">
        <v>1077</v>
      </c>
      <c r="D14" s="23">
        <f>SUMIFS('Data (parsed)'!$I$2:$I$235,'Data (parsed)'!$B$2:$B$235,$A14,'Data (parsed)'!$C$2:$C$235,$B14,'Data (parsed)'!$H$2:$H$235,$C14)</f>
        <v>2</v>
      </c>
    </row>
    <row r="15" spans="1:4" ht="15" customHeight="1" x14ac:dyDescent="0.35">
      <c r="A15" s="19" t="s">
        <v>940</v>
      </c>
      <c r="B15" s="19" t="s">
        <v>960</v>
      </c>
      <c r="C15" s="19" t="s">
        <v>1079</v>
      </c>
      <c r="D15" s="23">
        <f>SUMIFS('Data (parsed)'!$I$2:$I$235,'Data (parsed)'!$B$2:$B$235,$A15,'Data (parsed)'!$C$2:$C$235,$B15,'Data (parsed)'!$H$2:$H$235,$C15)</f>
        <v>1</v>
      </c>
    </row>
    <row r="16" spans="1:4" ht="15" customHeight="1" x14ac:dyDescent="0.35">
      <c r="A16" s="19" t="s">
        <v>940</v>
      </c>
      <c r="B16" s="19" t="s">
        <v>960</v>
      </c>
      <c r="C16" s="26" t="s">
        <v>1082</v>
      </c>
      <c r="D16" s="23">
        <f>SUMIFS('Data (parsed)'!$I$2:$I$235,'Data (parsed)'!$B$2:$B$235,$A16,'Data (parsed)'!$C$2:$C$235,$B16,'Data (parsed)'!$H$2:$H$235,$C16)</f>
        <v>1</v>
      </c>
    </row>
    <row r="17" spans="1:4" ht="26.25" customHeight="1" x14ac:dyDescent="0.35">
      <c r="A17" s="19" t="s">
        <v>940</v>
      </c>
      <c r="B17" s="19" t="s">
        <v>964</v>
      </c>
      <c r="C17" s="26" t="s">
        <v>1083</v>
      </c>
      <c r="D17" s="23">
        <f>SUMIFS('Data (parsed)'!$I$2:$I$235,'Data (parsed)'!$B$2:$B$235,$A17,'Data (parsed)'!$C$2:$C$235,$B17,'Data (parsed)'!$H$2:$H$235,$C17)</f>
        <v>1</v>
      </c>
    </row>
    <row r="18" spans="1:4" ht="26.25" customHeight="1" x14ac:dyDescent="0.35">
      <c r="A18" s="19" t="s">
        <v>940</v>
      </c>
      <c r="B18" s="19" t="s">
        <v>964</v>
      </c>
      <c r="C18" s="19" t="s">
        <v>1079</v>
      </c>
      <c r="D18" s="23">
        <f>SUMIFS('Data (parsed)'!$I$2:$I$235,'Data (parsed)'!$B$2:$B$235,$A18,'Data (parsed)'!$C$2:$C$235,$B18,'Data (parsed)'!$H$2:$H$235,$C18)</f>
        <v>1</v>
      </c>
    </row>
    <row r="19" spans="1:4" ht="15" customHeight="1" x14ac:dyDescent="0.35">
      <c r="A19" s="19" t="s">
        <v>940</v>
      </c>
      <c r="B19" s="19" t="s">
        <v>957</v>
      </c>
      <c r="C19" s="26" t="s">
        <v>1078</v>
      </c>
      <c r="D19" s="23">
        <f>SUMIFS('Data (parsed)'!$I$2:$I$235,'Data (parsed)'!$B$2:$B$235,$A19,'Data (parsed)'!$C$2:$C$235,$B19,'Data (parsed)'!$H$2:$H$235,$C19)</f>
        <v>4</v>
      </c>
    </row>
    <row r="20" spans="1:4" ht="15" customHeight="1" x14ac:dyDescent="0.35">
      <c r="A20" s="19" t="s">
        <v>940</v>
      </c>
      <c r="B20" s="19" t="s">
        <v>957</v>
      </c>
      <c r="C20" s="26" t="s">
        <v>1077</v>
      </c>
      <c r="D20" s="23">
        <f>SUMIFS('Data (parsed)'!$I$2:$I$235,'Data (parsed)'!$B$2:$B$235,$A20,'Data (parsed)'!$C$2:$C$235,$B20,'Data (parsed)'!$H$2:$H$235,$C20)</f>
        <v>4</v>
      </c>
    </row>
    <row r="21" spans="1:4" ht="15" customHeight="1" x14ac:dyDescent="0.35">
      <c r="A21" s="19" t="s">
        <v>940</v>
      </c>
      <c r="B21" s="19" t="s">
        <v>957</v>
      </c>
      <c r="C21" s="19" t="s">
        <v>1005</v>
      </c>
      <c r="D21" s="23">
        <f>SUMIFS('Data (parsed)'!$I$2:$I$235,'Data (parsed)'!$B$2:$B$235,$A21,'Data (parsed)'!$C$2:$C$235,$B21,'Data (parsed)'!$H$2:$H$235,$C21)</f>
        <v>3</v>
      </c>
    </row>
    <row r="22" spans="1:4" ht="15" customHeight="1" x14ac:dyDescent="0.35">
      <c r="A22" s="19" t="s">
        <v>940</v>
      </c>
      <c r="B22" s="19" t="s">
        <v>957</v>
      </c>
      <c r="C22" s="19" t="s">
        <v>1084</v>
      </c>
      <c r="D22" s="23">
        <f>SUMIFS('Data (parsed)'!$I$2:$I$235,'Data (parsed)'!$B$2:$B$235,$A22,'Data (parsed)'!$C$2:$C$235,$B22,'Data (parsed)'!$H$2:$H$235,$C22)</f>
        <v>2</v>
      </c>
    </row>
    <row r="23" spans="1:4" ht="15" customHeight="1" x14ac:dyDescent="0.35">
      <c r="A23" s="19" t="s">
        <v>940</v>
      </c>
      <c r="B23" s="19" t="s">
        <v>957</v>
      </c>
      <c r="C23" s="26" t="s">
        <v>1085</v>
      </c>
      <c r="D23" s="23">
        <f>SUMIFS('Data (parsed)'!$I$2:$I$235,'Data (parsed)'!$B$2:$B$235,$A23,'Data (parsed)'!$C$2:$C$235,$B23,'Data (parsed)'!$H$2:$H$235,$C23)</f>
        <v>1</v>
      </c>
    </row>
    <row r="24" spans="1:4" ht="15" customHeight="1" x14ac:dyDescent="0.35">
      <c r="A24" s="19" t="s">
        <v>940</v>
      </c>
      <c r="B24" s="19" t="s">
        <v>957</v>
      </c>
      <c r="C24" s="26" t="s">
        <v>1086</v>
      </c>
      <c r="D24" s="23">
        <f>SUMIFS('Data (parsed)'!$I$2:$I$235,'Data (parsed)'!$B$2:$B$235,$A24,'Data (parsed)'!$C$2:$C$235,$B24,'Data (parsed)'!$H$2:$H$235,$C24)</f>
        <v>1</v>
      </c>
    </row>
    <row r="25" spans="1:4" ht="15" customHeight="1" x14ac:dyDescent="0.35">
      <c r="A25" s="19" t="s">
        <v>940</v>
      </c>
      <c r="B25" s="19" t="s">
        <v>957</v>
      </c>
      <c r="C25" s="19" t="s">
        <v>1079</v>
      </c>
      <c r="D25" s="23">
        <f>SUMIFS('Data (parsed)'!$I$2:$I$235,'Data (parsed)'!$B$2:$B$235,$A25,'Data (parsed)'!$C$2:$C$235,$B25,'Data (parsed)'!$H$2:$H$235,$C25)</f>
        <v>1</v>
      </c>
    </row>
    <row r="26" spans="1:4" ht="15" customHeight="1" x14ac:dyDescent="0.35">
      <c r="A26" s="19" t="s">
        <v>940</v>
      </c>
      <c r="B26" s="19" t="s">
        <v>957</v>
      </c>
      <c r="C26" s="19" t="s">
        <v>1087</v>
      </c>
      <c r="D26" s="23">
        <f>SUMIFS('Data (parsed)'!$I$2:$I$235,'Data (parsed)'!$B$2:$B$235,$A26,'Data (parsed)'!$C$2:$C$235,$B26,'Data (parsed)'!$H$2:$H$235,$C26)</f>
        <v>0</v>
      </c>
    </row>
    <row r="27" spans="1:4" ht="15" customHeight="1" x14ac:dyDescent="0.35">
      <c r="A27" s="19" t="s">
        <v>940</v>
      </c>
      <c r="B27" s="19" t="s">
        <v>955</v>
      </c>
      <c r="C27" s="26" t="s">
        <v>1078</v>
      </c>
      <c r="D27" s="23">
        <f>SUMIFS('Data (parsed)'!$I$2:$I$235,'Data (parsed)'!$B$2:$B$235,$A27,'Data (parsed)'!$C$2:$C$235,$B27,'Data (parsed)'!$H$2:$H$235,$C27)</f>
        <v>10</v>
      </c>
    </row>
    <row r="28" spans="1:4" ht="15" customHeight="1" x14ac:dyDescent="0.35">
      <c r="A28" s="19" t="s">
        <v>940</v>
      </c>
      <c r="B28" s="19" t="s">
        <v>955</v>
      </c>
      <c r="C28" s="26" t="s">
        <v>1077</v>
      </c>
      <c r="D28" s="23">
        <f>SUMIFS('Data (parsed)'!$I$2:$I$235,'Data (parsed)'!$B$2:$B$235,$A28,'Data (parsed)'!$C$2:$C$235,$B28,'Data (parsed)'!$H$2:$H$235,$C28)</f>
        <v>5</v>
      </c>
    </row>
    <row r="29" spans="1:4" ht="15" customHeight="1" x14ac:dyDescent="0.35">
      <c r="A29" s="19" t="s">
        <v>940</v>
      </c>
      <c r="B29" s="19" t="s">
        <v>955</v>
      </c>
      <c r="C29" s="19" t="s">
        <v>1005</v>
      </c>
      <c r="D29" s="23">
        <f>SUMIFS('Data (parsed)'!$I$2:$I$235,'Data (parsed)'!$B$2:$B$235,$A29,'Data (parsed)'!$C$2:$C$235,$B29,'Data (parsed)'!$H$2:$H$235,$C29)</f>
        <v>4</v>
      </c>
    </row>
    <row r="30" spans="1:4" ht="15" customHeight="1" x14ac:dyDescent="0.35">
      <c r="A30" s="19" t="s">
        <v>940</v>
      </c>
      <c r="B30" s="19" t="s">
        <v>955</v>
      </c>
      <c r="C30" s="19" t="s">
        <v>1088</v>
      </c>
      <c r="D30" s="23">
        <f>SUMIFS('Data (parsed)'!$I$2:$I$235,'Data (parsed)'!$B$2:$B$235,$A30,'Data (parsed)'!$C$2:$C$235,$B30,'Data (parsed)'!$H$2:$H$235,$C30)</f>
        <v>1</v>
      </c>
    </row>
    <row r="31" spans="1:4" ht="15" customHeight="1" x14ac:dyDescent="0.35">
      <c r="A31" s="19" t="s">
        <v>940</v>
      </c>
      <c r="B31" s="19" t="s">
        <v>955</v>
      </c>
      <c r="C31" s="19" t="s">
        <v>1089</v>
      </c>
      <c r="D31" s="23">
        <f>SUMIFS('Data (parsed)'!$I$2:$I$235,'Data (parsed)'!$B$2:$B$235,$A31,'Data (parsed)'!$C$2:$C$235,$B31,'Data (parsed)'!$H$2:$H$235,$C31)</f>
        <v>0</v>
      </c>
    </row>
    <row r="32" spans="1:4" ht="15" customHeight="1" x14ac:dyDescent="0.35">
      <c r="A32" s="19" t="s">
        <v>940</v>
      </c>
      <c r="B32" s="19" t="s">
        <v>955</v>
      </c>
      <c r="C32" s="19" t="s">
        <v>1079</v>
      </c>
      <c r="D32" s="23">
        <f>SUMIFS('Data (parsed)'!$I$2:$I$235,'Data (parsed)'!$B$2:$B$235,$A32,'Data (parsed)'!$C$2:$C$235,$B32,'Data (parsed)'!$H$2:$H$235,$C32)</f>
        <v>1</v>
      </c>
    </row>
    <row r="33" spans="1:4" ht="15" customHeight="1" x14ac:dyDescent="0.35">
      <c r="A33" s="19" t="s">
        <v>940</v>
      </c>
      <c r="B33" s="19" t="s">
        <v>955</v>
      </c>
      <c r="C33" s="26" t="s">
        <v>1090</v>
      </c>
      <c r="D33" s="23">
        <f>SUMIFS('Data (parsed)'!$I$2:$I$235,'Data (parsed)'!$B$2:$B$235,$A33,'Data (parsed)'!$C$2:$C$235,$B33,'Data (parsed)'!$H$2:$H$235,$C33)</f>
        <v>0</v>
      </c>
    </row>
    <row r="34" spans="1:4" ht="15" customHeight="1" x14ac:dyDescent="0.35">
      <c r="A34" s="19" t="s">
        <v>940</v>
      </c>
      <c r="B34" s="19" t="s">
        <v>955</v>
      </c>
      <c r="C34" s="26" t="s">
        <v>1091</v>
      </c>
      <c r="D34" s="23">
        <f>SUMIFS('Data (parsed)'!$I$2:$I$235,'Data (parsed)'!$B$2:$B$235,$A34,'Data (parsed)'!$C$2:$C$235,$B34,'Data (parsed)'!$H$2:$H$235,$C34)</f>
        <v>1</v>
      </c>
    </row>
    <row r="35" spans="1:4" ht="15" customHeight="1" x14ac:dyDescent="0.35">
      <c r="A35" s="19" t="s">
        <v>940</v>
      </c>
      <c r="B35" s="19" t="s">
        <v>955</v>
      </c>
      <c r="C35" s="26" t="s">
        <v>1081</v>
      </c>
      <c r="D35" s="23">
        <f>SUMIFS('Data (parsed)'!$I$2:$I$235,'Data (parsed)'!$B$2:$B$235,$A35,'Data (parsed)'!$C$2:$C$235,$B35,'Data (parsed)'!$H$2:$H$235,$C35)</f>
        <v>1</v>
      </c>
    </row>
    <row r="36" spans="1:4" ht="15" customHeight="1" x14ac:dyDescent="0.35">
      <c r="A36" s="19" t="s">
        <v>940</v>
      </c>
      <c r="B36" s="19" t="s">
        <v>959</v>
      </c>
      <c r="C36" s="26" t="s">
        <v>1078</v>
      </c>
      <c r="D36" s="23">
        <f>SUMIFS('Data (parsed)'!$I$2:$I$235,'Data (parsed)'!$B$2:$B$235,$A36,'Data (parsed)'!$C$2:$C$235,$B36,'Data (parsed)'!$H$2:$H$235,$C36)</f>
        <v>4</v>
      </c>
    </row>
    <row r="37" spans="1:4" ht="15" customHeight="1" x14ac:dyDescent="0.35">
      <c r="A37" s="19" t="s">
        <v>940</v>
      </c>
      <c r="B37" s="19" t="s">
        <v>959</v>
      </c>
      <c r="C37" s="26" t="s">
        <v>1077</v>
      </c>
      <c r="D37" s="23">
        <f>SUMIFS('Data (parsed)'!$I$2:$I$235,'Data (parsed)'!$B$2:$B$235,$A37,'Data (parsed)'!$C$2:$C$235,$B37,'Data (parsed)'!$H$2:$H$235,$C37)</f>
        <v>3</v>
      </c>
    </row>
    <row r="38" spans="1:4" ht="15" customHeight="1" x14ac:dyDescent="0.35">
      <c r="A38" s="19" t="s">
        <v>940</v>
      </c>
      <c r="B38" s="19" t="s">
        <v>959</v>
      </c>
      <c r="C38" s="26" t="s">
        <v>1092</v>
      </c>
      <c r="D38" s="23">
        <f>SUMIFS('Data (parsed)'!$I$2:$I$235,'Data (parsed)'!$B$2:$B$235,$A38,'Data (parsed)'!$C$2:$C$235,$B38,'Data (parsed)'!$H$2:$H$235,$C38)</f>
        <v>0</v>
      </c>
    </row>
    <row r="39" spans="1:4" ht="15" customHeight="1" x14ac:dyDescent="0.35">
      <c r="A39" s="19" t="s">
        <v>940</v>
      </c>
      <c r="B39" s="19" t="s">
        <v>959</v>
      </c>
      <c r="C39" s="26" t="s">
        <v>1093</v>
      </c>
      <c r="D39" s="23">
        <f>SUMIFS('Data (parsed)'!$I$2:$I$235,'Data (parsed)'!$B$2:$B$235,$A39,'Data (parsed)'!$C$2:$C$235,$B39,'Data (parsed)'!$H$2:$H$235,$C39)</f>
        <v>1</v>
      </c>
    </row>
    <row r="40" spans="1:4" ht="15" customHeight="1" x14ac:dyDescent="0.35">
      <c r="A40" s="19" t="s">
        <v>940</v>
      </c>
      <c r="B40" s="19" t="s">
        <v>965</v>
      </c>
      <c r="C40" s="26" t="s">
        <v>1094</v>
      </c>
      <c r="D40" s="23">
        <f>SUMIFS('Data (parsed)'!$I$2:$I$235,'Data (parsed)'!$B$2:$B$235,$A40,'Data (parsed)'!$C$2:$C$235,$B40,'Data (parsed)'!$H$2:$H$235,$C40)</f>
        <v>1</v>
      </c>
    </row>
    <row r="41" spans="1:4" ht="15" customHeight="1" x14ac:dyDescent="0.35">
      <c r="A41" s="19" t="s">
        <v>940</v>
      </c>
      <c r="B41" s="19" t="s">
        <v>965</v>
      </c>
      <c r="C41" s="19" t="s">
        <v>1084</v>
      </c>
      <c r="D41" s="23">
        <f>SUMIFS('Data (parsed)'!$I$2:$I$235,'Data (parsed)'!$B$2:$B$235,$A41,'Data (parsed)'!$C$2:$C$235,$B41,'Data (parsed)'!$H$2:$H$235,$C41)</f>
        <v>1</v>
      </c>
    </row>
    <row r="42" spans="1:4" ht="15" customHeight="1" x14ac:dyDescent="0.35">
      <c r="A42" s="19" t="s">
        <v>940</v>
      </c>
      <c r="B42" s="19" t="s">
        <v>956</v>
      </c>
      <c r="C42" s="26" t="s">
        <v>1078</v>
      </c>
      <c r="D42" s="23">
        <f>SUMIFS('Data (parsed)'!$I$2:$I$235,'Data (parsed)'!$B$2:$B$235,$A42,'Data (parsed)'!$C$2:$C$235,$B42,'Data (parsed)'!$H$2:$H$235,$C42)</f>
        <v>6</v>
      </c>
    </row>
    <row r="43" spans="1:4" ht="15" customHeight="1" x14ac:dyDescent="0.35">
      <c r="A43" s="19" t="s">
        <v>940</v>
      </c>
      <c r="B43" s="19" t="s">
        <v>956</v>
      </c>
      <c r="C43" s="26" t="s">
        <v>1077</v>
      </c>
      <c r="D43" s="23">
        <f>SUMIFS('Data (parsed)'!$I$2:$I$235,'Data (parsed)'!$B$2:$B$235,$A43,'Data (parsed)'!$C$2:$C$235,$B43,'Data (parsed)'!$H$2:$H$235,$C43)</f>
        <v>4</v>
      </c>
    </row>
    <row r="44" spans="1:4" ht="15" customHeight="1" x14ac:dyDescent="0.35">
      <c r="A44" s="19" t="s">
        <v>940</v>
      </c>
      <c r="B44" s="19" t="s">
        <v>956</v>
      </c>
      <c r="C44" s="19" t="s">
        <v>1079</v>
      </c>
      <c r="D44" s="23">
        <f>SUMIFS('Data (parsed)'!$I$2:$I$235,'Data (parsed)'!$B$2:$B$235,$A44,'Data (parsed)'!$C$2:$C$235,$B44,'Data (parsed)'!$H$2:$H$235,$C44)</f>
        <v>2</v>
      </c>
    </row>
    <row r="45" spans="1:4" ht="15" customHeight="1" x14ac:dyDescent="0.35">
      <c r="A45" s="19" t="s">
        <v>940</v>
      </c>
      <c r="B45" s="19" t="s">
        <v>956</v>
      </c>
      <c r="C45" s="19" t="s">
        <v>1005</v>
      </c>
      <c r="D45" s="23">
        <f>SUMIFS('Data (parsed)'!$I$2:$I$235,'Data (parsed)'!$B$2:$B$235,$A45,'Data (parsed)'!$C$2:$C$235,$B45,'Data (parsed)'!$H$2:$H$235,$C45)</f>
        <v>2</v>
      </c>
    </row>
    <row r="46" spans="1:4" ht="15" customHeight="1" x14ac:dyDescent="0.35">
      <c r="A46" s="19" t="s">
        <v>940</v>
      </c>
      <c r="B46" s="19" t="s">
        <v>956</v>
      </c>
      <c r="C46" s="19" t="s">
        <v>1095</v>
      </c>
      <c r="D46" s="23">
        <f>SUMIFS('Data (parsed)'!$I$2:$I$235,'Data (parsed)'!$B$2:$B$235,$A46,'Data (parsed)'!$C$2:$C$235,$B46,'Data (parsed)'!$H$2:$H$235,$C46)</f>
        <v>1</v>
      </c>
    </row>
    <row r="47" spans="1:4" ht="15" customHeight="1" x14ac:dyDescent="0.35">
      <c r="A47" s="19" t="s">
        <v>940</v>
      </c>
      <c r="B47" s="19" t="s">
        <v>956</v>
      </c>
      <c r="C47" s="19" t="s">
        <v>1096</v>
      </c>
      <c r="D47" s="23">
        <f>SUMIFS('Data (parsed)'!$I$2:$I$235,'Data (parsed)'!$B$2:$B$235,$A47,'Data (parsed)'!$C$2:$C$235,$B47,'Data (parsed)'!$H$2:$H$235,$C47)</f>
        <v>1</v>
      </c>
    </row>
    <row r="48" spans="1:4" ht="15" customHeight="1" x14ac:dyDescent="0.35">
      <c r="A48" s="19" t="s">
        <v>940</v>
      </c>
      <c r="B48" s="19" t="s">
        <v>956</v>
      </c>
      <c r="C48" s="19" t="s">
        <v>1076</v>
      </c>
      <c r="D48" s="23">
        <f>SUMIFS('Data (parsed)'!$I$2:$I$235,'Data (parsed)'!$B$2:$B$235,$A48,'Data (parsed)'!$C$2:$C$235,$B48,'Data (parsed)'!$H$2:$H$235,$C48)</f>
        <v>1</v>
      </c>
    </row>
    <row r="49" spans="1:4" ht="15" customHeight="1" x14ac:dyDescent="0.35">
      <c r="A49" s="19" t="s">
        <v>940</v>
      </c>
      <c r="B49" s="19" t="s">
        <v>956</v>
      </c>
      <c r="C49" s="19" t="s">
        <v>1097</v>
      </c>
      <c r="D49" s="23">
        <f>SUMIFS('Data (parsed)'!$I$2:$I$235,'Data (parsed)'!$B$2:$B$235,$A49,'Data (parsed)'!$C$2:$C$235,$B49,'Data (parsed)'!$H$2:$H$235,$C49)</f>
        <v>1</v>
      </c>
    </row>
    <row r="50" spans="1:4" ht="15" customHeight="1" x14ac:dyDescent="0.35">
      <c r="A50" s="19" t="s">
        <v>940</v>
      </c>
      <c r="B50" s="19" t="s">
        <v>956</v>
      </c>
      <c r="C50" s="19" t="s">
        <v>1098</v>
      </c>
      <c r="D50" s="23">
        <f>SUMIFS('Data (parsed)'!$I$2:$I$235,'Data (parsed)'!$B$2:$B$235,$A50,'Data (parsed)'!$C$2:$C$235,$B50,'Data (parsed)'!$H$2:$H$235,$C50)</f>
        <v>1</v>
      </c>
    </row>
    <row r="51" spans="1:4" ht="15" customHeight="1" x14ac:dyDescent="0.35">
      <c r="A51" s="19" t="s">
        <v>940</v>
      </c>
      <c r="B51" s="19" t="s">
        <v>962</v>
      </c>
      <c r="C51" s="26" t="s">
        <v>1078</v>
      </c>
      <c r="D51" s="23">
        <f>SUMIFS('Data (parsed)'!$I$2:$I$235,'Data (parsed)'!$B$2:$B$235,$A51,'Data (parsed)'!$C$2:$C$235,$B51,'Data (parsed)'!$H$2:$H$235,$C51)</f>
        <v>3</v>
      </c>
    </row>
    <row r="52" spans="1:4" ht="15" customHeight="1" x14ac:dyDescent="0.35">
      <c r="A52" s="19" t="s">
        <v>940</v>
      </c>
      <c r="B52" s="19" t="s">
        <v>962</v>
      </c>
      <c r="C52" s="19" t="s">
        <v>1099</v>
      </c>
      <c r="D52" s="23">
        <f>SUMIFS('Data (parsed)'!$I$2:$I$235,'Data (parsed)'!$B$2:$B$235,$A52,'Data (parsed)'!$C$2:$C$235,$B52,'Data (parsed)'!$H$2:$H$235,$C52)</f>
        <v>1</v>
      </c>
    </row>
    <row r="53" spans="1:4" ht="26.25" customHeight="1" x14ac:dyDescent="0.35">
      <c r="A53" s="19" t="s">
        <v>940</v>
      </c>
      <c r="B53" s="19" t="s">
        <v>961</v>
      </c>
      <c r="C53" s="26" t="s">
        <v>1077</v>
      </c>
      <c r="D53" s="23">
        <f>SUMIFS('Data (parsed)'!$I$2:$I$235,'Data (parsed)'!$B$2:$B$235,$A53,'Data (parsed)'!$C$2:$C$235,$B53,'Data (parsed)'!$H$2:$H$235,$C53)</f>
        <v>2</v>
      </c>
    </row>
    <row r="54" spans="1:4" ht="26.25" customHeight="1" x14ac:dyDescent="0.35">
      <c r="A54" s="19" t="s">
        <v>940</v>
      </c>
      <c r="B54" s="19" t="s">
        <v>961</v>
      </c>
      <c r="C54" s="26" t="s">
        <v>1100</v>
      </c>
      <c r="D54" s="23">
        <f>SUMIFS('Data (parsed)'!$I$2:$I$235,'Data (parsed)'!$B$2:$B$235,$A54,'Data (parsed)'!$C$2:$C$235,$B54,'Data (parsed)'!$H$2:$H$235,$C54)</f>
        <v>1</v>
      </c>
    </row>
    <row r="55" spans="1:4" ht="26.25" customHeight="1" x14ac:dyDescent="0.35">
      <c r="A55" s="19" t="s">
        <v>940</v>
      </c>
      <c r="B55" s="19" t="s">
        <v>961</v>
      </c>
      <c r="C55" s="26" t="s">
        <v>1078</v>
      </c>
      <c r="D55" s="23">
        <f>SUMIFS('Data (parsed)'!$I$2:$I$235,'Data (parsed)'!$B$2:$B$235,$A55,'Data (parsed)'!$C$2:$C$235,$B55,'Data (parsed)'!$H$2:$H$235,$C55)</f>
        <v>1</v>
      </c>
    </row>
    <row r="56" spans="1:4" ht="15" customHeight="1" x14ac:dyDescent="0.35">
      <c r="A56" s="24" t="s">
        <v>941</v>
      </c>
      <c r="B56" s="24" t="s">
        <v>970</v>
      </c>
      <c r="C56" s="27" t="s">
        <v>1101</v>
      </c>
      <c r="D56" s="25">
        <f>SUMIFS('Data (parsed)'!$I$2:$I$235,'Data (parsed)'!$B$2:$B$235,$A56,'Data (parsed)'!$C$2:$C$235,$B56,'Data (parsed)'!$H$2:$H$235,$C56)</f>
        <v>0</v>
      </c>
    </row>
    <row r="57" spans="1:4" ht="15" customHeight="1" x14ac:dyDescent="0.35">
      <c r="A57" s="24" t="s">
        <v>941</v>
      </c>
      <c r="B57" s="24" t="s">
        <v>970</v>
      </c>
      <c r="C57" s="24" t="s">
        <v>1079</v>
      </c>
      <c r="D57" s="25">
        <f>SUMIFS('Data (parsed)'!$I$2:$I$235,'Data (parsed)'!$B$2:$B$235,$A57,'Data (parsed)'!$C$2:$C$235,$B57,'Data (parsed)'!$H$2:$H$235,$C57)</f>
        <v>3</v>
      </c>
    </row>
    <row r="58" spans="1:4" ht="15" customHeight="1" x14ac:dyDescent="0.35">
      <c r="A58" s="24" t="s">
        <v>941</v>
      </c>
      <c r="B58" s="24" t="s">
        <v>970</v>
      </c>
      <c r="C58" s="27" t="s">
        <v>1078</v>
      </c>
      <c r="D58" s="25">
        <f>SUMIFS('Data (parsed)'!$I$2:$I$235,'Data (parsed)'!$B$2:$B$235,$A58,'Data (parsed)'!$C$2:$C$235,$B58,'Data (parsed)'!$H$2:$H$235,$C58)</f>
        <v>2</v>
      </c>
    </row>
    <row r="59" spans="1:4" ht="15" customHeight="1" x14ac:dyDescent="0.35">
      <c r="A59" s="24" t="s">
        <v>941</v>
      </c>
      <c r="B59" s="24" t="s">
        <v>970</v>
      </c>
      <c r="C59" s="24" t="s">
        <v>1102</v>
      </c>
      <c r="D59" s="25">
        <f>SUMIFS('Data (parsed)'!$I$2:$I$235,'Data (parsed)'!$B$2:$B$235,$A59,'Data (parsed)'!$C$2:$C$235,$B59,'Data (parsed)'!$H$2:$H$235,$C59)</f>
        <v>1</v>
      </c>
    </row>
    <row r="60" spans="1:4" ht="15" customHeight="1" x14ac:dyDescent="0.35">
      <c r="A60" s="24" t="s">
        <v>941</v>
      </c>
      <c r="B60" s="24" t="s">
        <v>970</v>
      </c>
      <c r="C60" s="27" t="s">
        <v>1103</v>
      </c>
      <c r="D60" s="25">
        <f>SUMIFS('Data (parsed)'!$I$2:$I$235,'Data (parsed)'!$B$2:$B$235,$A60,'Data (parsed)'!$C$2:$C$235,$B60,'Data (parsed)'!$H$2:$H$235,$C60)</f>
        <v>0</v>
      </c>
    </row>
    <row r="61" spans="1:4" ht="15" customHeight="1" x14ac:dyDescent="0.35">
      <c r="A61" s="24" t="s">
        <v>941</v>
      </c>
      <c r="B61" s="24" t="s">
        <v>970</v>
      </c>
      <c r="C61" s="24" t="s">
        <v>1104</v>
      </c>
      <c r="D61" s="25">
        <f>SUMIFS('Data (parsed)'!$I$2:$I$235,'Data (parsed)'!$B$2:$B$235,$A61,'Data (parsed)'!$C$2:$C$235,$B61,'Data (parsed)'!$H$2:$H$235,$C61)</f>
        <v>1</v>
      </c>
    </row>
    <row r="62" spans="1:4" ht="15" customHeight="1" x14ac:dyDescent="0.35">
      <c r="A62" s="24" t="s">
        <v>941</v>
      </c>
      <c r="B62" s="24" t="s">
        <v>970</v>
      </c>
      <c r="C62" s="27" t="s">
        <v>1080</v>
      </c>
      <c r="D62" s="25">
        <f>SUMIFS('Data (parsed)'!$I$2:$I$235,'Data (parsed)'!$B$2:$B$235,$A62,'Data (parsed)'!$C$2:$C$235,$B62,'Data (parsed)'!$H$2:$H$235,$C62)</f>
        <v>1</v>
      </c>
    </row>
    <row r="63" spans="1:4" ht="15" customHeight="1" x14ac:dyDescent="0.35">
      <c r="A63" s="24" t="s">
        <v>941</v>
      </c>
      <c r="B63" s="24" t="s">
        <v>970</v>
      </c>
      <c r="C63" s="24" t="s">
        <v>1005</v>
      </c>
      <c r="D63" s="25">
        <f>SUMIFS('Data (parsed)'!$I$2:$I$235,'Data (parsed)'!$B$2:$B$235,$A63,'Data (parsed)'!$C$2:$C$235,$B63,'Data (parsed)'!$H$2:$H$235,$C63)</f>
        <v>1</v>
      </c>
    </row>
    <row r="64" spans="1:4" ht="15" customHeight="1" x14ac:dyDescent="0.35">
      <c r="A64" s="24" t="s">
        <v>941</v>
      </c>
      <c r="B64" s="24" t="s">
        <v>970</v>
      </c>
      <c r="C64" s="27" t="s">
        <v>1090</v>
      </c>
      <c r="D64" s="25">
        <f>SUMIFS('Data (parsed)'!$I$2:$I$235,'Data (parsed)'!$B$2:$B$235,$A64,'Data (parsed)'!$C$2:$C$235,$B64,'Data (parsed)'!$H$2:$H$235,$C64)</f>
        <v>0</v>
      </c>
    </row>
    <row r="65" spans="1:4" ht="15" customHeight="1" x14ac:dyDescent="0.35">
      <c r="A65" s="24" t="s">
        <v>941</v>
      </c>
      <c r="B65" s="24" t="s">
        <v>970</v>
      </c>
      <c r="C65" s="24" t="s">
        <v>1105</v>
      </c>
      <c r="D65" s="25">
        <f>SUMIFS('Data (parsed)'!$I$2:$I$235,'Data (parsed)'!$B$2:$B$235,$A65,'Data (parsed)'!$C$2:$C$235,$B65,'Data (parsed)'!$H$2:$H$235,$C65)</f>
        <v>1</v>
      </c>
    </row>
    <row r="66" spans="1:4" ht="15" customHeight="1" x14ac:dyDescent="0.35">
      <c r="A66" s="24" t="s">
        <v>941</v>
      </c>
      <c r="B66" s="24" t="s">
        <v>970</v>
      </c>
      <c r="C66" s="27" t="s">
        <v>1077</v>
      </c>
      <c r="D66" s="25">
        <f>SUMIFS('Data (parsed)'!$I$2:$I$235,'Data (parsed)'!$B$2:$B$235,$A66,'Data (parsed)'!$C$2:$C$235,$B66,'Data (parsed)'!$H$2:$H$235,$C66)</f>
        <v>1</v>
      </c>
    </row>
    <row r="67" spans="1:4" ht="15" customHeight="1" x14ac:dyDescent="0.35">
      <c r="A67" s="24" t="s">
        <v>941</v>
      </c>
      <c r="B67" s="24" t="s">
        <v>973</v>
      </c>
      <c r="C67" s="24" t="s">
        <v>1005</v>
      </c>
      <c r="D67" s="25">
        <f>SUMIFS('Data (parsed)'!$I$2:$I$235,'Data (parsed)'!$B$2:$B$235,$A67,'Data (parsed)'!$C$2:$C$235,$B67,'Data (parsed)'!$H$2:$H$235,$C67)</f>
        <v>1</v>
      </c>
    </row>
    <row r="68" spans="1:4" ht="15" customHeight="1" x14ac:dyDescent="0.35">
      <c r="A68" s="24" t="s">
        <v>941</v>
      </c>
      <c r="B68" s="24" t="s">
        <v>973</v>
      </c>
      <c r="C68" s="27" t="s">
        <v>1077</v>
      </c>
      <c r="D68" s="25">
        <f>SUMIFS('Data (parsed)'!$I$2:$I$235,'Data (parsed)'!$B$2:$B$235,$A68,'Data (parsed)'!$C$2:$C$235,$B68,'Data (parsed)'!$H$2:$H$235,$C68)</f>
        <v>1</v>
      </c>
    </row>
    <row r="69" spans="1:4" ht="15" customHeight="1" x14ac:dyDescent="0.35">
      <c r="A69" s="24" t="s">
        <v>941</v>
      </c>
      <c r="B69" s="24" t="s">
        <v>973</v>
      </c>
      <c r="C69" s="27" t="s">
        <v>1106</v>
      </c>
      <c r="D69" s="25">
        <f>SUMIFS('Data (parsed)'!$I$2:$I$235,'Data (parsed)'!$B$2:$B$235,$A69,'Data (parsed)'!$C$2:$C$235,$B69,'Data (parsed)'!$H$2:$H$235,$C69)</f>
        <v>0</v>
      </c>
    </row>
    <row r="70" spans="1:4" ht="15" customHeight="1" x14ac:dyDescent="0.35">
      <c r="A70" s="24" t="s">
        <v>941</v>
      </c>
      <c r="B70" s="24" t="s">
        <v>972</v>
      </c>
      <c r="C70" s="24" t="s">
        <v>1005</v>
      </c>
      <c r="D70" s="25">
        <f>SUMIFS('Data (parsed)'!$I$2:$I$235,'Data (parsed)'!$B$2:$B$235,$A70,'Data (parsed)'!$C$2:$C$235,$B70,'Data (parsed)'!$H$2:$H$235,$C70)</f>
        <v>2</v>
      </c>
    </row>
    <row r="71" spans="1:4" ht="15" customHeight="1" x14ac:dyDescent="0.35">
      <c r="A71" s="24" t="s">
        <v>941</v>
      </c>
      <c r="B71" s="24" t="s">
        <v>972</v>
      </c>
      <c r="C71" s="24" t="s">
        <v>1107</v>
      </c>
      <c r="D71" s="25">
        <f>SUMIFS('Data (parsed)'!$I$2:$I$235,'Data (parsed)'!$B$2:$B$235,$A71,'Data (parsed)'!$C$2:$C$235,$B71,'Data (parsed)'!$H$2:$H$235,$C71)</f>
        <v>1</v>
      </c>
    </row>
    <row r="72" spans="1:4" ht="15" customHeight="1" x14ac:dyDescent="0.35">
      <c r="A72" s="24" t="s">
        <v>941</v>
      </c>
      <c r="B72" s="24" t="s">
        <v>971</v>
      </c>
      <c r="C72" s="27" t="s">
        <v>1108</v>
      </c>
      <c r="D72" s="25">
        <f>SUMIFS('Data (parsed)'!$I$2:$I$235,'Data (parsed)'!$B$2:$B$235,$A72,'Data (parsed)'!$C$2:$C$235,$B72,'Data (parsed)'!$H$2:$H$235,$C72)</f>
        <v>1</v>
      </c>
    </row>
    <row r="73" spans="1:4" ht="15" customHeight="1" x14ac:dyDescent="0.35">
      <c r="A73" s="24" t="s">
        <v>941</v>
      </c>
      <c r="B73" s="24" t="s">
        <v>971</v>
      </c>
      <c r="C73" s="27" t="s">
        <v>1109</v>
      </c>
      <c r="D73" s="25">
        <f>SUMIFS('Data (parsed)'!$I$2:$I$235,'Data (parsed)'!$B$2:$B$235,$A73,'Data (parsed)'!$C$2:$C$235,$B73,'Data (parsed)'!$H$2:$H$235,$C73)</f>
        <v>1</v>
      </c>
    </row>
    <row r="74" spans="1:4" ht="15" customHeight="1" x14ac:dyDescent="0.35">
      <c r="A74" s="24" t="s">
        <v>941</v>
      </c>
      <c r="B74" s="24" t="s">
        <v>971</v>
      </c>
      <c r="C74" s="27" t="s">
        <v>1110</v>
      </c>
      <c r="D74" s="25">
        <f>SUMIFS('Data (parsed)'!$I$2:$I$235,'Data (parsed)'!$B$2:$B$235,$A74,'Data (parsed)'!$C$2:$C$235,$B74,'Data (parsed)'!$H$2:$H$235,$C74)</f>
        <v>1</v>
      </c>
    </row>
    <row r="75" spans="1:4" ht="15" customHeight="1" x14ac:dyDescent="0.35">
      <c r="A75" s="24" t="s">
        <v>941</v>
      </c>
      <c r="B75" s="24" t="s">
        <v>971</v>
      </c>
      <c r="C75" s="27" t="s">
        <v>1101</v>
      </c>
      <c r="D75" s="25">
        <f>SUMIFS('Data (parsed)'!$I$2:$I$235,'Data (parsed)'!$B$2:$B$235,$A75,'Data (parsed)'!$C$2:$C$235,$B75,'Data (parsed)'!$H$2:$H$235,$C75)</f>
        <v>0</v>
      </c>
    </row>
    <row r="76" spans="1:4" ht="15" customHeight="1" x14ac:dyDescent="0.35">
      <c r="A76" s="24" t="s">
        <v>941</v>
      </c>
      <c r="B76" s="24" t="s">
        <v>971</v>
      </c>
      <c r="C76" s="24" t="s">
        <v>1111</v>
      </c>
      <c r="D76" s="25">
        <f>SUMIFS('Data (parsed)'!$I$2:$I$235,'Data (parsed)'!$B$2:$B$235,$A76,'Data (parsed)'!$C$2:$C$235,$B76,'Data (parsed)'!$H$2:$H$235,$C76)</f>
        <v>1</v>
      </c>
    </row>
    <row r="77" spans="1:4" ht="15" customHeight="1" x14ac:dyDescent="0.35">
      <c r="A77" s="24" t="s">
        <v>941</v>
      </c>
      <c r="B77" s="24" t="s">
        <v>974</v>
      </c>
      <c r="C77" s="24" t="s">
        <v>1102</v>
      </c>
      <c r="D77" s="25">
        <f>SUMIFS('Data (parsed)'!$I$2:$I$235,'Data (parsed)'!$B$2:$B$235,$A77,'Data (parsed)'!$C$2:$C$235,$B77,'Data (parsed)'!$H$2:$H$235,$C77)</f>
        <v>1</v>
      </c>
    </row>
    <row r="78" spans="1:4" ht="15" customHeight="1" x14ac:dyDescent="0.35">
      <c r="A78" s="24" t="s">
        <v>941</v>
      </c>
      <c r="B78" s="24" t="s">
        <v>974</v>
      </c>
      <c r="C78" s="27" t="s">
        <v>1100</v>
      </c>
      <c r="D78" s="25">
        <f>SUMIFS('Data (parsed)'!$I$2:$I$235,'Data (parsed)'!$B$2:$B$235,$A78,'Data (parsed)'!$C$2:$C$235,$B78,'Data (parsed)'!$H$2:$H$235,$C78)</f>
        <v>1</v>
      </c>
    </row>
    <row r="79" spans="1:4" ht="15" customHeight="1" x14ac:dyDescent="0.35">
      <c r="A79" s="24" t="s">
        <v>941</v>
      </c>
      <c r="B79" s="24" t="s">
        <v>975</v>
      </c>
      <c r="C79" s="27" t="s">
        <v>1112</v>
      </c>
      <c r="D79" s="25">
        <f>SUMIFS('Data (parsed)'!$I$2:$I$235,'Data (parsed)'!$B$2:$B$235,$A79,'Data (parsed)'!$C$2:$C$235,$B79,'Data (parsed)'!$H$2:$H$235,$C79)</f>
        <v>0</v>
      </c>
    </row>
    <row r="80" spans="1:4" ht="15" customHeight="1" x14ac:dyDescent="0.35">
      <c r="A80" s="19" t="s">
        <v>942</v>
      </c>
      <c r="B80" s="19" t="s">
        <v>980</v>
      </c>
      <c r="C80" s="26" t="s">
        <v>1078</v>
      </c>
      <c r="D80" s="23">
        <f>SUMIFS('Data (parsed)'!$I$2:$I$235,'Data (parsed)'!$B$2:$B$235,$A80,'Data (parsed)'!$C$2:$C$235,$B80,'Data (parsed)'!$H$2:$H$235,$C80)</f>
        <v>2</v>
      </c>
    </row>
    <row r="81" spans="1:4" ht="15" customHeight="1" x14ac:dyDescent="0.35">
      <c r="A81" s="19" t="s">
        <v>942</v>
      </c>
      <c r="B81" s="19" t="s">
        <v>980</v>
      </c>
      <c r="C81" s="26" t="s">
        <v>1077</v>
      </c>
      <c r="D81" s="23">
        <f>SUMIFS('Data (parsed)'!$I$2:$I$235,'Data (parsed)'!$B$2:$B$235,$A81,'Data (parsed)'!$C$2:$C$235,$B81,'Data (parsed)'!$H$2:$H$235,$C81)</f>
        <v>2</v>
      </c>
    </row>
    <row r="82" spans="1:4" ht="15" customHeight="1" x14ac:dyDescent="0.35">
      <c r="A82" s="19" t="s">
        <v>942</v>
      </c>
      <c r="B82" s="19" t="s">
        <v>980</v>
      </c>
      <c r="C82" s="19" t="s">
        <v>1107</v>
      </c>
      <c r="D82" s="23">
        <f>SUMIFS('Data (parsed)'!$I$2:$I$235,'Data (parsed)'!$B$2:$B$235,$A82,'Data (parsed)'!$C$2:$C$235,$B82,'Data (parsed)'!$H$2:$H$235,$C82)</f>
        <v>1</v>
      </c>
    </row>
    <row r="83" spans="1:4" ht="15" customHeight="1" x14ac:dyDescent="0.35">
      <c r="A83" s="19" t="s">
        <v>942</v>
      </c>
      <c r="B83" s="19" t="s">
        <v>980</v>
      </c>
      <c r="C83" s="26" t="s">
        <v>1113</v>
      </c>
      <c r="D83" s="23">
        <f>SUMIFS('Data (parsed)'!$I$2:$I$235,'Data (parsed)'!$B$2:$B$235,$A83,'Data (parsed)'!$C$2:$C$235,$B83,'Data (parsed)'!$H$2:$H$235,$C83)</f>
        <v>1</v>
      </c>
    </row>
    <row r="84" spans="1:4" ht="15" customHeight="1" x14ac:dyDescent="0.35">
      <c r="A84" s="19" t="s">
        <v>942</v>
      </c>
      <c r="B84" s="19" t="s">
        <v>980</v>
      </c>
      <c r="C84" s="19" t="s">
        <v>1114</v>
      </c>
      <c r="D84" s="23">
        <f>SUMIFS('Data (parsed)'!$I$2:$I$235,'Data (parsed)'!$B$2:$B$235,$A84,'Data (parsed)'!$C$2:$C$235,$B84,'Data (parsed)'!$H$2:$H$235,$C84)</f>
        <v>1</v>
      </c>
    </row>
    <row r="85" spans="1:4" ht="15" customHeight="1" x14ac:dyDescent="0.35">
      <c r="A85" s="19" t="s">
        <v>942</v>
      </c>
      <c r="B85" s="19" t="s">
        <v>980</v>
      </c>
      <c r="C85" s="19" t="s">
        <v>1005</v>
      </c>
      <c r="D85" s="23">
        <f>SUMIFS('Data (parsed)'!$I$2:$I$235,'Data (parsed)'!$B$2:$B$235,$A85,'Data (parsed)'!$C$2:$C$235,$B85,'Data (parsed)'!$H$2:$H$235,$C85)</f>
        <v>1</v>
      </c>
    </row>
    <row r="86" spans="1:4" ht="15" customHeight="1" x14ac:dyDescent="0.35">
      <c r="A86" s="19" t="s">
        <v>942</v>
      </c>
      <c r="B86" s="19" t="s">
        <v>983</v>
      </c>
      <c r="C86" s="26" t="s">
        <v>1113</v>
      </c>
      <c r="D86" s="23">
        <f>SUMIFS('Data (parsed)'!$I$2:$I$235,'Data (parsed)'!$B$2:$B$235,$A86,'Data (parsed)'!$C$2:$C$235,$B86,'Data (parsed)'!$H$2:$H$235,$C86)</f>
        <v>1</v>
      </c>
    </row>
    <row r="87" spans="1:4" ht="15" customHeight="1" x14ac:dyDescent="0.35">
      <c r="A87" s="19" t="s">
        <v>942</v>
      </c>
      <c r="B87" s="19" t="s">
        <v>983</v>
      </c>
      <c r="C87" s="26" t="s">
        <v>1078</v>
      </c>
      <c r="D87" s="23">
        <f>SUMIFS('Data (parsed)'!$I$2:$I$235,'Data (parsed)'!$B$2:$B$235,$A87,'Data (parsed)'!$C$2:$C$235,$B87,'Data (parsed)'!$H$2:$H$235,$C87)</f>
        <v>1</v>
      </c>
    </row>
    <row r="88" spans="1:4" ht="15" customHeight="1" x14ac:dyDescent="0.35">
      <c r="A88" s="19" t="s">
        <v>942</v>
      </c>
      <c r="B88" s="19" t="s">
        <v>983</v>
      </c>
      <c r="C88" s="26" t="s">
        <v>1077</v>
      </c>
      <c r="D88" s="23">
        <f>SUMIFS('Data (parsed)'!$I$2:$I$235,'Data (parsed)'!$B$2:$B$235,$A88,'Data (parsed)'!$C$2:$C$235,$B88,'Data (parsed)'!$H$2:$H$235,$C88)</f>
        <v>1</v>
      </c>
    </row>
    <row r="89" spans="1:4" ht="15" customHeight="1" x14ac:dyDescent="0.35">
      <c r="A89" s="19" t="s">
        <v>942</v>
      </c>
      <c r="B89" s="19" t="s">
        <v>984</v>
      </c>
      <c r="C89" s="19" t="s">
        <v>1107</v>
      </c>
      <c r="D89" s="23">
        <f>SUMIFS('Data (parsed)'!$I$2:$I$235,'Data (parsed)'!$B$2:$B$235,$A89,'Data (parsed)'!$C$2:$C$235,$B89,'Data (parsed)'!$H$2:$H$235,$C89)</f>
        <v>1</v>
      </c>
    </row>
    <row r="90" spans="1:4" ht="15" customHeight="1" x14ac:dyDescent="0.35">
      <c r="A90" s="19" t="s">
        <v>942</v>
      </c>
      <c r="B90" s="19" t="s">
        <v>984</v>
      </c>
      <c r="C90" s="26" t="s">
        <v>1077</v>
      </c>
      <c r="D90" s="23">
        <f>SUMIFS('Data (parsed)'!$I$2:$I$235,'Data (parsed)'!$B$2:$B$235,$A90,'Data (parsed)'!$C$2:$C$235,$B90,'Data (parsed)'!$H$2:$H$235,$C90)</f>
        <v>1</v>
      </c>
    </row>
    <row r="91" spans="1:4" ht="26.25" customHeight="1" x14ac:dyDescent="0.35">
      <c r="A91" s="19" t="s">
        <v>942</v>
      </c>
      <c r="B91" s="19" t="s">
        <v>979</v>
      </c>
      <c r="C91" s="26" t="s">
        <v>1113</v>
      </c>
      <c r="D91" s="23">
        <f>SUMIFS('Data (parsed)'!$I$2:$I$235,'Data (parsed)'!$B$2:$B$235,$A91,'Data (parsed)'!$C$2:$C$235,$B91,'Data (parsed)'!$H$2:$H$235,$C91)</f>
        <v>4</v>
      </c>
    </row>
    <row r="92" spans="1:4" ht="26.25" customHeight="1" x14ac:dyDescent="0.35">
      <c r="A92" s="19" t="s">
        <v>942</v>
      </c>
      <c r="B92" s="19" t="s">
        <v>979</v>
      </c>
      <c r="C92" s="26" t="s">
        <v>1077</v>
      </c>
      <c r="D92" s="23">
        <f>SUMIFS('Data (parsed)'!$I$2:$I$235,'Data (parsed)'!$B$2:$B$235,$A92,'Data (parsed)'!$C$2:$C$235,$B92,'Data (parsed)'!$H$2:$H$235,$C92)</f>
        <v>3</v>
      </c>
    </row>
    <row r="93" spans="1:4" ht="26.25" customHeight="1" x14ac:dyDescent="0.35">
      <c r="A93" s="19" t="s">
        <v>942</v>
      </c>
      <c r="B93" s="19" t="s">
        <v>979</v>
      </c>
      <c r="C93" s="19" t="s">
        <v>1102</v>
      </c>
      <c r="D93" s="23">
        <f>SUMIFS('Data (parsed)'!$I$2:$I$235,'Data (parsed)'!$B$2:$B$235,$A93,'Data (parsed)'!$C$2:$C$235,$B93,'Data (parsed)'!$H$2:$H$235,$C93)</f>
        <v>1</v>
      </c>
    </row>
    <row r="94" spans="1:4" ht="26.25" customHeight="1" x14ac:dyDescent="0.35">
      <c r="A94" s="19" t="s">
        <v>942</v>
      </c>
      <c r="B94" s="19" t="s">
        <v>979</v>
      </c>
      <c r="C94" s="26" t="s">
        <v>1115</v>
      </c>
      <c r="D94" s="23">
        <f>SUMIFS('Data (parsed)'!$I$2:$I$235,'Data (parsed)'!$B$2:$B$235,$A94,'Data (parsed)'!$C$2:$C$235,$B94,'Data (parsed)'!$H$2:$H$235,$C94)</f>
        <v>1</v>
      </c>
    </row>
    <row r="95" spans="1:4" ht="15" customHeight="1" x14ac:dyDescent="0.35">
      <c r="A95" s="19" t="s">
        <v>942</v>
      </c>
      <c r="B95" s="19" t="s">
        <v>988</v>
      </c>
      <c r="C95" s="19" t="s">
        <v>1005</v>
      </c>
      <c r="D95" s="23">
        <f>SUMIFS('Data (parsed)'!$I$2:$I$235,'Data (parsed)'!$B$2:$B$235,$A95,'Data (parsed)'!$C$2:$C$235,$B95,'Data (parsed)'!$H$2:$H$235,$C95)</f>
        <v>1</v>
      </c>
    </row>
    <row r="96" spans="1:4" ht="15" customHeight="1" x14ac:dyDescent="0.35">
      <c r="A96" s="19" t="s">
        <v>942</v>
      </c>
      <c r="B96" s="19" t="s">
        <v>987</v>
      </c>
      <c r="C96" s="19" t="s">
        <v>1102</v>
      </c>
      <c r="D96" s="23">
        <f>SUMIFS('Data (parsed)'!$I$2:$I$235,'Data (parsed)'!$B$2:$B$235,$A96,'Data (parsed)'!$C$2:$C$235,$B96,'Data (parsed)'!$H$2:$H$235,$C96)</f>
        <v>1</v>
      </c>
    </row>
    <row r="97" spans="1:4" ht="15" customHeight="1" x14ac:dyDescent="0.35">
      <c r="A97" s="19" t="s">
        <v>942</v>
      </c>
      <c r="B97" s="19" t="s">
        <v>985</v>
      </c>
      <c r="C97" s="26" t="s">
        <v>1113</v>
      </c>
      <c r="D97" s="23">
        <f>SUMIFS('Data (parsed)'!$I$2:$I$235,'Data (parsed)'!$B$2:$B$235,$A97,'Data (parsed)'!$C$2:$C$235,$B97,'Data (parsed)'!$H$2:$H$235,$C97)</f>
        <v>1</v>
      </c>
    </row>
    <row r="98" spans="1:4" ht="15" customHeight="1" x14ac:dyDescent="0.35">
      <c r="A98" s="19" t="s">
        <v>942</v>
      </c>
      <c r="B98" s="19" t="s">
        <v>677</v>
      </c>
      <c r="C98" s="19" t="s">
        <v>1107</v>
      </c>
      <c r="D98" s="23">
        <f>SUMIFS('Data (parsed)'!$I$2:$I$235,'Data (parsed)'!$B$2:$B$235,$A98,'Data (parsed)'!$C$2:$C$235,$B98,'Data (parsed)'!$H$2:$H$235,$C98)</f>
        <v>1</v>
      </c>
    </row>
    <row r="99" spans="1:4" ht="15" customHeight="1" x14ac:dyDescent="0.35">
      <c r="A99" s="19" t="s">
        <v>942</v>
      </c>
      <c r="B99" s="19" t="s">
        <v>677</v>
      </c>
      <c r="C99" s="19" t="s">
        <v>1102</v>
      </c>
      <c r="D99" s="23">
        <f>SUMIFS('Data (parsed)'!$I$2:$I$235,'Data (parsed)'!$B$2:$B$235,$A99,'Data (parsed)'!$C$2:$C$235,$B99,'Data (parsed)'!$H$2:$H$235,$C99)</f>
        <v>1</v>
      </c>
    </row>
    <row r="100" spans="1:4" ht="15" customHeight="1" x14ac:dyDescent="0.35">
      <c r="A100" s="19" t="s">
        <v>942</v>
      </c>
      <c r="B100" s="19" t="s">
        <v>986</v>
      </c>
      <c r="C100" s="26" t="s">
        <v>1077</v>
      </c>
      <c r="D100" s="23">
        <f>SUMIFS('Data (parsed)'!$I$2:$I$235,'Data (parsed)'!$B$2:$B$235,$A100,'Data (parsed)'!$C$2:$C$235,$B100,'Data (parsed)'!$H$2:$H$235,$C100)</f>
        <v>1</v>
      </c>
    </row>
    <row r="101" spans="1:4" ht="15" customHeight="1" x14ac:dyDescent="0.35">
      <c r="A101" s="19" t="s">
        <v>942</v>
      </c>
      <c r="B101" s="19" t="s">
        <v>981</v>
      </c>
      <c r="C101" s="19" t="s">
        <v>1102</v>
      </c>
      <c r="D101" s="23">
        <f>SUMIFS('Data (parsed)'!$I$2:$I$235,'Data (parsed)'!$B$2:$B$235,$A101,'Data (parsed)'!$C$2:$C$235,$B101,'Data (parsed)'!$H$2:$H$235,$C101)</f>
        <v>3</v>
      </c>
    </row>
    <row r="102" spans="1:4" ht="15" customHeight="1" x14ac:dyDescent="0.35">
      <c r="A102" s="19" t="s">
        <v>942</v>
      </c>
      <c r="B102" s="19" t="s">
        <v>981</v>
      </c>
      <c r="C102" s="26" t="s">
        <v>1113</v>
      </c>
      <c r="D102" s="23">
        <f>SUMIFS('Data (parsed)'!$I$2:$I$235,'Data (parsed)'!$B$2:$B$235,$A102,'Data (parsed)'!$C$2:$C$235,$B102,'Data (parsed)'!$H$2:$H$235,$C102)</f>
        <v>1</v>
      </c>
    </row>
    <row r="103" spans="1:4" ht="15" customHeight="1" x14ac:dyDescent="0.35">
      <c r="A103" s="19" t="s">
        <v>942</v>
      </c>
      <c r="B103" s="19" t="s">
        <v>981</v>
      </c>
      <c r="C103" s="19" t="s">
        <v>1005</v>
      </c>
      <c r="D103" s="23">
        <f>SUMIFS('Data (parsed)'!$I$2:$I$235,'Data (parsed)'!$B$2:$B$235,$A103,'Data (parsed)'!$C$2:$C$235,$B103,'Data (parsed)'!$H$2:$H$235,$C103)</f>
        <v>1</v>
      </c>
    </row>
    <row r="104" spans="1:4" ht="15" customHeight="1" x14ac:dyDescent="0.35">
      <c r="A104" s="19" t="s">
        <v>942</v>
      </c>
      <c r="B104" s="19" t="s">
        <v>981</v>
      </c>
      <c r="C104" s="26" t="s">
        <v>1078</v>
      </c>
      <c r="D104" s="23">
        <f>SUMIFS('Data (parsed)'!$I$2:$I$235,'Data (parsed)'!$B$2:$B$235,$A104,'Data (parsed)'!$C$2:$C$235,$B104,'Data (parsed)'!$H$2:$H$235,$C104)</f>
        <v>1</v>
      </c>
    </row>
    <row r="105" spans="1:4" ht="15" customHeight="1" x14ac:dyDescent="0.35">
      <c r="A105" s="19" t="s">
        <v>942</v>
      </c>
      <c r="B105" s="19" t="s">
        <v>981</v>
      </c>
      <c r="C105" s="26" t="s">
        <v>1077</v>
      </c>
      <c r="D105" s="23">
        <f>SUMIFS('Data (parsed)'!$I$2:$I$235,'Data (parsed)'!$B$2:$B$235,$A105,'Data (parsed)'!$C$2:$C$235,$B105,'Data (parsed)'!$H$2:$H$235,$C105)</f>
        <v>1</v>
      </c>
    </row>
    <row r="106" spans="1:4" ht="15" customHeight="1" x14ac:dyDescent="0.35">
      <c r="A106" s="19" t="s">
        <v>942</v>
      </c>
      <c r="B106" s="19" t="s">
        <v>982</v>
      </c>
      <c r="C106" s="26" t="s">
        <v>1077</v>
      </c>
      <c r="D106" s="23">
        <f>SUMIFS('Data (parsed)'!$I$2:$I$235,'Data (parsed)'!$B$2:$B$235,$A106,'Data (parsed)'!$C$2:$C$235,$B106,'Data (parsed)'!$H$2:$H$235,$C106)</f>
        <v>2</v>
      </c>
    </row>
    <row r="107" spans="1:4" ht="15" customHeight="1" x14ac:dyDescent="0.35">
      <c r="A107" s="19" t="s">
        <v>942</v>
      </c>
      <c r="B107" s="19" t="s">
        <v>982</v>
      </c>
      <c r="C107" s="26" t="s">
        <v>1101</v>
      </c>
      <c r="D107" s="23">
        <f>SUMIFS('Data (parsed)'!$I$2:$I$235,'Data (parsed)'!$B$2:$B$235,$A107,'Data (parsed)'!$C$2:$C$235,$B107,'Data (parsed)'!$H$2:$H$235,$C107)</f>
        <v>0</v>
      </c>
    </row>
    <row r="108" spans="1:4" ht="15" customHeight="1" x14ac:dyDescent="0.35">
      <c r="A108" s="19" t="s">
        <v>942</v>
      </c>
      <c r="B108" s="19" t="s">
        <v>982</v>
      </c>
      <c r="C108" s="19" t="s">
        <v>1116</v>
      </c>
      <c r="D108" s="23">
        <f>SUMIFS('Data (parsed)'!$I$2:$I$235,'Data (parsed)'!$B$2:$B$235,$A108,'Data (parsed)'!$C$2:$C$235,$B108,'Data (parsed)'!$H$2:$H$235,$C108)</f>
        <v>1</v>
      </c>
    </row>
    <row r="109" spans="1:4" ht="15" customHeight="1" x14ac:dyDescent="0.35">
      <c r="A109" s="24" t="s">
        <v>943</v>
      </c>
      <c r="B109" s="24" t="s">
        <v>995</v>
      </c>
      <c r="C109" s="24" t="s">
        <v>1117</v>
      </c>
      <c r="D109" s="25">
        <f>SUMIFS('Data (parsed)'!$I$2:$I$235,'Data (parsed)'!$B$2:$B$235,$A109,'Data (parsed)'!$C$2:$C$235,$B109,'Data (parsed)'!$H$2:$H$235,$C109)</f>
        <v>1</v>
      </c>
    </row>
    <row r="110" spans="1:4" ht="15" customHeight="1" x14ac:dyDescent="0.35">
      <c r="A110" s="24" t="s">
        <v>943</v>
      </c>
      <c r="B110" s="24" t="s">
        <v>995</v>
      </c>
      <c r="C110" s="24" t="s">
        <v>1107</v>
      </c>
      <c r="D110" s="25">
        <f>SUMIFS('Data (parsed)'!$I$2:$I$235,'Data (parsed)'!$B$2:$B$235,$A110,'Data (parsed)'!$C$2:$C$235,$B110,'Data (parsed)'!$H$2:$H$235,$C110)</f>
        <v>1</v>
      </c>
    </row>
    <row r="111" spans="1:4" ht="15" customHeight="1" x14ac:dyDescent="0.35">
      <c r="A111" s="24" t="s">
        <v>943</v>
      </c>
      <c r="B111" s="24" t="s">
        <v>995</v>
      </c>
      <c r="C111" s="24" t="s">
        <v>1118</v>
      </c>
      <c r="D111" s="25">
        <f>SUMIFS('Data (parsed)'!$I$2:$I$235,'Data (parsed)'!$B$2:$B$235,$A111,'Data (parsed)'!$C$2:$C$235,$B111,'Data (parsed)'!$H$2:$H$235,$C111)</f>
        <v>1</v>
      </c>
    </row>
    <row r="112" spans="1:4" ht="15" customHeight="1" x14ac:dyDescent="0.35">
      <c r="A112" s="24" t="s">
        <v>943</v>
      </c>
      <c r="B112" s="24" t="s">
        <v>995</v>
      </c>
      <c r="C112" s="27" t="s">
        <v>1119</v>
      </c>
      <c r="D112" s="25">
        <f>SUMIFS('Data (parsed)'!$I$2:$I$235,'Data (parsed)'!$B$2:$B$235,$A112,'Data (parsed)'!$C$2:$C$235,$B112,'Data (parsed)'!$H$2:$H$235,$C112)</f>
        <v>0</v>
      </c>
    </row>
    <row r="113" spans="1:4" ht="15" customHeight="1" x14ac:dyDescent="0.35">
      <c r="A113" s="24" t="s">
        <v>943</v>
      </c>
      <c r="B113" s="24" t="s">
        <v>995</v>
      </c>
      <c r="C113" s="27" t="s">
        <v>1120</v>
      </c>
      <c r="D113" s="25">
        <f>SUMIFS('Data (parsed)'!$I$2:$I$235,'Data (parsed)'!$B$2:$B$235,$A113,'Data (parsed)'!$C$2:$C$235,$B113,'Data (parsed)'!$H$2:$H$235,$C113)</f>
        <v>1</v>
      </c>
    </row>
    <row r="114" spans="1:4" ht="15" customHeight="1" x14ac:dyDescent="0.35">
      <c r="A114" s="24" t="s">
        <v>943</v>
      </c>
      <c r="B114" s="24" t="s">
        <v>994</v>
      </c>
      <c r="C114" s="27" t="s">
        <v>1121</v>
      </c>
      <c r="D114" s="25">
        <f>SUMIFS('Data (parsed)'!$I$2:$I$235,'Data (parsed)'!$B$2:$B$235,$A114,'Data (parsed)'!$C$2:$C$235,$B114,'Data (parsed)'!$H$2:$H$235,$C114)</f>
        <v>1</v>
      </c>
    </row>
    <row r="115" spans="1:4" ht="15" customHeight="1" x14ac:dyDescent="0.35">
      <c r="A115" s="24" t="s">
        <v>943</v>
      </c>
      <c r="B115" s="24" t="s">
        <v>994</v>
      </c>
      <c r="C115" s="27" t="s">
        <v>1122</v>
      </c>
      <c r="D115" s="25">
        <f>SUMIFS('Data (parsed)'!$I$2:$I$235,'Data (parsed)'!$B$2:$B$235,$A115,'Data (parsed)'!$C$2:$C$235,$B115,'Data (parsed)'!$H$2:$H$235,$C115)</f>
        <v>1</v>
      </c>
    </row>
    <row r="116" spans="1:4" ht="15" customHeight="1" x14ac:dyDescent="0.35">
      <c r="A116" s="24" t="s">
        <v>943</v>
      </c>
      <c r="B116" s="24" t="s">
        <v>994</v>
      </c>
      <c r="C116" s="24" t="s">
        <v>1123</v>
      </c>
      <c r="D116" s="25">
        <f>SUMIFS('Data (parsed)'!$I$2:$I$235,'Data (parsed)'!$B$2:$B$235,$A116,'Data (parsed)'!$C$2:$C$235,$B116,'Data (parsed)'!$H$2:$H$235,$C116)</f>
        <v>1</v>
      </c>
    </row>
    <row r="117" spans="1:4" ht="15" customHeight="1" x14ac:dyDescent="0.35">
      <c r="A117" s="24" t="s">
        <v>943</v>
      </c>
      <c r="B117" s="24" t="s">
        <v>994</v>
      </c>
      <c r="C117" s="24" t="s">
        <v>1005</v>
      </c>
      <c r="D117" s="25">
        <f>SUMIFS('Data (parsed)'!$I$2:$I$235,'Data (parsed)'!$B$2:$B$235,$A117,'Data (parsed)'!$C$2:$C$235,$B117,'Data (parsed)'!$H$2:$H$235,$C117)</f>
        <v>1</v>
      </c>
    </row>
    <row r="118" spans="1:4" ht="15" customHeight="1" x14ac:dyDescent="0.35">
      <c r="A118" s="24" t="s">
        <v>943</v>
      </c>
      <c r="B118" s="24" t="s">
        <v>994</v>
      </c>
      <c r="C118" s="27" t="s">
        <v>1124</v>
      </c>
      <c r="D118" s="25">
        <f>SUMIFS('Data (parsed)'!$I$2:$I$235,'Data (parsed)'!$B$2:$B$235,$A118,'Data (parsed)'!$C$2:$C$235,$B118,'Data (parsed)'!$H$2:$H$235,$C118)</f>
        <v>0</v>
      </c>
    </row>
    <row r="119" spans="1:4" ht="15" customHeight="1" x14ac:dyDescent="0.35">
      <c r="A119" s="24" t="s">
        <v>943</v>
      </c>
      <c r="B119" s="24" t="s">
        <v>770</v>
      </c>
      <c r="C119" s="27" t="s">
        <v>1113</v>
      </c>
      <c r="D119" s="25">
        <f>SUMIFS('Data (parsed)'!$I$2:$I$235,'Data (parsed)'!$B$2:$B$235,$A119,'Data (parsed)'!$C$2:$C$235,$B119,'Data (parsed)'!$H$2:$H$235,$C119)</f>
        <v>7</v>
      </c>
    </row>
    <row r="120" spans="1:4" ht="15" customHeight="1" x14ac:dyDescent="0.35">
      <c r="A120" s="24" t="s">
        <v>943</v>
      </c>
      <c r="B120" s="24" t="s">
        <v>770</v>
      </c>
      <c r="C120" s="24" t="s">
        <v>1005</v>
      </c>
      <c r="D120" s="25">
        <f>SUMIFS('Data (parsed)'!$I$2:$I$235,'Data (parsed)'!$B$2:$B$235,$A120,'Data (parsed)'!$C$2:$C$235,$B120,'Data (parsed)'!$H$2:$H$235,$C120)</f>
        <v>4</v>
      </c>
    </row>
    <row r="121" spans="1:4" ht="15" customHeight="1" x14ac:dyDescent="0.35">
      <c r="A121" s="24" t="s">
        <v>943</v>
      </c>
      <c r="B121" s="24" t="s">
        <v>770</v>
      </c>
      <c r="C121" s="24" t="s">
        <v>1102</v>
      </c>
      <c r="D121" s="25">
        <f>SUMIFS('Data (parsed)'!$I$2:$I$235,'Data (parsed)'!$B$2:$B$235,$A121,'Data (parsed)'!$C$2:$C$235,$B121,'Data (parsed)'!$H$2:$H$235,$C121)</f>
        <v>3</v>
      </c>
    </row>
    <row r="122" spans="1:4" ht="15" customHeight="1" x14ac:dyDescent="0.35">
      <c r="A122" s="24" t="s">
        <v>943</v>
      </c>
      <c r="B122" s="24" t="s">
        <v>770</v>
      </c>
      <c r="C122" s="24" t="s">
        <v>1125</v>
      </c>
      <c r="D122" s="25">
        <f>SUMIFS('Data (parsed)'!$I$2:$I$235,'Data (parsed)'!$B$2:$B$235,$A122,'Data (parsed)'!$C$2:$C$235,$B122,'Data (parsed)'!$H$2:$H$235,$C122)</f>
        <v>2</v>
      </c>
    </row>
    <row r="123" spans="1:4" ht="15" customHeight="1" x14ac:dyDescent="0.35">
      <c r="A123" s="24" t="s">
        <v>943</v>
      </c>
      <c r="B123" s="24" t="s">
        <v>770</v>
      </c>
      <c r="C123" s="27" t="s">
        <v>1124</v>
      </c>
      <c r="D123" s="25">
        <f>SUMIFS('Data (parsed)'!$I$2:$I$235,'Data (parsed)'!$B$2:$B$235,$A123,'Data (parsed)'!$C$2:$C$235,$B123,'Data (parsed)'!$H$2:$H$235,$C123)</f>
        <v>0</v>
      </c>
    </row>
    <row r="124" spans="1:4" ht="15" customHeight="1" x14ac:dyDescent="0.35">
      <c r="A124" s="24" t="s">
        <v>943</v>
      </c>
      <c r="B124" s="24" t="s">
        <v>770</v>
      </c>
      <c r="C124" s="27" t="s">
        <v>1121</v>
      </c>
      <c r="D124" s="25">
        <f>SUMIFS('Data (parsed)'!$I$2:$I$235,'Data (parsed)'!$B$2:$B$235,$A124,'Data (parsed)'!$C$2:$C$235,$B124,'Data (parsed)'!$H$2:$H$235,$C124)</f>
        <v>1</v>
      </c>
    </row>
    <row r="125" spans="1:4" ht="15" customHeight="1" x14ac:dyDescent="0.35">
      <c r="A125" s="24" t="s">
        <v>943</v>
      </c>
      <c r="B125" s="24" t="s">
        <v>770</v>
      </c>
      <c r="C125" s="24" t="s">
        <v>1117</v>
      </c>
      <c r="D125" s="25">
        <f>SUMIFS('Data (parsed)'!$I$2:$I$235,'Data (parsed)'!$B$2:$B$235,$A125,'Data (parsed)'!$C$2:$C$235,$B125,'Data (parsed)'!$H$2:$H$235,$C125)</f>
        <v>1</v>
      </c>
    </row>
    <row r="126" spans="1:4" ht="15" customHeight="1" x14ac:dyDescent="0.35">
      <c r="A126" s="24" t="s">
        <v>943</v>
      </c>
      <c r="B126" s="24" t="s">
        <v>770</v>
      </c>
      <c r="C126" s="24" t="s">
        <v>1107</v>
      </c>
      <c r="D126" s="25">
        <f>SUMIFS('Data (parsed)'!$I$2:$I$235,'Data (parsed)'!$B$2:$B$235,$A126,'Data (parsed)'!$C$2:$C$235,$B126,'Data (parsed)'!$H$2:$H$235,$C126)</f>
        <v>1</v>
      </c>
    </row>
    <row r="127" spans="1:4" ht="15" customHeight="1" x14ac:dyDescent="0.35">
      <c r="A127" s="24" t="s">
        <v>943</v>
      </c>
      <c r="B127" s="24" t="s">
        <v>770</v>
      </c>
      <c r="C127" s="24" t="s">
        <v>1126</v>
      </c>
      <c r="D127" s="25">
        <f>SUMIFS('Data (parsed)'!$I$2:$I$235,'Data (parsed)'!$B$2:$B$235,$A127,'Data (parsed)'!$C$2:$C$235,$B127,'Data (parsed)'!$H$2:$H$235,$C127)</f>
        <v>1</v>
      </c>
    </row>
    <row r="128" spans="1:4" ht="15" customHeight="1" x14ac:dyDescent="0.35">
      <c r="A128" s="24" t="s">
        <v>943</v>
      </c>
      <c r="B128" s="24" t="s">
        <v>770</v>
      </c>
      <c r="C128" s="24" t="s">
        <v>1127</v>
      </c>
      <c r="D128" s="25">
        <f>SUMIFS('Data (parsed)'!$I$2:$I$235,'Data (parsed)'!$B$2:$B$235,$A128,'Data (parsed)'!$C$2:$C$235,$B128,'Data (parsed)'!$H$2:$H$235,$C128)</f>
        <v>1</v>
      </c>
    </row>
    <row r="129" spans="1:4" ht="15" customHeight="1" x14ac:dyDescent="0.35">
      <c r="A129" s="24" t="s">
        <v>943</v>
      </c>
      <c r="B129" s="24" t="s">
        <v>770</v>
      </c>
      <c r="C129" s="24" t="s">
        <v>1128</v>
      </c>
      <c r="D129" s="25">
        <f>SUMIFS('Data (parsed)'!$I$2:$I$235,'Data (parsed)'!$B$2:$B$235,$A129,'Data (parsed)'!$C$2:$C$235,$B129,'Data (parsed)'!$H$2:$H$235,$C129)</f>
        <v>0</v>
      </c>
    </row>
    <row r="130" spans="1:4" ht="15" customHeight="1" x14ac:dyDescent="0.35">
      <c r="A130" s="24" t="s">
        <v>943</v>
      </c>
      <c r="B130" s="24" t="s">
        <v>770</v>
      </c>
      <c r="C130" s="27" t="s">
        <v>1129</v>
      </c>
      <c r="D130" s="25">
        <f>SUMIFS('Data (parsed)'!$I$2:$I$235,'Data (parsed)'!$B$2:$B$235,$A130,'Data (parsed)'!$C$2:$C$235,$B130,'Data (parsed)'!$H$2:$H$235,$C130)</f>
        <v>1</v>
      </c>
    </row>
    <row r="131" spans="1:4" ht="15" customHeight="1" x14ac:dyDescent="0.35">
      <c r="A131" s="24" t="s">
        <v>943</v>
      </c>
      <c r="B131" s="24" t="s">
        <v>770</v>
      </c>
      <c r="C131" s="27" t="s">
        <v>1130</v>
      </c>
      <c r="D131" s="25">
        <f>SUMIFS('Data (parsed)'!$I$2:$I$235,'Data (parsed)'!$B$2:$B$235,$A131,'Data (parsed)'!$C$2:$C$235,$B131,'Data (parsed)'!$H$2:$H$235,$C131)</f>
        <v>0</v>
      </c>
    </row>
    <row r="132" spans="1:4" ht="15" customHeight="1" x14ac:dyDescent="0.35">
      <c r="A132" s="24" t="s">
        <v>943</v>
      </c>
      <c r="B132" s="24" t="s">
        <v>770</v>
      </c>
      <c r="C132" s="27" t="s">
        <v>1131</v>
      </c>
      <c r="D132" s="25">
        <f>SUMIFS('Data (parsed)'!$I$2:$I$235,'Data (parsed)'!$B$2:$B$235,$A132,'Data (parsed)'!$C$2:$C$235,$B132,'Data (parsed)'!$H$2:$H$235,$C132)</f>
        <v>1</v>
      </c>
    </row>
    <row r="133" spans="1:4" ht="15" customHeight="1" x14ac:dyDescent="0.35">
      <c r="A133" s="24" t="s">
        <v>943</v>
      </c>
      <c r="B133" s="24" t="s">
        <v>996</v>
      </c>
      <c r="C133" s="27" t="s">
        <v>1132</v>
      </c>
      <c r="D133" s="25">
        <f>SUMIFS('Data (parsed)'!$I$2:$I$235,'Data (parsed)'!$B$2:$B$235,$A133,'Data (parsed)'!$C$2:$C$235,$B133,'Data (parsed)'!$H$2:$H$235,$C133)</f>
        <v>0</v>
      </c>
    </row>
    <row r="134" spans="1:4" ht="15" customHeight="1" x14ac:dyDescent="0.35">
      <c r="A134" s="24" t="s">
        <v>943</v>
      </c>
      <c r="B134" s="24" t="s">
        <v>992</v>
      </c>
      <c r="C134" s="24" t="s">
        <v>1107</v>
      </c>
      <c r="D134" s="25">
        <f>SUMIFS('Data (parsed)'!$I$2:$I$235,'Data (parsed)'!$B$2:$B$235,$A134,'Data (parsed)'!$C$2:$C$235,$B134,'Data (parsed)'!$H$2:$H$235,$C134)</f>
        <v>2</v>
      </c>
    </row>
    <row r="135" spans="1:4" ht="15" customHeight="1" x14ac:dyDescent="0.35">
      <c r="A135" s="24" t="s">
        <v>943</v>
      </c>
      <c r="B135" s="24" t="s">
        <v>992</v>
      </c>
      <c r="C135" s="24" t="s">
        <v>1005</v>
      </c>
      <c r="D135" s="25">
        <f>SUMIFS('Data (parsed)'!$I$2:$I$235,'Data (parsed)'!$B$2:$B$235,$A135,'Data (parsed)'!$C$2:$C$235,$B135,'Data (parsed)'!$H$2:$H$235,$C135)</f>
        <v>2</v>
      </c>
    </row>
    <row r="136" spans="1:4" ht="15" customHeight="1" x14ac:dyDescent="0.35">
      <c r="A136" s="24" t="s">
        <v>943</v>
      </c>
      <c r="B136" s="24" t="s">
        <v>992</v>
      </c>
      <c r="C136" s="27" t="s">
        <v>1122</v>
      </c>
      <c r="D136" s="25">
        <f>SUMIFS('Data (parsed)'!$I$2:$I$235,'Data (parsed)'!$B$2:$B$235,$A136,'Data (parsed)'!$C$2:$C$235,$B136,'Data (parsed)'!$H$2:$H$235,$C136)</f>
        <v>1</v>
      </c>
    </row>
    <row r="137" spans="1:4" ht="15" customHeight="1" x14ac:dyDescent="0.35">
      <c r="A137" s="24" t="s">
        <v>943</v>
      </c>
      <c r="B137" s="24" t="s">
        <v>992</v>
      </c>
      <c r="C137" s="24" t="s">
        <v>1126</v>
      </c>
      <c r="D137" s="25">
        <f>SUMIFS('Data (parsed)'!$I$2:$I$235,'Data (parsed)'!$B$2:$B$235,$A137,'Data (parsed)'!$C$2:$C$235,$B137,'Data (parsed)'!$H$2:$H$235,$C137)</f>
        <v>1</v>
      </c>
    </row>
    <row r="138" spans="1:4" ht="15" customHeight="1" x14ac:dyDescent="0.35">
      <c r="A138" s="24" t="s">
        <v>943</v>
      </c>
      <c r="B138" s="24" t="s">
        <v>992</v>
      </c>
      <c r="C138" s="27" t="s">
        <v>1094</v>
      </c>
      <c r="D138" s="25">
        <f>SUMIFS('Data (parsed)'!$I$2:$I$235,'Data (parsed)'!$B$2:$B$235,$A138,'Data (parsed)'!$C$2:$C$235,$B138,'Data (parsed)'!$H$2:$H$235,$C138)</f>
        <v>1</v>
      </c>
    </row>
    <row r="139" spans="1:4" ht="15" customHeight="1" x14ac:dyDescent="0.35">
      <c r="A139" s="24" t="s">
        <v>943</v>
      </c>
      <c r="B139" s="24" t="s">
        <v>992</v>
      </c>
      <c r="C139" s="27" t="s">
        <v>1133</v>
      </c>
      <c r="D139" s="25">
        <f>SUMIFS('Data (parsed)'!$I$2:$I$235,'Data (parsed)'!$B$2:$B$235,$A139,'Data (parsed)'!$C$2:$C$235,$B139,'Data (parsed)'!$H$2:$H$235,$C139)</f>
        <v>1</v>
      </c>
    </row>
    <row r="140" spans="1:4" ht="15" customHeight="1" x14ac:dyDescent="0.35">
      <c r="A140" s="24" t="s">
        <v>943</v>
      </c>
      <c r="B140" s="24" t="s">
        <v>992</v>
      </c>
      <c r="C140" s="27" t="s">
        <v>1134</v>
      </c>
      <c r="D140" s="25">
        <f>SUMIFS('Data (parsed)'!$I$2:$I$235,'Data (parsed)'!$B$2:$B$235,$A140,'Data (parsed)'!$C$2:$C$235,$B140,'Data (parsed)'!$H$2:$H$235,$C140)</f>
        <v>0</v>
      </c>
    </row>
    <row r="141" spans="1:4" ht="15" customHeight="1" x14ac:dyDescent="0.35">
      <c r="A141" s="24" t="s">
        <v>943</v>
      </c>
      <c r="B141" s="24" t="s">
        <v>992</v>
      </c>
      <c r="C141" s="24" t="s">
        <v>1135</v>
      </c>
      <c r="D141" s="25">
        <f>SUMIFS('Data (parsed)'!$I$2:$I$235,'Data (parsed)'!$B$2:$B$235,$A141,'Data (parsed)'!$C$2:$C$235,$B141,'Data (parsed)'!$H$2:$H$235,$C141)</f>
        <v>1</v>
      </c>
    </row>
    <row r="142" spans="1:4" ht="15" customHeight="1" x14ac:dyDescent="0.35">
      <c r="A142" s="24" t="s">
        <v>943</v>
      </c>
      <c r="B142" s="24" t="s">
        <v>992</v>
      </c>
      <c r="C142" s="27" t="s">
        <v>1124</v>
      </c>
      <c r="D142" s="25">
        <f>SUMIFS('Data (parsed)'!$I$2:$I$235,'Data (parsed)'!$B$2:$B$235,$A142,'Data (parsed)'!$C$2:$C$235,$B142,'Data (parsed)'!$H$2:$H$235,$C142)</f>
        <v>0</v>
      </c>
    </row>
    <row r="143" spans="1:4" ht="15" customHeight="1" x14ac:dyDescent="0.35">
      <c r="A143" s="24" t="s">
        <v>943</v>
      </c>
      <c r="B143" s="24" t="s">
        <v>993</v>
      </c>
      <c r="C143" s="24" t="s">
        <v>1136</v>
      </c>
      <c r="D143" s="25">
        <f>SUMIFS('Data (parsed)'!$I$2:$I$235,'Data (parsed)'!$B$2:$B$235,$A143,'Data (parsed)'!$C$2:$C$235,$B143,'Data (parsed)'!$H$2:$H$235,$C143)</f>
        <v>3</v>
      </c>
    </row>
    <row r="144" spans="1:4" ht="15" customHeight="1" x14ac:dyDescent="0.35">
      <c r="A144" s="24" t="s">
        <v>943</v>
      </c>
      <c r="B144" s="24" t="s">
        <v>993</v>
      </c>
      <c r="C144" s="24" t="s">
        <v>1005</v>
      </c>
      <c r="D144" s="25">
        <f>SUMIFS('Data (parsed)'!$I$2:$I$235,'Data (parsed)'!$B$2:$B$235,$A144,'Data (parsed)'!$C$2:$C$235,$B144,'Data (parsed)'!$H$2:$H$235,$C144)</f>
        <v>2</v>
      </c>
    </row>
    <row r="145" spans="1:4" ht="15" customHeight="1" x14ac:dyDescent="0.35">
      <c r="A145" s="24" t="s">
        <v>943</v>
      </c>
      <c r="B145" s="24" t="s">
        <v>993</v>
      </c>
      <c r="C145" s="27" t="s">
        <v>1121</v>
      </c>
      <c r="D145" s="25">
        <f>SUMIFS('Data (parsed)'!$I$2:$I$235,'Data (parsed)'!$B$2:$B$235,$A145,'Data (parsed)'!$C$2:$C$235,$B145,'Data (parsed)'!$H$2:$H$235,$C145)</f>
        <v>1</v>
      </c>
    </row>
    <row r="146" spans="1:4" ht="15" customHeight="1" x14ac:dyDescent="0.35">
      <c r="A146" s="24" t="s">
        <v>943</v>
      </c>
      <c r="B146" s="24" t="s">
        <v>927</v>
      </c>
      <c r="C146" s="27" t="s">
        <v>1121</v>
      </c>
      <c r="D146" s="25">
        <f>SUMIFS('Data (parsed)'!$I$2:$I$235,'Data (parsed)'!$B$2:$B$235,$A146,'Data (parsed)'!$C$2:$C$235,$B146,'Data (parsed)'!$H$2:$H$235,$C146)</f>
        <v>1</v>
      </c>
    </row>
    <row r="147" spans="1:4" ht="15" customHeight="1" x14ac:dyDescent="0.35">
      <c r="A147" s="24" t="s">
        <v>943</v>
      </c>
      <c r="B147" s="24" t="s">
        <v>927</v>
      </c>
      <c r="C147" s="27" t="s">
        <v>1137</v>
      </c>
      <c r="D147" s="25">
        <f>SUMIFS('Data (parsed)'!$I$2:$I$235,'Data (parsed)'!$B$2:$B$235,$A147,'Data (parsed)'!$C$2:$C$235,$B147,'Data (parsed)'!$H$2:$H$235,$C147)</f>
        <v>1</v>
      </c>
    </row>
    <row r="148" spans="1:4" ht="14.25" customHeight="1" x14ac:dyDescent="0.35">
      <c r="A148" s="10"/>
      <c r="B148" s="10"/>
      <c r="C148" s="10"/>
      <c r="D148" s="10"/>
    </row>
    <row r="149" spans="1:4" ht="14.25" customHeight="1" x14ac:dyDescent="0.35">
      <c r="A149" s="10"/>
      <c r="B149" s="10"/>
      <c r="C149" s="10"/>
      <c r="D149" s="10"/>
    </row>
    <row r="150" spans="1:4" ht="14.25" customHeight="1" x14ac:dyDescent="0.35">
      <c r="A150" s="10"/>
      <c r="B150" s="10"/>
      <c r="C150" s="10"/>
      <c r="D150" s="10"/>
    </row>
    <row r="151" spans="1:4" ht="14.25" customHeight="1" x14ac:dyDescent="0.35">
      <c r="A151" s="10"/>
      <c r="B151" s="10"/>
      <c r="C151" s="10"/>
      <c r="D151" s="10"/>
    </row>
    <row r="152" spans="1:4" ht="14.25" customHeight="1" x14ac:dyDescent="0.35">
      <c r="A152" s="10"/>
      <c r="B152" s="10"/>
      <c r="C152" s="10"/>
      <c r="D152" s="10"/>
    </row>
    <row r="153" spans="1:4" ht="14.25" customHeight="1" x14ac:dyDescent="0.35">
      <c r="A153" s="10"/>
      <c r="B153" s="10"/>
      <c r="C153" s="10"/>
      <c r="D153" s="10"/>
    </row>
    <row r="154" spans="1:4" ht="14.25" customHeight="1" x14ac:dyDescent="0.35">
      <c r="A154" s="10"/>
      <c r="B154" s="10"/>
      <c r="C154" s="10"/>
      <c r="D154" s="10"/>
    </row>
    <row r="155" spans="1:4" ht="14.25" customHeight="1" x14ac:dyDescent="0.35">
      <c r="A155" s="10"/>
      <c r="B155" s="10"/>
      <c r="C155" s="10"/>
      <c r="D155" s="10"/>
    </row>
    <row r="156" spans="1:4" ht="14.25" customHeight="1" x14ac:dyDescent="0.35">
      <c r="A156" s="10"/>
      <c r="B156" s="10"/>
      <c r="C156" s="10"/>
      <c r="D156" s="10"/>
    </row>
    <row r="157" spans="1:4" ht="14.25" customHeight="1" x14ac:dyDescent="0.35">
      <c r="A157" s="10"/>
      <c r="B157" s="10"/>
      <c r="C157" s="10"/>
      <c r="D157" s="10"/>
    </row>
    <row r="158" spans="1:4" ht="14.25" customHeight="1" x14ac:dyDescent="0.35">
      <c r="A158" s="10"/>
      <c r="B158" s="10"/>
      <c r="C158" s="10"/>
      <c r="D158" s="10"/>
    </row>
    <row r="159" spans="1:4" ht="14.25" customHeight="1" x14ac:dyDescent="0.35">
      <c r="A159" s="10"/>
      <c r="B159" s="10"/>
      <c r="C159" s="10"/>
      <c r="D159" s="10"/>
    </row>
    <row r="160" spans="1:4" ht="14.25" customHeight="1" x14ac:dyDescent="0.35">
      <c r="A160" s="10"/>
      <c r="B160" s="10"/>
      <c r="C160" s="10"/>
      <c r="D160" s="10"/>
    </row>
    <row r="161" spans="1:4" ht="14.25" customHeight="1" x14ac:dyDescent="0.35">
      <c r="A161" s="10"/>
      <c r="B161" s="10"/>
      <c r="C161" s="10"/>
      <c r="D161" s="10"/>
    </row>
    <row r="162" spans="1:4" ht="14.25" customHeight="1" x14ac:dyDescent="0.35">
      <c r="A162" s="10"/>
      <c r="B162" s="10"/>
      <c r="C162" s="10"/>
      <c r="D162" s="10"/>
    </row>
    <row r="163" spans="1:4" ht="14.25" customHeight="1" x14ac:dyDescent="0.35">
      <c r="A163" s="10"/>
      <c r="B163" s="10"/>
      <c r="C163" s="10"/>
      <c r="D163" s="10"/>
    </row>
    <row r="164" spans="1:4" ht="14.25" customHeight="1" x14ac:dyDescent="0.35">
      <c r="A164" s="10"/>
      <c r="B164" s="10"/>
      <c r="C164" s="10"/>
      <c r="D164" s="10"/>
    </row>
    <row r="165" spans="1:4" ht="14.25" customHeight="1" x14ac:dyDescent="0.35">
      <c r="A165" s="10"/>
      <c r="B165" s="10"/>
      <c r="C165" s="10"/>
      <c r="D165" s="10"/>
    </row>
    <row r="166" spans="1:4" ht="14.25" customHeight="1" x14ac:dyDescent="0.35">
      <c r="A166" s="10"/>
      <c r="B166" s="10"/>
      <c r="C166" s="10"/>
      <c r="D166" s="10"/>
    </row>
    <row r="167" spans="1:4" ht="14.25" customHeight="1" x14ac:dyDescent="0.35">
      <c r="A167" s="10"/>
      <c r="B167" s="10"/>
      <c r="C167" s="10"/>
      <c r="D167" s="10"/>
    </row>
    <row r="168" spans="1:4" ht="14.25" customHeight="1" x14ac:dyDescent="0.35">
      <c r="A168" s="10"/>
      <c r="B168" s="10"/>
      <c r="C168" s="10"/>
      <c r="D168" s="10"/>
    </row>
    <row r="169" spans="1:4" ht="14.25" customHeight="1" x14ac:dyDescent="0.35">
      <c r="A169" s="10"/>
      <c r="B169" s="10"/>
      <c r="C169" s="10"/>
      <c r="D169" s="10"/>
    </row>
    <row r="170" spans="1:4" ht="14.25" customHeight="1" x14ac:dyDescent="0.35">
      <c r="A170" s="10"/>
      <c r="B170" s="10"/>
      <c r="C170" s="10"/>
      <c r="D170" s="10"/>
    </row>
    <row r="171" spans="1:4" ht="14.25" customHeight="1" x14ac:dyDescent="0.35">
      <c r="A171" s="10"/>
      <c r="B171" s="10"/>
      <c r="C171" s="10"/>
      <c r="D171" s="10"/>
    </row>
    <row r="172" spans="1:4" ht="14.25" customHeight="1" x14ac:dyDescent="0.35">
      <c r="A172" s="10"/>
      <c r="B172" s="10"/>
      <c r="C172" s="10"/>
      <c r="D172" s="10"/>
    </row>
    <row r="173" spans="1:4" ht="14.25" customHeight="1" x14ac:dyDescent="0.35">
      <c r="A173" s="10"/>
      <c r="B173" s="10"/>
      <c r="C173" s="10"/>
      <c r="D173" s="10"/>
    </row>
    <row r="174" spans="1:4" ht="14.25" customHeight="1" x14ac:dyDescent="0.35">
      <c r="A174" s="10"/>
      <c r="B174" s="10"/>
      <c r="C174" s="10"/>
      <c r="D174" s="10"/>
    </row>
    <row r="175" spans="1:4" ht="14.25" customHeight="1" x14ac:dyDescent="0.35">
      <c r="A175" s="10"/>
      <c r="B175" s="10"/>
      <c r="C175" s="10"/>
      <c r="D175" s="10"/>
    </row>
    <row r="176" spans="1:4" ht="14.25" customHeight="1" x14ac:dyDescent="0.35">
      <c r="A176" s="10"/>
      <c r="B176" s="10"/>
      <c r="C176" s="10"/>
      <c r="D176" s="10"/>
    </row>
    <row r="177" spans="1:4" ht="14.25" customHeight="1" x14ac:dyDescent="0.35">
      <c r="A177" s="10"/>
      <c r="B177" s="10"/>
      <c r="C177" s="10"/>
      <c r="D177" s="10"/>
    </row>
    <row r="178" spans="1:4" ht="14.25" customHeight="1" x14ac:dyDescent="0.35">
      <c r="A178" s="10"/>
      <c r="B178" s="10"/>
      <c r="C178" s="10"/>
      <c r="D178" s="10"/>
    </row>
    <row r="179" spans="1:4" ht="14.25" customHeight="1" x14ac:dyDescent="0.35">
      <c r="A179" s="10"/>
      <c r="B179" s="10"/>
      <c r="C179" s="10"/>
      <c r="D179" s="10"/>
    </row>
    <row r="180" spans="1:4" ht="14.25" customHeight="1" x14ac:dyDescent="0.35">
      <c r="A180" s="10"/>
      <c r="B180" s="10"/>
      <c r="C180" s="10"/>
      <c r="D180" s="10"/>
    </row>
    <row r="181" spans="1:4" ht="14.25" customHeight="1" x14ac:dyDescent="0.35">
      <c r="A181" s="10"/>
      <c r="B181" s="10"/>
      <c r="C181" s="10"/>
      <c r="D181" s="10"/>
    </row>
    <row r="182" spans="1:4" ht="14.25" customHeight="1" x14ac:dyDescent="0.35">
      <c r="A182" s="10"/>
      <c r="B182" s="10"/>
      <c r="C182" s="10"/>
      <c r="D182" s="10"/>
    </row>
    <row r="183" spans="1:4" ht="14.25" customHeight="1" x14ac:dyDescent="0.35">
      <c r="A183" s="10"/>
      <c r="B183" s="10"/>
      <c r="C183" s="10"/>
      <c r="D183" s="10"/>
    </row>
    <row r="184" spans="1:4" ht="14.25" customHeight="1" x14ac:dyDescent="0.35">
      <c r="A184" s="10"/>
      <c r="B184" s="10"/>
      <c r="C184" s="10"/>
      <c r="D184" s="10"/>
    </row>
    <row r="185" spans="1:4" ht="14.25" customHeight="1" x14ac:dyDescent="0.35">
      <c r="A185" s="10"/>
      <c r="B185" s="10"/>
      <c r="C185" s="10"/>
      <c r="D185" s="10"/>
    </row>
    <row r="186" spans="1:4" ht="14.25" customHeight="1" x14ac:dyDescent="0.35">
      <c r="A186" s="10"/>
      <c r="B186" s="10"/>
      <c r="C186" s="10"/>
      <c r="D186" s="10"/>
    </row>
    <row r="187" spans="1:4" ht="14.25" customHeight="1" x14ac:dyDescent="0.35">
      <c r="A187" s="10"/>
      <c r="B187" s="10"/>
      <c r="C187" s="10"/>
      <c r="D187" s="10"/>
    </row>
    <row r="188" spans="1:4" ht="14.25" customHeight="1" x14ac:dyDescent="0.35">
      <c r="A188" s="10"/>
      <c r="B188" s="10"/>
      <c r="C188" s="10"/>
      <c r="D188" s="10"/>
    </row>
    <row r="189" spans="1:4" ht="14.25" customHeight="1" x14ac:dyDescent="0.35">
      <c r="A189" s="10"/>
      <c r="B189" s="10"/>
      <c r="C189" s="10"/>
      <c r="D189" s="10"/>
    </row>
    <row r="190" spans="1:4" ht="14.25" customHeight="1" x14ac:dyDescent="0.35">
      <c r="A190" s="10"/>
      <c r="B190" s="10"/>
      <c r="C190" s="10"/>
      <c r="D190" s="10"/>
    </row>
    <row r="191" spans="1:4" ht="14.25" customHeight="1" x14ac:dyDescent="0.35">
      <c r="A191" s="10"/>
      <c r="B191" s="10"/>
      <c r="C191" s="10"/>
      <c r="D191" s="10"/>
    </row>
    <row r="192" spans="1:4" ht="14.25" customHeight="1" x14ac:dyDescent="0.35">
      <c r="A192" s="10"/>
      <c r="B192" s="10"/>
      <c r="C192" s="10"/>
      <c r="D192" s="10"/>
    </row>
    <row r="193" spans="1:4" ht="14.25" customHeight="1" x14ac:dyDescent="0.35">
      <c r="A193" s="10"/>
      <c r="B193" s="10"/>
      <c r="C193" s="10"/>
      <c r="D193" s="10"/>
    </row>
    <row r="194" spans="1:4" ht="14.25" customHeight="1" x14ac:dyDescent="0.35">
      <c r="A194" s="10"/>
      <c r="B194" s="10"/>
      <c r="C194" s="10"/>
      <c r="D194" s="10"/>
    </row>
    <row r="195" spans="1:4" ht="14.25" customHeight="1" x14ac:dyDescent="0.35">
      <c r="A195" s="10"/>
      <c r="B195" s="10"/>
      <c r="C195" s="10"/>
      <c r="D195" s="10"/>
    </row>
    <row r="196" spans="1:4" ht="14.25" customHeight="1" x14ac:dyDescent="0.35">
      <c r="A196" s="10"/>
      <c r="B196" s="10"/>
      <c r="C196" s="10"/>
      <c r="D196" s="10"/>
    </row>
    <row r="197" spans="1:4" ht="14.25" customHeight="1" x14ac:dyDescent="0.35">
      <c r="A197" s="10"/>
      <c r="B197" s="10"/>
      <c r="C197" s="10"/>
      <c r="D197" s="10"/>
    </row>
    <row r="198" spans="1:4" ht="14.25" customHeight="1" x14ac:dyDescent="0.35">
      <c r="A198" s="10"/>
      <c r="B198" s="10"/>
      <c r="C198" s="10"/>
      <c r="D198" s="10"/>
    </row>
    <row r="199" spans="1:4" ht="14.25" customHeight="1" x14ac:dyDescent="0.35">
      <c r="A199" s="10"/>
      <c r="B199" s="10"/>
      <c r="C199" s="10"/>
      <c r="D199" s="10"/>
    </row>
    <row r="200" spans="1:4" ht="14.25" customHeight="1" x14ac:dyDescent="0.35">
      <c r="A200" s="10"/>
      <c r="B200" s="10"/>
      <c r="C200" s="10"/>
      <c r="D200" s="10"/>
    </row>
    <row r="201" spans="1:4" ht="14.25" customHeight="1" x14ac:dyDescent="0.35">
      <c r="A201" s="10"/>
      <c r="B201" s="10"/>
      <c r="C201" s="10"/>
      <c r="D201" s="10"/>
    </row>
    <row r="202" spans="1:4" ht="14.25" customHeight="1" x14ac:dyDescent="0.35">
      <c r="A202" s="10"/>
      <c r="B202" s="10"/>
      <c r="C202" s="10"/>
      <c r="D202" s="10"/>
    </row>
    <row r="203" spans="1:4" ht="14.25" customHeight="1" x14ac:dyDescent="0.35">
      <c r="A203" s="10"/>
      <c r="B203" s="10"/>
      <c r="C203" s="10"/>
      <c r="D203" s="10"/>
    </row>
    <row r="204" spans="1:4" ht="14.25" customHeight="1" x14ac:dyDescent="0.35">
      <c r="A204" s="10"/>
      <c r="B204" s="10"/>
      <c r="C204" s="10"/>
      <c r="D204" s="10"/>
    </row>
    <row r="205" spans="1:4" ht="14.25" customHeight="1" x14ac:dyDescent="0.35">
      <c r="A205" s="10"/>
      <c r="B205" s="10"/>
      <c r="C205" s="10"/>
      <c r="D205" s="10"/>
    </row>
    <row r="206" spans="1:4" ht="14.25" customHeight="1" x14ac:dyDescent="0.35">
      <c r="A206" s="10"/>
      <c r="B206" s="10"/>
      <c r="C206" s="10"/>
      <c r="D206" s="10"/>
    </row>
    <row r="207" spans="1:4" ht="14.25" customHeight="1" x14ac:dyDescent="0.35">
      <c r="A207" s="10"/>
      <c r="B207" s="10"/>
      <c r="C207" s="10"/>
      <c r="D207" s="10"/>
    </row>
    <row r="208" spans="1:4" ht="14.25" customHeight="1" x14ac:dyDescent="0.35">
      <c r="A208" s="10"/>
      <c r="B208" s="10"/>
      <c r="C208" s="10"/>
      <c r="D208" s="10"/>
    </row>
    <row r="209" spans="1:4" ht="14.25" customHeight="1" x14ac:dyDescent="0.35">
      <c r="A209" s="10"/>
      <c r="B209" s="10"/>
      <c r="C209" s="10"/>
      <c r="D209" s="10"/>
    </row>
    <row r="210" spans="1:4" ht="14.25" customHeight="1" x14ac:dyDescent="0.35">
      <c r="A210" s="10"/>
      <c r="B210" s="10"/>
      <c r="C210" s="10"/>
      <c r="D210" s="10"/>
    </row>
    <row r="211" spans="1:4" ht="14.25" customHeight="1" x14ac:dyDescent="0.35">
      <c r="A211" s="10"/>
      <c r="B211" s="10"/>
      <c r="C211" s="10"/>
      <c r="D211" s="10"/>
    </row>
    <row r="212" spans="1:4" ht="14.25" customHeight="1" x14ac:dyDescent="0.35">
      <c r="A212" s="10"/>
      <c r="B212" s="10"/>
      <c r="C212" s="10"/>
      <c r="D212" s="10"/>
    </row>
    <row r="213" spans="1:4" ht="14.25" customHeight="1" x14ac:dyDescent="0.35">
      <c r="A213" s="10"/>
      <c r="B213" s="10"/>
      <c r="C213" s="10"/>
      <c r="D213" s="10"/>
    </row>
    <row r="214" spans="1:4" ht="14.25" customHeight="1" x14ac:dyDescent="0.35">
      <c r="A214" s="10"/>
      <c r="B214" s="10"/>
      <c r="C214" s="10"/>
      <c r="D214" s="10"/>
    </row>
    <row r="215" spans="1:4" ht="14.25" customHeight="1" x14ac:dyDescent="0.35">
      <c r="A215" s="10"/>
      <c r="B215" s="10"/>
      <c r="C215" s="10"/>
      <c r="D215" s="10"/>
    </row>
    <row r="216" spans="1:4" ht="14.25" customHeight="1" x14ac:dyDescent="0.35">
      <c r="A216" s="10"/>
      <c r="B216" s="10"/>
      <c r="C216" s="10"/>
      <c r="D216" s="10"/>
    </row>
    <row r="217" spans="1:4" ht="14.25" customHeight="1" x14ac:dyDescent="0.35">
      <c r="A217" s="10"/>
      <c r="B217" s="10"/>
      <c r="C217" s="10"/>
      <c r="D217" s="10"/>
    </row>
    <row r="218" spans="1:4" ht="14.25" customHeight="1" x14ac:dyDescent="0.35">
      <c r="A218" s="10"/>
      <c r="B218" s="10"/>
      <c r="C218" s="10"/>
      <c r="D218" s="10"/>
    </row>
    <row r="219" spans="1:4" ht="14.25" customHeight="1" x14ac:dyDescent="0.35">
      <c r="A219" s="10"/>
      <c r="B219" s="10"/>
      <c r="C219" s="10"/>
      <c r="D219" s="10"/>
    </row>
    <row r="220" spans="1:4" ht="14.25" customHeight="1" x14ac:dyDescent="0.35">
      <c r="A220" s="10"/>
      <c r="B220" s="10"/>
      <c r="C220" s="10"/>
      <c r="D220" s="10"/>
    </row>
    <row r="221" spans="1:4" ht="14.25" customHeight="1" x14ac:dyDescent="0.35">
      <c r="A221" s="10"/>
      <c r="B221" s="10"/>
      <c r="C221" s="10"/>
      <c r="D221" s="10"/>
    </row>
    <row r="222" spans="1:4" ht="14.25" customHeight="1" x14ac:dyDescent="0.35">
      <c r="A222" s="10"/>
      <c r="B222" s="10"/>
      <c r="C222" s="10"/>
      <c r="D222" s="10"/>
    </row>
    <row r="223" spans="1:4" ht="14.25" customHeight="1" x14ac:dyDescent="0.35">
      <c r="A223" s="10"/>
      <c r="B223" s="10"/>
      <c r="C223" s="10"/>
      <c r="D223" s="10"/>
    </row>
    <row r="224" spans="1:4" ht="14.25" customHeight="1" x14ac:dyDescent="0.35">
      <c r="A224" s="10"/>
      <c r="B224" s="10"/>
      <c r="C224" s="10"/>
      <c r="D224" s="10"/>
    </row>
    <row r="225" spans="1:4" ht="14.25" customHeight="1" x14ac:dyDescent="0.35">
      <c r="A225" s="10"/>
      <c r="B225" s="10"/>
      <c r="C225" s="10"/>
      <c r="D225" s="10"/>
    </row>
    <row r="226" spans="1:4" ht="14.25" customHeight="1" x14ac:dyDescent="0.35">
      <c r="A226" s="10"/>
      <c r="B226" s="10"/>
      <c r="C226" s="10"/>
      <c r="D226" s="10"/>
    </row>
    <row r="227" spans="1:4" ht="14.25" customHeight="1" x14ac:dyDescent="0.35">
      <c r="A227" s="10"/>
      <c r="B227" s="10"/>
      <c r="C227" s="10"/>
      <c r="D227" s="10"/>
    </row>
    <row r="228" spans="1:4" ht="14.25" customHeight="1" x14ac:dyDescent="0.35">
      <c r="A228" s="10"/>
      <c r="B228" s="10"/>
      <c r="C228" s="10"/>
      <c r="D228" s="10"/>
    </row>
    <row r="229" spans="1:4" ht="14.25" customHeight="1" x14ac:dyDescent="0.35">
      <c r="A229" s="10"/>
      <c r="B229" s="10"/>
      <c r="C229" s="10"/>
      <c r="D229" s="10"/>
    </row>
    <row r="230" spans="1:4" ht="14.25" customHeight="1" x14ac:dyDescent="0.35">
      <c r="A230" s="10"/>
      <c r="B230" s="10"/>
      <c r="C230" s="10"/>
      <c r="D230" s="10"/>
    </row>
    <row r="231" spans="1:4" ht="14.25" customHeight="1" x14ac:dyDescent="0.35">
      <c r="A231" s="10"/>
      <c r="B231" s="10"/>
      <c r="C231" s="10"/>
      <c r="D231" s="10"/>
    </row>
    <row r="232" spans="1:4" ht="14.25" customHeight="1" x14ac:dyDescent="0.35">
      <c r="A232" s="10"/>
      <c r="B232" s="10"/>
      <c r="C232" s="10"/>
      <c r="D232" s="10"/>
    </row>
    <row r="233" spans="1:4" ht="14.25" customHeight="1" x14ac:dyDescent="0.35">
      <c r="A233" s="10"/>
      <c r="B233" s="10"/>
      <c r="C233" s="10"/>
      <c r="D233" s="10"/>
    </row>
    <row r="234" spans="1:4" ht="14.25" customHeight="1" x14ac:dyDescent="0.35">
      <c r="A234" s="10"/>
      <c r="B234" s="10"/>
      <c r="C234" s="10"/>
      <c r="D234" s="10"/>
    </row>
    <row r="235" spans="1:4" ht="14.25" customHeight="1" x14ac:dyDescent="0.35">
      <c r="A235" s="10"/>
      <c r="B235" s="10"/>
      <c r="C235" s="10"/>
      <c r="D235" s="10"/>
    </row>
    <row r="236" spans="1:4" ht="14.25" customHeight="1" x14ac:dyDescent="0.35">
      <c r="A236" s="10"/>
      <c r="B236" s="10"/>
      <c r="C236" s="10"/>
      <c r="D236" s="10"/>
    </row>
    <row r="237" spans="1:4" ht="14.25" customHeight="1" x14ac:dyDescent="0.35">
      <c r="A237" s="10"/>
      <c r="B237" s="10"/>
      <c r="C237" s="10"/>
      <c r="D237" s="10"/>
    </row>
    <row r="238" spans="1:4" ht="14.25" customHeight="1" x14ac:dyDescent="0.35">
      <c r="A238" s="10"/>
      <c r="B238" s="10"/>
      <c r="C238" s="10"/>
      <c r="D238" s="10"/>
    </row>
    <row r="239" spans="1:4" ht="14.25" customHeight="1" x14ac:dyDescent="0.35">
      <c r="A239" s="10"/>
      <c r="B239" s="10"/>
      <c r="C239" s="10"/>
      <c r="D239" s="10"/>
    </row>
    <row r="240" spans="1:4" ht="14.25" customHeight="1" x14ac:dyDescent="0.35">
      <c r="A240" s="10"/>
      <c r="B240" s="10"/>
      <c r="C240" s="10"/>
      <c r="D240" s="10"/>
    </row>
    <row r="241" spans="1:4" ht="14.25" customHeight="1" x14ac:dyDescent="0.35">
      <c r="A241" s="10"/>
      <c r="B241" s="10"/>
      <c r="C241" s="10"/>
      <c r="D241" s="10"/>
    </row>
    <row r="242" spans="1:4" ht="14.25" customHeight="1" x14ac:dyDescent="0.35">
      <c r="A242" s="10"/>
      <c r="B242" s="10"/>
      <c r="C242" s="10"/>
      <c r="D242" s="10"/>
    </row>
    <row r="243" spans="1:4" ht="14.25" customHeight="1" x14ac:dyDescent="0.35">
      <c r="A243" s="10"/>
      <c r="B243" s="10"/>
      <c r="C243" s="10"/>
      <c r="D243" s="10"/>
    </row>
    <row r="244" spans="1:4" ht="14.25" customHeight="1" x14ac:dyDescent="0.35">
      <c r="A244" s="10"/>
      <c r="B244" s="10"/>
      <c r="C244" s="10"/>
      <c r="D244" s="10"/>
    </row>
    <row r="245" spans="1:4" ht="14.25" customHeight="1" x14ac:dyDescent="0.35">
      <c r="A245" s="10"/>
      <c r="B245" s="10"/>
      <c r="C245" s="10"/>
      <c r="D245" s="10"/>
    </row>
    <row r="246" spans="1:4" ht="14.25" customHeight="1" x14ac:dyDescent="0.35">
      <c r="A246" s="10"/>
      <c r="B246" s="10"/>
      <c r="C246" s="10"/>
      <c r="D246" s="10"/>
    </row>
    <row r="247" spans="1:4" ht="14.25" customHeight="1" x14ac:dyDescent="0.35">
      <c r="A247" s="10"/>
      <c r="B247" s="10"/>
      <c r="C247" s="10"/>
      <c r="D247" s="10"/>
    </row>
    <row r="248" spans="1:4" ht="14.25" customHeight="1" x14ac:dyDescent="0.35">
      <c r="A248" s="10"/>
      <c r="B248" s="10"/>
      <c r="C248" s="10"/>
      <c r="D248" s="10"/>
    </row>
    <row r="249" spans="1:4" ht="14.25" customHeight="1" x14ac:dyDescent="0.35">
      <c r="A249" s="10"/>
      <c r="B249" s="10"/>
      <c r="C249" s="10"/>
      <c r="D249" s="10"/>
    </row>
    <row r="250" spans="1:4" ht="14.25" customHeight="1" x14ac:dyDescent="0.35">
      <c r="A250" s="10"/>
      <c r="B250" s="10"/>
      <c r="C250" s="10"/>
      <c r="D250" s="10"/>
    </row>
    <row r="251" spans="1:4" ht="14.25" customHeight="1" x14ac:dyDescent="0.35">
      <c r="A251" s="10"/>
      <c r="B251" s="10"/>
      <c r="C251" s="10"/>
      <c r="D251" s="10"/>
    </row>
    <row r="252" spans="1:4" ht="14.25" customHeight="1" x14ac:dyDescent="0.35">
      <c r="A252" s="10"/>
      <c r="B252" s="10"/>
      <c r="C252" s="10"/>
      <c r="D252" s="10"/>
    </row>
    <row r="253" spans="1:4" ht="14.25" customHeight="1" x14ac:dyDescent="0.35">
      <c r="A253" s="10"/>
      <c r="B253" s="10"/>
      <c r="C253" s="10"/>
      <c r="D253" s="10"/>
    </row>
    <row r="254" spans="1:4" ht="14.25" customHeight="1" x14ac:dyDescent="0.35">
      <c r="A254" s="10"/>
      <c r="B254" s="10"/>
      <c r="C254" s="10"/>
      <c r="D254" s="10"/>
    </row>
    <row r="255" spans="1:4" ht="14.25" customHeight="1" x14ac:dyDescent="0.35">
      <c r="A255" s="10"/>
      <c r="B255" s="10"/>
      <c r="C255" s="10"/>
      <c r="D255" s="10"/>
    </row>
    <row r="256" spans="1:4" ht="14.25" customHeight="1" x14ac:dyDescent="0.35">
      <c r="A256" s="10"/>
      <c r="B256" s="10"/>
      <c r="C256" s="10"/>
      <c r="D256" s="10"/>
    </row>
    <row r="257" spans="1:4" ht="14.25" customHeight="1" x14ac:dyDescent="0.35">
      <c r="A257" s="10"/>
      <c r="B257" s="10"/>
      <c r="C257" s="10"/>
      <c r="D257" s="10"/>
    </row>
    <row r="258" spans="1:4" ht="14.25" customHeight="1" x14ac:dyDescent="0.35">
      <c r="A258" s="10"/>
      <c r="B258" s="10"/>
      <c r="C258" s="10"/>
      <c r="D258" s="10"/>
    </row>
    <row r="259" spans="1:4" ht="14.25" customHeight="1" x14ac:dyDescent="0.35">
      <c r="A259" s="10"/>
      <c r="B259" s="10"/>
      <c r="C259" s="10"/>
      <c r="D259" s="10"/>
    </row>
    <row r="260" spans="1:4" ht="14.25" customHeight="1" x14ac:dyDescent="0.35">
      <c r="A260" s="10"/>
      <c r="B260" s="10"/>
      <c r="C260" s="10"/>
      <c r="D260" s="10"/>
    </row>
    <row r="261" spans="1:4" ht="14.25" customHeight="1" x14ac:dyDescent="0.35">
      <c r="A261" s="10"/>
      <c r="B261" s="10"/>
      <c r="C261" s="10"/>
      <c r="D261" s="10"/>
    </row>
    <row r="262" spans="1:4" ht="14.25" customHeight="1" x14ac:dyDescent="0.35">
      <c r="A262" s="10"/>
      <c r="B262" s="10"/>
      <c r="C262" s="10"/>
      <c r="D262" s="10"/>
    </row>
    <row r="263" spans="1:4" ht="14.25" customHeight="1" x14ac:dyDescent="0.35">
      <c r="A263" s="10"/>
      <c r="B263" s="10"/>
      <c r="C263" s="10"/>
      <c r="D263" s="10"/>
    </row>
    <row r="264" spans="1:4" ht="14.25" customHeight="1" x14ac:dyDescent="0.35">
      <c r="A264" s="10"/>
      <c r="B264" s="10"/>
      <c r="C264" s="10"/>
      <c r="D264" s="10"/>
    </row>
    <row r="265" spans="1:4" ht="14.25" customHeight="1" x14ac:dyDescent="0.35">
      <c r="A265" s="10"/>
      <c r="B265" s="10"/>
      <c r="C265" s="10"/>
      <c r="D265" s="10"/>
    </row>
    <row r="266" spans="1:4" ht="14.25" customHeight="1" x14ac:dyDescent="0.35">
      <c r="A266" s="10"/>
      <c r="B266" s="10"/>
      <c r="C266" s="10"/>
      <c r="D266" s="10"/>
    </row>
    <row r="267" spans="1:4" ht="14.25" customHeight="1" x14ac:dyDescent="0.35">
      <c r="A267" s="10"/>
      <c r="B267" s="10"/>
      <c r="C267" s="10"/>
      <c r="D267" s="10"/>
    </row>
    <row r="268" spans="1:4" ht="14.25" customHeight="1" x14ac:dyDescent="0.35">
      <c r="A268" s="10"/>
      <c r="B268" s="10"/>
      <c r="C268" s="10"/>
      <c r="D268" s="10"/>
    </row>
    <row r="269" spans="1:4" ht="14.25" customHeight="1" x14ac:dyDescent="0.35">
      <c r="A269" s="10"/>
      <c r="B269" s="10"/>
      <c r="C269" s="10"/>
      <c r="D269" s="10"/>
    </row>
    <row r="270" spans="1:4" ht="14.25" customHeight="1" x14ac:dyDescent="0.35">
      <c r="A270" s="10"/>
      <c r="B270" s="10"/>
      <c r="C270" s="10"/>
      <c r="D270" s="10"/>
    </row>
    <row r="271" spans="1:4" ht="14.25" customHeight="1" x14ac:dyDescent="0.35">
      <c r="A271" s="10"/>
      <c r="B271" s="10"/>
      <c r="C271" s="10"/>
      <c r="D271" s="10"/>
    </row>
    <row r="272" spans="1:4" ht="14.25" customHeight="1" x14ac:dyDescent="0.35">
      <c r="A272" s="10"/>
      <c r="B272" s="10"/>
      <c r="C272" s="10"/>
      <c r="D272" s="10"/>
    </row>
    <row r="273" spans="1:4" ht="14.25" customHeight="1" x14ac:dyDescent="0.35">
      <c r="A273" s="10"/>
      <c r="B273" s="10"/>
      <c r="C273" s="10"/>
      <c r="D273" s="10"/>
    </row>
    <row r="274" spans="1:4" ht="14.25" customHeight="1" x14ac:dyDescent="0.35">
      <c r="A274" s="10"/>
      <c r="B274" s="10"/>
      <c r="C274" s="10"/>
      <c r="D274" s="10"/>
    </row>
    <row r="275" spans="1:4" ht="14.25" customHeight="1" x14ac:dyDescent="0.35">
      <c r="A275" s="10"/>
      <c r="B275" s="10"/>
      <c r="C275" s="10"/>
      <c r="D275" s="10"/>
    </row>
    <row r="276" spans="1:4" ht="14.25" customHeight="1" x14ac:dyDescent="0.35">
      <c r="A276" s="10"/>
      <c r="B276" s="10"/>
      <c r="C276" s="10"/>
      <c r="D276" s="10"/>
    </row>
    <row r="277" spans="1:4" ht="14.25" customHeight="1" x14ac:dyDescent="0.35">
      <c r="A277" s="10"/>
      <c r="B277" s="10"/>
      <c r="C277" s="10"/>
      <c r="D277" s="10"/>
    </row>
    <row r="278" spans="1:4" ht="14.25" customHeight="1" x14ac:dyDescent="0.35">
      <c r="A278" s="10"/>
      <c r="B278" s="10"/>
      <c r="C278" s="10"/>
      <c r="D278" s="10"/>
    </row>
    <row r="279" spans="1:4" ht="14.25" customHeight="1" x14ac:dyDescent="0.35">
      <c r="A279" s="10"/>
      <c r="B279" s="10"/>
      <c r="C279" s="10"/>
      <c r="D279" s="10"/>
    </row>
    <row r="280" spans="1:4" ht="14.25" customHeight="1" x14ac:dyDescent="0.35">
      <c r="A280" s="10"/>
      <c r="B280" s="10"/>
      <c r="C280" s="10"/>
      <c r="D280" s="10"/>
    </row>
    <row r="281" spans="1:4" ht="14.25" customHeight="1" x14ac:dyDescent="0.35">
      <c r="A281" s="10"/>
      <c r="B281" s="10"/>
      <c r="C281" s="10"/>
      <c r="D281" s="10"/>
    </row>
    <row r="282" spans="1:4" ht="14.25" customHeight="1" x14ac:dyDescent="0.35">
      <c r="A282" s="10"/>
      <c r="B282" s="10"/>
      <c r="C282" s="10"/>
      <c r="D282" s="10"/>
    </row>
    <row r="283" spans="1:4" ht="14.25" customHeight="1" x14ac:dyDescent="0.35">
      <c r="A283" s="10"/>
      <c r="B283" s="10"/>
      <c r="C283" s="10"/>
      <c r="D283" s="10"/>
    </row>
    <row r="284" spans="1:4" ht="14.25" customHeight="1" x14ac:dyDescent="0.35">
      <c r="A284" s="10"/>
      <c r="B284" s="10"/>
      <c r="C284" s="10"/>
      <c r="D284" s="10"/>
    </row>
    <row r="285" spans="1:4" ht="14.25" customHeight="1" x14ac:dyDescent="0.35">
      <c r="A285" s="10"/>
      <c r="B285" s="10"/>
      <c r="C285" s="10"/>
      <c r="D285" s="10"/>
    </row>
    <row r="286" spans="1:4" ht="14.25" customHeight="1" x14ac:dyDescent="0.35">
      <c r="A286" s="10"/>
      <c r="B286" s="10"/>
      <c r="C286" s="10"/>
      <c r="D286" s="10"/>
    </row>
    <row r="287" spans="1:4" ht="14.25" customHeight="1" x14ac:dyDescent="0.35">
      <c r="A287" s="10"/>
      <c r="B287" s="10"/>
      <c r="C287" s="10"/>
      <c r="D287" s="10"/>
    </row>
    <row r="288" spans="1:4" ht="14.25" customHeight="1" x14ac:dyDescent="0.35">
      <c r="A288" s="10"/>
      <c r="B288" s="10"/>
      <c r="C288" s="10"/>
      <c r="D288" s="10"/>
    </row>
    <row r="289" spans="1:4" ht="14.25" customHeight="1" x14ac:dyDescent="0.35">
      <c r="A289" s="10"/>
      <c r="B289" s="10"/>
      <c r="C289" s="10"/>
      <c r="D289" s="10"/>
    </row>
    <row r="290" spans="1:4" ht="14.25" customHeight="1" x14ac:dyDescent="0.35">
      <c r="A290" s="10"/>
      <c r="B290" s="10"/>
      <c r="C290" s="10"/>
      <c r="D290" s="10"/>
    </row>
    <row r="291" spans="1:4" ht="14.25" customHeight="1" x14ac:dyDescent="0.35">
      <c r="A291" s="10"/>
      <c r="B291" s="10"/>
      <c r="C291" s="10"/>
      <c r="D291" s="10"/>
    </row>
    <row r="292" spans="1:4" ht="14.25" customHeight="1" x14ac:dyDescent="0.35">
      <c r="A292" s="10"/>
      <c r="B292" s="10"/>
      <c r="C292" s="10"/>
      <c r="D292" s="10"/>
    </row>
    <row r="293" spans="1:4" ht="14.25" customHeight="1" x14ac:dyDescent="0.35">
      <c r="A293" s="10"/>
      <c r="B293" s="10"/>
      <c r="C293" s="10"/>
      <c r="D293" s="10"/>
    </row>
    <row r="294" spans="1:4" ht="14.25" customHeight="1" x14ac:dyDescent="0.35">
      <c r="A294" s="10"/>
      <c r="B294" s="10"/>
      <c r="C294" s="10"/>
      <c r="D294" s="10"/>
    </row>
    <row r="295" spans="1:4" ht="14.25" customHeight="1" x14ac:dyDescent="0.35">
      <c r="A295" s="10"/>
      <c r="B295" s="10"/>
      <c r="C295" s="10"/>
      <c r="D295" s="10"/>
    </row>
    <row r="296" spans="1:4" ht="14.25" customHeight="1" x14ac:dyDescent="0.35">
      <c r="A296" s="10"/>
      <c r="B296" s="10"/>
      <c r="C296" s="10"/>
      <c r="D296" s="10"/>
    </row>
    <row r="297" spans="1:4" ht="14.25" customHeight="1" x14ac:dyDescent="0.35">
      <c r="A297" s="10"/>
      <c r="B297" s="10"/>
      <c r="C297" s="10"/>
      <c r="D297" s="10"/>
    </row>
    <row r="298" spans="1:4" ht="14.25" customHeight="1" x14ac:dyDescent="0.35">
      <c r="A298" s="10"/>
      <c r="B298" s="10"/>
      <c r="C298" s="10"/>
      <c r="D298" s="10"/>
    </row>
    <row r="299" spans="1:4" ht="14.25" customHeight="1" x14ac:dyDescent="0.35">
      <c r="A299" s="10"/>
      <c r="B299" s="10"/>
      <c r="C299" s="10"/>
      <c r="D299" s="10"/>
    </row>
    <row r="300" spans="1:4" ht="14.25" customHeight="1" x14ac:dyDescent="0.35">
      <c r="A300" s="10"/>
      <c r="B300" s="10"/>
      <c r="C300" s="10"/>
      <c r="D300" s="10"/>
    </row>
    <row r="301" spans="1:4" ht="14.25" customHeight="1" x14ac:dyDescent="0.35">
      <c r="A301" s="10"/>
      <c r="B301" s="10"/>
      <c r="C301" s="10"/>
      <c r="D301" s="10"/>
    </row>
    <row r="302" spans="1:4" ht="14.25" customHeight="1" x14ac:dyDescent="0.35">
      <c r="A302" s="10"/>
      <c r="B302" s="10"/>
      <c r="C302" s="10"/>
      <c r="D302" s="10"/>
    </row>
    <row r="303" spans="1:4" ht="14.25" customHeight="1" x14ac:dyDescent="0.35">
      <c r="A303" s="10"/>
      <c r="B303" s="10"/>
      <c r="C303" s="10"/>
      <c r="D303" s="10"/>
    </row>
    <row r="304" spans="1:4" ht="14.25" customHeight="1" x14ac:dyDescent="0.35">
      <c r="A304" s="10"/>
      <c r="B304" s="10"/>
      <c r="C304" s="10"/>
      <c r="D304" s="10"/>
    </row>
    <row r="305" spans="1:4" ht="14.25" customHeight="1" x14ac:dyDescent="0.35">
      <c r="A305" s="10"/>
      <c r="B305" s="10"/>
      <c r="C305" s="10"/>
      <c r="D305" s="10"/>
    </row>
    <row r="306" spans="1:4" ht="14.25" customHeight="1" x14ac:dyDescent="0.35">
      <c r="A306" s="10"/>
      <c r="B306" s="10"/>
      <c r="C306" s="10"/>
      <c r="D306" s="10"/>
    </row>
    <row r="307" spans="1:4" ht="14.25" customHeight="1" x14ac:dyDescent="0.35">
      <c r="A307" s="10"/>
      <c r="B307" s="10"/>
      <c r="C307" s="10"/>
      <c r="D307" s="10"/>
    </row>
    <row r="308" spans="1:4" ht="14.25" customHeight="1" x14ac:dyDescent="0.35">
      <c r="A308" s="10"/>
      <c r="B308" s="10"/>
      <c r="C308" s="10"/>
      <c r="D308" s="10"/>
    </row>
    <row r="309" spans="1:4" ht="14.25" customHeight="1" x14ac:dyDescent="0.35">
      <c r="A309" s="10"/>
      <c r="B309" s="10"/>
      <c r="C309" s="10"/>
      <c r="D309" s="10"/>
    </row>
    <row r="310" spans="1:4" ht="14.25" customHeight="1" x14ac:dyDescent="0.35">
      <c r="A310" s="10"/>
      <c r="B310" s="10"/>
      <c r="C310" s="10"/>
      <c r="D310" s="10"/>
    </row>
    <row r="311" spans="1:4" ht="14.25" customHeight="1" x14ac:dyDescent="0.35">
      <c r="A311" s="10"/>
      <c r="B311" s="10"/>
      <c r="C311" s="10"/>
      <c r="D311" s="10"/>
    </row>
    <row r="312" spans="1:4" ht="14.25" customHeight="1" x14ac:dyDescent="0.35">
      <c r="A312" s="10"/>
      <c r="B312" s="10"/>
      <c r="C312" s="10"/>
      <c r="D312" s="10"/>
    </row>
    <row r="313" spans="1:4" ht="14.25" customHeight="1" x14ac:dyDescent="0.35">
      <c r="A313" s="10"/>
      <c r="B313" s="10"/>
      <c r="C313" s="10"/>
      <c r="D313" s="10"/>
    </row>
    <row r="314" spans="1:4" ht="14.25" customHeight="1" x14ac:dyDescent="0.35">
      <c r="A314" s="10"/>
      <c r="B314" s="10"/>
      <c r="C314" s="10"/>
      <c r="D314" s="10"/>
    </row>
    <row r="315" spans="1:4" ht="14.25" customHeight="1" x14ac:dyDescent="0.35">
      <c r="A315" s="10"/>
      <c r="B315" s="10"/>
      <c r="C315" s="10"/>
      <c r="D315" s="10"/>
    </row>
    <row r="316" spans="1:4" ht="14.25" customHeight="1" x14ac:dyDescent="0.35">
      <c r="A316" s="10"/>
      <c r="B316" s="10"/>
      <c r="C316" s="10"/>
      <c r="D316" s="10"/>
    </row>
    <row r="317" spans="1:4" ht="14.25" customHeight="1" x14ac:dyDescent="0.35">
      <c r="A317" s="10"/>
      <c r="B317" s="10"/>
      <c r="C317" s="10"/>
      <c r="D317" s="10"/>
    </row>
    <row r="318" spans="1:4" ht="14.25" customHeight="1" x14ac:dyDescent="0.35">
      <c r="A318" s="10"/>
      <c r="B318" s="10"/>
      <c r="C318" s="10"/>
      <c r="D318" s="10"/>
    </row>
    <row r="319" spans="1:4" ht="14.25" customHeight="1" x14ac:dyDescent="0.35">
      <c r="A319" s="10"/>
      <c r="B319" s="10"/>
      <c r="C319" s="10"/>
      <c r="D319" s="10"/>
    </row>
    <row r="320" spans="1:4" ht="14.25" customHeight="1" x14ac:dyDescent="0.35">
      <c r="A320" s="10"/>
      <c r="B320" s="10"/>
      <c r="C320" s="10"/>
      <c r="D320" s="10"/>
    </row>
    <row r="321" spans="1:4" ht="14.25" customHeight="1" x14ac:dyDescent="0.35">
      <c r="A321" s="10"/>
      <c r="B321" s="10"/>
      <c r="C321" s="10"/>
      <c r="D321" s="10"/>
    </row>
    <row r="322" spans="1:4" ht="14.25" customHeight="1" x14ac:dyDescent="0.35">
      <c r="A322" s="10"/>
      <c r="B322" s="10"/>
      <c r="C322" s="10"/>
      <c r="D322" s="10"/>
    </row>
    <row r="323" spans="1:4" ht="14.25" customHeight="1" x14ac:dyDescent="0.35">
      <c r="A323" s="10"/>
      <c r="B323" s="10"/>
      <c r="C323" s="10"/>
      <c r="D323" s="10"/>
    </row>
    <row r="324" spans="1:4" ht="14.25" customHeight="1" x14ac:dyDescent="0.35">
      <c r="A324" s="10"/>
      <c r="B324" s="10"/>
      <c r="C324" s="10"/>
      <c r="D324" s="10"/>
    </row>
    <row r="325" spans="1:4" ht="14.25" customHeight="1" x14ac:dyDescent="0.35">
      <c r="A325" s="10"/>
      <c r="B325" s="10"/>
      <c r="C325" s="10"/>
      <c r="D325" s="10"/>
    </row>
    <row r="326" spans="1:4" ht="14.25" customHeight="1" x14ac:dyDescent="0.35">
      <c r="A326" s="10"/>
      <c r="B326" s="10"/>
      <c r="C326" s="10"/>
      <c r="D326" s="10"/>
    </row>
    <row r="327" spans="1:4" ht="14.25" customHeight="1" x14ac:dyDescent="0.35">
      <c r="A327" s="10"/>
      <c r="B327" s="10"/>
      <c r="C327" s="10"/>
      <c r="D327" s="10"/>
    </row>
    <row r="328" spans="1:4" ht="14.25" customHeight="1" x14ac:dyDescent="0.35">
      <c r="A328" s="10"/>
      <c r="B328" s="10"/>
      <c r="C328" s="10"/>
      <c r="D328" s="10"/>
    </row>
    <row r="329" spans="1:4" ht="14.25" customHeight="1" x14ac:dyDescent="0.35">
      <c r="A329" s="10"/>
      <c r="B329" s="10"/>
      <c r="C329" s="10"/>
      <c r="D329" s="10"/>
    </row>
    <row r="330" spans="1:4" ht="14.25" customHeight="1" x14ac:dyDescent="0.35">
      <c r="A330" s="10"/>
      <c r="B330" s="10"/>
      <c r="C330" s="10"/>
      <c r="D330" s="10"/>
    </row>
    <row r="331" spans="1:4" ht="14.25" customHeight="1" x14ac:dyDescent="0.35">
      <c r="A331" s="10"/>
      <c r="B331" s="10"/>
      <c r="C331" s="10"/>
      <c r="D331" s="10"/>
    </row>
    <row r="332" spans="1:4" ht="14.25" customHeight="1" x14ac:dyDescent="0.35">
      <c r="A332" s="10"/>
      <c r="B332" s="10"/>
      <c r="C332" s="10"/>
      <c r="D332" s="10"/>
    </row>
    <row r="333" spans="1:4" ht="14.25" customHeight="1" x14ac:dyDescent="0.35">
      <c r="A333" s="10"/>
      <c r="B333" s="10"/>
      <c r="C333" s="10"/>
      <c r="D333" s="10"/>
    </row>
    <row r="334" spans="1:4" ht="14.25" customHeight="1" x14ac:dyDescent="0.35">
      <c r="A334" s="10"/>
      <c r="B334" s="10"/>
      <c r="C334" s="10"/>
      <c r="D334" s="10"/>
    </row>
    <row r="335" spans="1:4" ht="14.25" customHeight="1" x14ac:dyDescent="0.35">
      <c r="A335" s="10"/>
      <c r="B335" s="10"/>
      <c r="C335" s="10"/>
      <c r="D335" s="10"/>
    </row>
    <row r="336" spans="1:4" ht="14.25" customHeight="1" x14ac:dyDescent="0.35">
      <c r="A336" s="10"/>
      <c r="B336" s="10"/>
      <c r="C336" s="10"/>
      <c r="D336" s="10"/>
    </row>
    <row r="337" spans="1:4" ht="14.25" customHeight="1" x14ac:dyDescent="0.35">
      <c r="A337" s="10"/>
      <c r="B337" s="10"/>
      <c r="C337" s="10"/>
      <c r="D337" s="10"/>
    </row>
    <row r="338" spans="1:4" ht="14.25" customHeight="1" x14ac:dyDescent="0.35">
      <c r="A338" s="10"/>
      <c r="B338" s="10"/>
      <c r="C338" s="10"/>
      <c r="D338" s="10"/>
    </row>
    <row r="339" spans="1:4" ht="14.25" customHeight="1" x14ac:dyDescent="0.35">
      <c r="A339" s="10"/>
      <c r="B339" s="10"/>
      <c r="C339" s="10"/>
      <c r="D339" s="10"/>
    </row>
    <row r="340" spans="1:4" ht="14.25" customHeight="1" x14ac:dyDescent="0.35">
      <c r="A340" s="10"/>
      <c r="B340" s="10"/>
      <c r="C340" s="10"/>
      <c r="D340" s="10"/>
    </row>
    <row r="341" spans="1:4" ht="14.25" customHeight="1" x14ac:dyDescent="0.35">
      <c r="A341" s="10"/>
      <c r="B341" s="10"/>
      <c r="C341" s="10"/>
      <c r="D341" s="10"/>
    </row>
    <row r="342" spans="1:4" ht="14.25" customHeight="1" x14ac:dyDescent="0.35">
      <c r="A342" s="10"/>
      <c r="B342" s="10"/>
      <c r="C342" s="10"/>
      <c r="D342" s="10"/>
    </row>
    <row r="343" spans="1:4" ht="14.25" customHeight="1" x14ac:dyDescent="0.35">
      <c r="A343" s="10"/>
      <c r="B343" s="10"/>
      <c r="C343" s="10"/>
      <c r="D343" s="10"/>
    </row>
    <row r="344" spans="1:4" ht="14.25" customHeight="1" x14ac:dyDescent="0.35">
      <c r="A344" s="10"/>
      <c r="B344" s="10"/>
      <c r="C344" s="10"/>
      <c r="D344" s="10"/>
    </row>
    <row r="345" spans="1:4" ht="14.25" customHeight="1" x14ac:dyDescent="0.35">
      <c r="A345" s="10"/>
      <c r="B345" s="10"/>
      <c r="C345" s="10"/>
      <c r="D345" s="10"/>
    </row>
    <row r="346" spans="1:4" ht="14.25" customHeight="1" x14ac:dyDescent="0.35">
      <c r="A346" s="10"/>
      <c r="B346" s="10"/>
      <c r="C346" s="10"/>
      <c r="D346" s="10"/>
    </row>
    <row r="347" spans="1:4" ht="14.25" customHeight="1" x14ac:dyDescent="0.35">
      <c r="A347" s="10"/>
      <c r="B347" s="10"/>
      <c r="C347" s="10"/>
      <c r="D347" s="10"/>
    </row>
    <row r="348" spans="1:4" ht="14.25" customHeight="1" x14ac:dyDescent="0.35">
      <c r="A348" s="10"/>
      <c r="B348" s="10"/>
      <c r="C348" s="10"/>
      <c r="D348" s="10"/>
    </row>
    <row r="349" spans="1:4" ht="14.25" customHeight="1" x14ac:dyDescent="0.35">
      <c r="A349" s="10"/>
      <c r="B349" s="10"/>
      <c r="C349" s="10"/>
      <c r="D349" s="10"/>
    </row>
    <row r="350" spans="1:4" ht="14.25" customHeight="1" x14ac:dyDescent="0.35">
      <c r="A350" s="10"/>
      <c r="B350" s="10"/>
      <c r="C350" s="10"/>
      <c r="D350" s="10"/>
    </row>
    <row r="351" spans="1:4" ht="14.25" customHeight="1" x14ac:dyDescent="0.35">
      <c r="A351" s="10"/>
      <c r="B351" s="10"/>
      <c r="C351" s="10"/>
      <c r="D351" s="10"/>
    </row>
    <row r="352" spans="1:4" ht="14.25" customHeight="1" x14ac:dyDescent="0.35">
      <c r="A352" s="10"/>
      <c r="B352" s="10"/>
      <c r="C352" s="10"/>
      <c r="D352" s="10"/>
    </row>
    <row r="353" spans="1:4" ht="14.25" customHeight="1" x14ac:dyDescent="0.35">
      <c r="A353" s="10"/>
      <c r="B353" s="10"/>
      <c r="C353" s="10"/>
      <c r="D353" s="10"/>
    </row>
    <row r="354" spans="1:4" ht="14.25" customHeight="1" x14ac:dyDescent="0.35">
      <c r="A354" s="10"/>
      <c r="B354" s="10"/>
      <c r="C354" s="10"/>
      <c r="D354" s="10"/>
    </row>
    <row r="355" spans="1:4" ht="14.25" customHeight="1" x14ac:dyDescent="0.35">
      <c r="A355" s="10"/>
      <c r="B355" s="10"/>
      <c r="C355" s="10"/>
      <c r="D355" s="10"/>
    </row>
    <row r="356" spans="1:4" ht="14.25" customHeight="1" x14ac:dyDescent="0.35">
      <c r="A356" s="10"/>
      <c r="B356" s="10"/>
      <c r="C356" s="10"/>
      <c r="D356" s="10"/>
    </row>
    <row r="357" spans="1:4" ht="14.25" customHeight="1" x14ac:dyDescent="0.35">
      <c r="A357" s="10"/>
      <c r="B357" s="10"/>
      <c r="C357" s="10"/>
      <c r="D357" s="10"/>
    </row>
    <row r="358" spans="1:4" ht="14.25" customHeight="1" x14ac:dyDescent="0.35">
      <c r="A358" s="10"/>
      <c r="B358" s="10"/>
      <c r="C358" s="10"/>
      <c r="D358" s="10"/>
    </row>
    <row r="359" spans="1:4" ht="14.25" customHeight="1" x14ac:dyDescent="0.35">
      <c r="A359" s="10"/>
      <c r="B359" s="10"/>
      <c r="C359" s="10"/>
      <c r="D359" s="10"/>
    </row>
    <row r="360" spans="1:4" ht="14.25" customHeight="1" x14ac:dyDescent="0.35">
      <c r="A360" s="10"/>
      <c r="B360" s="10"/>
      <c r="C360" s="10"/>
      <c r="D360" s="10"/>
    </row>
    <row r="361" spans="1:4" ht="14.25" customHeight="1" x14ac:dyDescent="0.35">
      <c r="A361" s="10"/>
      <c r="B361" s="10"/>
      <c r="C361" s="10"/>
      <c r="D361" s="10"/>
    </row>
    <row r="362" spans="1:4" ht="14.25" customHeight="1" x14ac:dyDescent="0.35">
      <c r="A362" s="10"/>
      <c r="B362" s="10"/>
      <c r="C362" s="10"/>
      <c r="D362" s="10"/>
    </row>
    <row r="363" spans="1:4" ht="14.25" customHeight="1" x14ac:dyDescent="0.35">
      <c r="A363" s="10"/>
      <c r="B363" s="10"/>
      <c r="C363" s="10"/>
      <c r="D363" s="10"/>
    </row>
    <row r="364" spans="1:4" ht="14.25" customHeight="1" x14ac:dyDescent="0.35">
      <c r="A364" s="10"/>
      <c r="B364" s="10"/>
      <c r="C364" s="10"/>
      <c r="D364" s="10"/>
    </row>
    <row r="365" spans="1:4" ht="14.25" customHeight="1" x14ac:dyDescent="0.35">
      <c r="A365" s="10"/>
      <c r="B365" s="10"/>
      <c r="C365" s="10"/>
      <c r="D365" s="10"/>
    </row>
    <row r="366" spans="1:4" ht="14.25" customHeight="1" x14ac:dyDescent="0.35">
      <c r="A366" s="10"/>
      <c r="B366" s="10"/>
      <c r="C366" s="10"/>
      <c r="D366" s="10"/>
    </row>
    <row r="367" spans="1:4" ht="14.25" customHeight="1" x14ac:dyDescent="0.35">
      <c r="A367" s="10"/>
      <c r="B367" s="10"/>
      <c r="C367" s="10"/>
      <c r="D367" s="10"/>
    </row>
    <row r="368" spans="1:4" ht="14.25" customHeight="1" x14ac:dyDescent="0.35">
      <c r="A368" s="10"/>
      <c r="B368" s="10"/>
      <c r="C368" s="10"/>
      <c r="D368" s="10"/>
    </row>
    <row r="369" spans="1:4" ht="14.25" customHeight="1" x14ac:dyDescent="0.35">
      <c r="A369" s="10"/>
      <c r="B369" s="10"/>
      <c r="C369" s="10"/>
      <c r="D369" s="10"/>
    </row>
    <row r="370" spans="1:4" ht="14.25" customHeight="1" x14ac:dyDescent="0.35">
      <c r="A370" s="10"/>
      <c r="B370" s="10"/>
      <c r="C370" s="10"/>
      <c r="D370" s="10"/>
    </row>
    <row r="371" spans="1:4" ht="14.25" customHeight="1" x14ac:dyDescent="0.35">
      <c r="A371" s="10"/>
      <c r="B371" s="10"/>
      <c r="C371" s="10"/>
      <c r="D371" s="10"/>
    </row>
    <row r="372" spans="1:4" ht="14.25" customHeight="1" x14ac:dyDescent="0.35">
      <c r="A372" s="10"/>
      <c r="B372" s="10"/>
      <c r="C372" s="10"/>
      <c r="D372" s="10"/>
    </row>
    <row r="373" spans="1:4" ht="14.25" customHeight="1" x14ac:dyDescent="0.35">
      <c r="A373" s="10"/>
      <c r="B373" s="10"/>
      <c r="C373" s="10"/>
      <c r="D373" s="10"/>
    </row>
    <row r="374" spans="1:4" ht="14.25" customHeight="1" x14ac:dyDescent="0.35">
      <c r="A374" s="10"/>
      <c r="B374" s="10"/>
      <c r="C374" s="10"/>
      <c r="D374" s="10"/>
    </row>
    <row r="375" spans="1:4" ht="14.25" customHeight="1" x14ac:dyDescent="0.35">
      <c r="A375" s="10"/>
      <c r="B375" s="10"/>
      <c r="C375" s="10"/>
      <c r="D375" s="10"/>
    </row>
    <row r="376" spans="1:4" ht="14.25" customHeight="1" x14ac:dyDescent="0.35">
      <c r="A376" s="10"/>
      <c r="B376" s="10"/>
      <c r="C376" s="10"/>
      <c r="D376" s="10"/>
    </row>
    <row r="377" spans="1:4" ht="14.25" customHeight="1" x14ac:dyDescent="0.35">
      <c r="A377" s="10"/>
      <c r="B377" s="10"/>
      <c r="C377" s="10"/>
      <c r="D377" s="10"/>
    </row>
    <row r="378" spans="1:4" ht="14.25" customHeight="1" x14ac:dyDescent="0.35">
      <c r="A378" s="10"/>
      <c r="B378" s="10"/>
      <c r="C378" s="10"/>
      <c r="D378" s="10"/>
    </row>
    <row r="379" spans="1:4" ht="14.25" customHeight="1" x14ac:dyDescent="0.35">
      <c r="A379" s="10"/>
      <c r="B379" s="10"/>
      <c r="C379" s="10"/>
      <c r="D379" s="10"/>
    </row>
    <row r="380" spans="1:4" ht="14.25" customHeight="1" x14ac:dyDescent="0.35">
      <c r="A380" s="10"/>
      <c r="B380" s="10"/>
      <c r="C380" s="10"/>
      <c r="D380" s="10"/>
    </row>
    <row r="381" spans="1:4" ht="14.25" customHeight="1" x14ac:dyDescent="0.35">
      <c r="A381" s="10"/>
      <c r="B381" s="10"/>
      <c r="C381" s="10"/>
      <c r="D381" s="10"/>
    </row>
    <row r="382" spans="1:4" ht="14.25" customHeight="1" x14ac:dyDescent="0.35">
      <c r="A382" s="10"/>
      <c r="B382" s="10"/>
      <c r="C382" s="10"/>
      <c r="D382" s="10"/>
    </row>
    <row r="383" spans="1:4" ht="14.25" customHeight="1" x14ac:dyDescent="0.35">
      <c r="A383" s="10"/>
      <c r="B383" s="10"/>
      <c r="C383" s="10"/>
      <c r="D383" s="10"/>
    </row>
    <row r="384" spans="1:4" ht="14.25" customHeight="1" x14ac:dyDescent="0.35">
      <c r="A384" s="10"/>
      <c r="B384" s="10"/>
      <c r="C384" s="10"/>
      <c r="D384" s="10"/>
    </row>
    <row r="385" spans="1:4" ht="14.25" customHeight="1" x14ac:dyDescent="0.35">
      <c r="A385" s="10"/>
      <c r="B385" s="10"/>
      <c r="C385" s="10"/>
      <c r="D385" s="10"/>
    </row>
    <row r="386" spans="1:4" ht="14.25" customHeight="1" x14ac:dyDescent="0.35">
      <c r="A386" s="10"/>
      <c r="B386" s="10"/>
      <c r="C386" s="10"/>
      <c r="D386" s="10"/>
    </row>
    <row r="387" spans="1:4" ht="14.25" customHeight="1" x14ac:dyDescent="0.35">
      <c r="A387" s="10"/>
      <c r="B387" s="10"/>
      <c r="C387" s="10"/>
      <c r="D387" s="10"/>
    </row>
    <row r="388" spans="1:4" ht="14.25" customHeight="1" x14ac:dyDescent="0.35">
      <c r="A388" s="10"/>
      <c r="B388" s="10"/>
      <c r="C388" s="10"/>
      <c r="D388" s="10"/>
    </row>
    <row r="389" spans="1:4" ht="14.25" customHeight="1" x14ac:dyDescent="0.35">
      <c r="A389" s="10"/>
      <c r="B389" s="10"/>
      <c r="C389" s="10"/>
      <c r="D389" s="10"/>
    </row>
    <row r="390" spans="1:4" ht="14.25" customHeight="1" x14ac:dyDescent="0.35">
      <c r="A390" s="10"/>
      <c r="B390" s="10"/>
      <c r="C390" s="10"/>
      <c r="D390" s="10"/>
    </row>
    <row r="391" spans="1:4" ht="14.25" customHeight="1" x14ac:dyDescent="0.35">
      <c r="A391" s="10"/>
      <c r="B391" s="10"/>
      <c r="C391" s="10"/>
      <c r="D391" s="10"/>
    </row>
    <row r="392" spans="1:4" ht="14.25" customHeight="1" x14ac:dyDescent="0.35">
      <c r="A392" s="10"/>
      <c r="B392" s="10"/>
      <c r="C392" s="10"/>
      <c r="D392" s="10"/>
    </row>
    <row r="393" spans="1:4" ht="14.25" customHeight="1" x14ac:dyDescent="0.35">
      <c r="A393" s="10"/>
      <c r="B393" s="10"/>
      <c r="C393" s="10"/>
      <c r="D393" s="10"/>
    </row>
    <row r="394" spans="1:4" ht="14.25" customHeight="1" x14ac:dyDescent="0.35">
      <c r="A394" s="10"/>
      <c r="B394" s="10"/>
      <c r="C394" s="10"/>
      <c r="D394" s="10"/>
    </row>
    <row r="395" spans="1:4" ht="14.25" customHeight="1" x14ac:dyDescent="0.35">
      <c r="A395" s="10"/>
      <c r="B395" s="10"/>
      <c r="C395" s="10"/>
      <c r="D395" s="10"/>
    </row>
    <row r="396" spans="1:4" ht="14.25" customHeight="1" x14ac:dyDescent="0.35">
      <c r="A396" s="10"/>
      <c r="B396" s="10"/>
      <c r="C396" s="10"/>
      <c r="D396" s="10"/>
    </row>
    <row r="397" spans="1:4" ht="14.25" customHeight="1" x14ac:dyDescent="0.35">
      <c r="A397" s="10"/>
      <c r="B397" s="10"/>
      <c r="C397" s="10"/>
      <c r="D397" s="10"/>
    </row>
    <row r="398" spans="1:4" ht="14.25" customHeight="1" x14ac:dyDescent="0.35">
      <c r="A398" s="10"/>
      <c r="B398" s="10"/>
      <c r="C398" s="10"/>
      <c r="D398" s="10"/>
    </row>
    <row r="399" spans="1:4" ht="14.25" customHeight="1" x14ac:dyDescent="0.35">
      <c r="A399" s="10"/>
      <c r="B399" s="10"/>
      <c r="C399" s="10"/>
      <c r="D399" s="10"/>
    </row>
    <row r="400" spans="1:4" ht="14.25" customHeight="1" x14ac:dyDescent="0.35">
      <c r="A400" s="10"/>
      <c r="B400" s="10"/>
      <c r="C400" s="10"/>
      <c r="D400" s="10"/>
    </row>
    <row r="401" spans="1:4" ht="14.25" customHeight="1" x14ac:dyDescent="0.35">
      <c r="A401" s="10"/>
      <c r="B401" s="10"/>
      <c r="C401" s="10"/>
      <c r="D401" s="10"/>
    </row>
    <row r="402" spans="1:4" ht="14.25" customHeight="1" x14ac:dyDescent="0.35">
      <c r="A402" s="10"/>
      <c r="B402" s="10"/>
      <c r="C402" s="10"/>
      <c r="D402" s="10"/>
    </row>
    <row r="403" spans="1:4" ht="14.25" customHeight="1" x14ac:dyDescent="0.35">
      <c r="A403" s="10"/>
      <c r="B403" s="10"/>
      <c r="C403" s="10"/>
      <c r="D403" s="10"/>
    </row>
    <row r="404" spans="1:4" ht="14.25" customHeight="1" x14ac:dyDescent="0.35">
      <c r="A404" s="10"/>
      <c r="B404" s="10"/>
      <c r="C404" s="10"/>
      <c r="D404" s="10"/>
    </row>
    <row r="405" spans="1:4" ht="14.25" customHeight="1" x14ac:dyDescent="0.35">
      <c r="A405" s="10"/>
      <c r="B405" s="10"/>
      <c r="C405" s="10"/>
      <c r="D405" s="10"/>
    </row>
    <row r="406" spans="1:4" ht="14.25" customHeight="1" x14ac:dyDescent="0.35">
      <c r="A406" s="10"/>
      <c r="B406" s="10"/>
      <c r="C406" s="10"/>
      <c r="D406" s="10"/>
    </row>
    <row r="407" spans="1:4" ht="14.25" customHeight="1" x14ac:dyDescent="0.35">
      <c r="A407" s="10"/>
      <c r="B407" s="10"/>
      <c r="C407" s="10"/>
      <c r="D407" s="10"/>
    </row>
    <row r="408" spans="1:4" ht="14.25" customHeight="1" x14ac:dyDescent="0.35">
      <c r="A408" s="10"/>
      <c r="B408" s="10"/>
      <c r="C408" s="10"/>
      <c r="D408" s="10"/>
    </row>
    <row r="409" spans="1:4" ht="14.25" customHeight="1" x14ac:dyDescent="0.35">
      <c r="A409" s="10"/>
      <c r="B409" s="10"/>
      <c r="C409" s="10"/>
      <c r="D409" s="10"/>
    </row>
    <row r="410" spans="1:4" ht="14.25" customHeight="1" x14ac:dyDescent="0.35">
      <c r="A410" s="10"/>
      <c r="B410" s="10"/>
      <c r="C410" s="10"/>
      <c r="D410" s="10"/>
    </row>
    <row r="411" spans="1:4" ht="14.25" customHeight="1" x14ac:dyDescent="0.35">
      <c r="A411" s="10"/>
      <c r="B411" s="10"/>
      <c r="C411" s="10"/>
      <c r="D411" s="10"/>
    </row>
    <row r="412" spans="1:4" ht="14.25" customHeight="1" x14ac:dyDescent="0.35">
      <c r="A412" s="10"/>
      <c r="B412" s="10"/>
      <c r="C412" s="10"/>
      <c r="D412" s="10"/>
    </row>
    <row r="413" spans="1:4" ht="14.25" customHeight="1" x14ac:dyDescent="0.35">
      <c r="A413" s="10"/>
      <c r="B413" s="10"/>
      <c r="C413" s="10"/>
      <c r="D413" s="10"/>
    </row>
    <row r="414" spans="1:4" ht="14.25" customHeight="1" x14ac:dyDescent="0.35">
      <c r="A414" s="10"/>
      <c r="B414" s="10"/>
      <c r="C414" s="10"/>
      <c r="D414" s="10"/>
    </row>
    <row r="415" spans="1:4" ht="14.25" customHeight="1" x14ac:dyDescent="0.35">
      <c r="A415" s="10"/>
      <c r="B415" s="10"/>
      <c r="C415" s="10"/>
      <c r="D415" s="10"/>
    </row>
    <row r="416" spans="1:4" ht="14.25" customHeight="1" x14ac:dyDescent="0.35">
      <c r="A416" s="10"/>
      <c r="B416" s="10"/>
      <c r="C416" s="10"/>
      <c r="D416" s="10"/>
    </row>
    <row r="417" spans="1:4" ht="14.25" customHeight="1" x14ac:dyDescent="0.35">
      <c r="A417" s="10"/>
      <c r="B417" s="10"/>
      <c r="C417" s="10"/>
      <c r="D417" s="10"/>
    </row>
    <row r="418" spans="1:4" ht="14.25" customHeight="1" x14ac:dyDescent="0.35">
      <c r="A418" s="10"/>
      <c r="B418" s="10"/>
      <c r="C418" s="10"/>
      <c r="D418" s="10"/>
    </row>
    <row r="419" spans="1:4" ht="14.25" customHeight="1" x14ac:dyDescent="0.35">
      <c r="A419" s="10"/>
      <c r="B419" s="10"/>
      <c r="C419" s="10"/>
      <c r="D419" s="10"/>
    </row>
    <row r="420" spans="1:4" ht="14.25" customHeight="1" x14ac:dyDescent="0.35">
      <c r="A420" s="10"/>
      <c r="B420" s="10"/>
      <c r="C420" s="10"/>
      <c r="D420" s="10"/>
    </row>
    <row r="421" spans="1:4" ht="14.25" customHeight="1" x14ac:dyDescent="0.35">
      <c r="A421" s="10"/>
      <c r="B421" s="10"/>
      <c r="C421" s="10"/>
      <c r="D421" s="10"/>
    </row>
    <row r="422" spans="1:4" ht="14.25" customHeight="1" x14ac:dyDescent="0.35">
      <c r="A422" s="10"/>
      <c r="B422" s="10"/>
      <c r="C422" s="10"/>
      <c r="D422" s="10"/>
    </row>
    <row r="423" spans="1:4" ht="14.25" customHeight="1" x14ac:dyDescent="0.35">
      <c r="A423" s="10"/>
      <c r="B423" s="10"/>
      <c r="C423" s="10"/>
      <c r="D423" s="10"/>
    </row>
    <row r="424" spans="1:4" ht="14.25" customHeight="1" x14ac:dyDescent="0.35">
      <c r="A424" s="10"/>
      <c r="B424" s="10"/>
      <c r="C424" s="10"/>
      <c r="D424" s="10"/>
    </row>
    <row r="425" spans="1:4" ht="14.25" customHeight="1" x14ac:dyDescent="0.35">
      <c r="A425" s="10"/>
      <c r="B425" s="10"/>
      <c r="C425" s="10"/>
      <c r="D425" s="10"/>
    </row>
    <row r="426" spans="1:4" ht="14.25" customHeight="1" x14ac:dyDescent="0.35">
      <c r="A426" s="10"/>
      <c r="B426" s="10"/>
      <c r="C426" s="10"/>
      <c r="D426" s="10"/>
    </row>
    <row r="427" spans="1:4" ht="14.25" customHeight="1" x14ac:dyDescent="0.35">
      <c r="A427" s="10"/>
      <c r="B427" s="10"/>
      <c r="C427" s="10"/>
      <c r="D427" s="10"/>
    </row>
    <row r="428" spans="1:4" ht="14.25" customHeight="1" x14ac:dyDescent="0.35">
      <c r="A428" s="10"/>
      <c r="B428" s="10"/>
      <c r="C428" s="10"/>
      <c r="D428" s="10"/>
    </row>
    <row r="429" spans="1:4" ht="14.25" customHeight="1" x14ac:dyDescent="0.35">
      <c r="A429" s="10"/>
      <c r="B429" s="10"/>
      <c r="C429" s="10"/>
      <c r="D429" s="10"/>
    </row>
    <row r="430" spans="1:4" ht="14.25" customHeight="1" x14ac:dyDescent="0.35">
      <c r="A430" s="10"/>
      <c r="B430" s="10"/>
      <c r="C430" s="10"/>
      <c r="D430" s="10"/>
    </row>
    <row r="431" spans="1:4" ht="14.25" customHeight="1" x14ac:dyDescent="0.35">
      <c r="A431" s="10"/>
      <c r="B431" s="10"/>
      <c r="C431" s="10"/>
      <c r="D431" s="10"/>
    </row>
    <row r="432" spans="1:4" ht="14.25" customHeight="1" x14ac:dyDescent="0.35">
      <c r="A432" s="10"/>
      <c r="B432" s="10"/>
      <c r="C432" s="10"/>
      <c r="D432" s="10"/>
    </row>
    <row r="433" spans="1:4" ht="14.25" customHeight="1" x14ac:dyDescent="0.35">
      <c r="A433" s="10"/>
      <c r="B433" s="10"/>
      <c r="C433" s="10"/>
      <c r="D433" s="10"/>
    </row>
    <row r="434" spans="1:4" ht="14.25" customHeight="1" x14ac:dyDescent="0.35">
      <c r="A434" s="10"/>
      <c r="B434" s="10"/>
      <c r="C434" s="10"/>
      <c r="D434" s="10"/>
    </row>
    <row r="435" spans="1:4" ht="14.25" customHeight="1" x14ac:dyDescent="0.35">
      <c r="A435" s="10"/>
      <c r="B435" s="10"/>
      <c r="C435" s="10"/>
      <c r="D435" s="10"/>
    </row>
    <row r="436" spans="1:4" ht="14.25" customHeight="1" x14ac:dyDescent="0.35">
      <c r="A436" s="10"/>
      <c r="B436" s="10"/>
      <c r="C436" s="10"/>
      <c r="D436" s="10"/>
    </row>
    <row r="437" spans="1:4" ht="14.25" customHeight="1" x14ac:dyDescent="0.35">
      <c r="A437" s="10"/>
      <c r="B437" s="10"/>
      <c r="C437" s="10"/>
      <c r="D437" s="10"/>
    </row>
    <row r="438" spans="1:4" ht="14.25" customHeight="1" x14ac:dyDescent="0.35">
      <c r="A438" s="10"/>
      <c r="B438" s="10"/>
      <c r="C438" s="10"/>
      <c r="D438" s="10"/>
    </row>
    <row r="439" spans="1:4" ht="14.25" customHeight="1" x14ac:dyDescent="0.35">
      <c r="A439" s="10"/>
      <c r="B439" s="10"/>
      <c r="C439" s="10"/>
      <c r="D439" s="10"/>
    </row>
    <row r="440" spans="1:4" ht="14.25" customHeight="1" x14ac:dyDescent="0.35">
      <c r="A440" s="10"/>
      <c r="B440" s="10"/>
      <c r="C440" s="10"/>
      <c r="D440" s="10"/>
    </row>
    <row r="441" spans="1:4" ht="14.25" customHeight="1" x14ac:dyDescent="0.35">
      <c r="A441" s="10"/>
      <c r="B441" s="10"/>
      <c r="C441" s="10"/>
      <c r="D441" s="10"/>
    </row>
    <row r="442" spans="1:4" ht="14.25" customHeight="1" x14ac:dyDescent="0.35">
      <c r="A442" s="10"/>
      <c r="B442" s="10"/>
      <c r="C442" s="10"/>
      <c r="D442" s="10"/>
    </row>
    <row r="443" spans="1:4" ht="14.25" customHeight="1" x14ac:dyDescent="0.35">
      <c r="A443" s="10"/>
      <c r="B443" s="10"/>
      <c r="C443" s="10"/>
      <c r="D443" s="10"/>
    </row>
    <row r="444" spans="1:4" ht="14.25" customHeight="1" x14ac:dyDescent="0.35">
      <c r="A444" s="10"/>
      <c r="B444" s="10"/>
      <c r="C444" s="10"/>
      <c r="D444" s="10"/>
    </row>
    <row r="445" spans="1:4" ht="14.25" customHeight="1" x14ac:dyDescent="0.35">
      <c r="A445" s="10"/>
      <c r="B445" s="10"/>
      <c r="C445" s="10"/>
      <c r="D445" s="10"/>
    </row>
    <row r="446" spans="1:4" ht="14.25" customHeight="1" x14ac:dyDescent="0.35">
      <c r="A446" s="10"/>
      <c r="B446" s="10"/>
      <c r="C446" s="10"/>
      <c r="D446" s="10"/>
    </row>
    <row r="447" spans="1:4" ht="14.25" customHeight="1" x14ac:dyDescent="0.35">
      <c r="A447" s="10"/>
      <c r="B447" s="10"/>
      <c r="C447" s="10"/>
      <c r="D447" s="10"/>
    </row>
    <row r="448" spans="1:4" ht="14.25" customHeight="1" x14ac:dyDescent="0.35">
      <c r="A448" s="10"/>
      <c r="B448" s="10"/>
      <c r="C448" s="10"/>
      <c r="D448" s="10"/>
    </row>
    <row r="449" spans="1:4" ht="14.25" customHeight="1" x14ac:dyDescent="0.35">
      <c r="A449" s="10"/>
      <c r="B449" s="10"/>
      <c r="C449" s="10"/>
      <c r="D449" s="10"/>
    </row>
    <row r="450" spans="1:4" ht="14.25" customHeight="1" x14ac:dyDescent="0.35">
      <c r="A450" s="10"/>
      <c r="B450" s="10"/>
      <c r="C450" s="10"/>
      <c r="D450" s="10"/>
    </row>
    <row r="451" spans="1:4" ht="14.25" customHeight="1" x14ac:dyDescent="0.35">
      <c r="A451" s="10"/>
      <c r="B451" s="10"/>
      <c r="C451" s="10"/>
      <c r="D451" s="10"/>
    </row>
    <row r="452" spans="1:4" ht="14.25" customHeight="1" x14ac:dyDescent="0.35">
      <c r="A452" s="10"/>
      <c r="B452" s="10"/>
      <c r="C452" s="10"/>
      <c r="D452" s="10"/>
    </row>
    <row r="453" spans="1:4" ht="14.25" customHeight="1" x14ac:dyDescent="0.35">
      <c r="A453" s="10"/>
      <c r="B453" s="10"/>
      <c r="C453" s="10"/>
      <c r="D453" s="10"/>
    </row>
    <row r="454" spans="1:4" ht="14.25" customHeight="1" x14ac:dyDescent="0.35">
      <c r="A454" s="10"/>
      <c r="B454" s="10"/>
      <c r="C454" s="10"/>
      <c r="D454" s="10"/>
    </row>
    <row r="455" spans="1:4" ht="14.25" customHeight="1" x14ac:dyDescent="0.35">
      <c r="A455" s="10"/>
      <c r="B455" s="10"/>
      <c r="C455" s="10"/>
      <c r="D455" s="10"/>
    </row>
    <row r="456" spans="1:4" ht="14.25" customHeight="1" x14ac:dyDescent="0.35">
      <c r="A456" s="10"/>
      <c r="B456" s="10"/>
      <c r="C456" s="10"/>
      <c r="D456" s="10"/>
    </row>
    <row r="457" spans="1:4" ht="14.25" customHeight="1" x14ac:dyDescent="0.35">
      <c r="A457" s="10"/>
      <c r="B457" s="10"/>
      <c r="C457" s="10"/>
      <c r="D457" s="10"/>
    </row>
    <row r="458" spans="1:4" ht="14.25" customHeight="1" x14ac:dyDescent="0.35">
      <c r="A458" s="10"/>
      <c r="B458" s="10"/>
      <c r="C458" s="10"/>
      <c r="D458" s="10"/>
    </row>
    <row r="459" spans="1:4" ht="14.25" customHeight="1" x14ac:dyDescent="0.35">
      <c r="A459" s="10"/>
      <c r="B459" s="10"/>
      <c r="C459" s="10"/>
      <c r="D459" s="10"/>
    </row>
    <row r="460" spans="1:4" ht="14.25" customHeight="1" x14ac:dyDescent="0.35">
      <c r="A460" s="10"/>
      <c r="B460" s="10"/>
      <c r="C460" s="10"/>
      <c r="D460" s="10"/>
    </row>
    <row r="461" spans="1:4" ht="14.25" customHeight="1" x14ac:dyDescent="0.35">
      <c r="A461" s="10"/>
      <c r="B461" s="10"/>
      <c r="C461" s="10"/>
      <c r="D461" s="10"/>
    </row>
    <row r="462" spans="1:4" ht="14.25" customHeight="1" x14ac:dyDescent="0.35">
      <c r="A462" s="10"/>
      <c r="B462" s="10"/>
      <c r="C462" s="10"/>
      <c r="D462" s="10"/>
    </row>
    <row r="463" spans="1:4" ht="14.25" customHeight="1" x14ac:dyDescent="0.35">
      <c r="A463" s="10"/>
      <c r="B463" s="10"/>
      <c r="C463" s="10"/>
      <c r="D463" s="10"/>
    </row>
    <row r="464" spans="1:4" ht="14.25" customHeight="1" x14ac:dyDescent="0.35">
      <c r="A464" s="10"/>
      <c r="B464" s="10"/>
      <c r="C464" s="10"/>
      <c r="D464" s="10"/>
    </row>
    <row r="465" spans="1:4" ht="14.25" customHeight="1" x14ac:dyDescent="0.35">
      <c r="A465" s="10"/>
      <c r="B465" s="10"/>
      <c r="C465" s="10"/>
      <c r="D465" s="10"/>
    </row>
    <row r="466" spans="1:4" ht="14.25" customHeight="1" x14ac:dyDescent="0.35">
      <c r="A466" s="10"/>
      <c r="B466" s="10"/>
      <c r="C466" s="10"/>
      <c r="D466" s="10"/>
    </row>
    <row r="467" spans="1:4" ht="14.25" customHeight="1" x14ac:dyDescent="0.35">
      <c r="A467" s="10"/>
      <c r="B467" s="10"/>
      <c r="C467" s="10"/>
      <c r="D467" s="10"/>
    </row>
    <row r="468" spans="1:4" ht="14.25" customHeight="1" x14ac:dyDescent="0.35">
      <c r="A468" s="10"/>
      <c r="B468" s="10"/>
      <c r="C468" s="10"/>
      <c r="D468" s="10"/>
    </row>
    <row r="469" spans="1:4" ht="14.25" customHeight="1" x14ac:dyDescent="0.35">
      <c r="A469" s="10"/>
      <c r="B469" s="10"/>
      <c r="C469" s="10"/>
      <c r="D469" s="10"/>
    </row>
    <row r="470" spans="1:4" ht="14.25" customHeight="1" x14ac:dyDescent="0.35">
      <c r="A470" s="10"/>
      <c r="B470" s="10"/>
      <c r="C470" s="10"/>
      <c r="D470" s="10"/>
    </row>
    <row r="471" spans="1:4" ht="14.25" customHeight="1" x14ac:dyDescent="0.35">
      <c r="A471" s="10"/>
      <c r="B471" s="10"/>
      <c r="C471" s="10"/>
      <c r="D471" s="10"/>
    </row>
    <row r="472" spans="1:4" ht="14.25" customHeight="1" x14ac:dyDescent="0.35">
      <c r="A472" s="10"/>
      <c r="B472" s="10"/>
      <c r="C472" s="10"/>
      <c r="D472" s="10"/>
    </row>
    <row r="473" spans="1:4" ht="14.25" customHeight="1" x14ac:dyDescent="0.35">
      <c r="A473" s="10"/>
      <c r="B473" s="10"/>
      <c r="C473" s="10"/>
      <c r="D473" s="10"/>
    </row>
    <row r="474" spans="1:4" ht="14.25" customHeight="1" x14ac:dyDescent="0.35">
      <c r="A474" s="10"/>
      <c r="B474" s="10"/>
      <c r="C474" s="10"/>
      <c r="D474" s="10"/>
    </row>
    <row r="475" spans="1:4" ht="14.25" customHeight="1" x14ac:dyDescent="0.35">
      <c r="A475" s="10"/>
      <c r="B475" s="10"/>
      <c r="C475" s="10"/>
      <c r="D475" s="10"/>
    </row>
    <row r="476" spans="1:4" ht="14.25" customHeight="1" x14ac:dyDescent="0.35">
      <c r="A476" s="10"/>
      <c r="B476" s="10"/>
      <c r="C476" s="10"/>
      <c r="D476" s="10"/>
    </row>
    <row r="477" spans="1:4" ht="14.25" customHeight="1" x14ac:dyDescent="0.35">
      <c r="A477" s="10"/>
      <c r="B477" s="10"/>
      <c r="C477" s="10"/>
      <c r="D477" s="10"/>
    </row>
    <row r="478" spans="1:4" ht="14.25" customHeight="1" x14ac:dyDescent="0.35">
      <c r="A478" s="10"/>
      <c r="B478" s="10"/>
      <c r="C478" s="10"/>
      <c r="D478" s="10"/>
    </row>
    <row r="479" spans="1:4" ht="14.25" customHeight="1" x14ac:dyDescent="0.35">
      <c r="A479" s="10"/>
      <c r="B479" s="10"/>
      <c r="C479" s="10"/>
      <c r="D479" s="10"/>
    </row>
    <row r="480" spans="1:4" ht="14.25" customHeight="1" x14ac:dyDescent="0.35">
      <c r="A480" s="10"/>
      <c r="B480" s="10"/>
      <c r="C480" s="10"/>
      <c r="D480" s="10"/>
    </row>
    <row r="481" spans="1:4" ht="14.25" customHeight="1" x14ac:dyDescent="0.35">
      <c r="A481" s="10"/>
      <c r="B481" s="10"/>
      <c r="C481" s="10"/>
      <c r="D481" s="10"/>
    </row>
    <row r="482" spans="1:4" ht="14.25" customHeight="1" x14ac:dyDescent="0.35">
      <c r="A482" s="10"/>
      <c r="B482" s="10"/>
      <c r="C482" s="10"/>
      <c r="D482" s="10"/>
    </row>
    <row r="483" spans="1:4" ht="14.25" customHeight="1" x14ac:dyDescent="0.35">
      <c r="A483" s="10"/>
      <c r="B483" s="10"/>
      <c r="C483" s="10"/>
      <c r="D483" s="10"/>
    </row>
    <row r="484" spans="1:4" ht="14.25" customHeight="1" x14ac:dyDescent="0.35">
      <c r="A484" s="10"/>
      <c r="B484" s="10"/>
      <c r="C484" s="10"/>
      <c r="D484" s="10"/>
    </row>
    <row r="485" spans="1:4" ht="14.25" customHeight="1" x14ac:dyDescent="0.35">
      <c r="A485" s="10"/>
      <c r="B485" s="10"/>
      <c r="C485" s="10"/>
      <c r="D485" s="10"/>
    </row>
    <row r="486" spans="1:4" ht="14.25" customHeight="1" x14ac:dyDescent="0.35">
      <c r="A486" s="10"/>
      <c r="B486" s="10"/>
      <c r="C486" s="10"/>
      <c r="D486" s="10"/>
    </row>
    <row r="487" spans="1:4" ht="14.25" customHeight="1" x14ac:dyDescent="0.35">
      <c r="A487" s="10"/>
      <c r="B487" s="10"/>
      <c r="C487" s="10"/>
      <c r="D487" s="10"/>
    </row>
    <row r="488" spans="1:4" ht="14.25" customHeight="1" x14ac:dyDescent="0.35">
      <c r="A488" s="10"/>
      <c r="B488" s="10"/>
      <c r="C488" s="10"/>
      <c r="D488" s="10"/>
    </row>
    <row r="489" spans="1:4" ht="14.25" customHeight="1" x14ac:dyDescent="0.35">
      <c r="A489" s="10"/>
      <c r="B489" s="10"/>
      <c r="C489" s="10"/>
      <c r="D489" s="10"/>
    </row>
    <row r="490" spans="1:4" ht="14.25" customHeight="1" x14ac:dyDescent="0.35">
      <c r="A490" s="10"/>
      <c r="B490" s="10"/>
      <c r="C490" s="10"/>
      <c r="D490" s="10"/>
    </row>
    <row r="491" spans="1:4" ht="14.25" customHeight="1" x14ac:dyDescent="0.35">
      <c r="A491" s="10"/>
      <c r="B491" s="10"/>
      <c r="C491" s="10"/>
      <c r="D491" s="10"/>
    </row>
    <row r="492" spans="1:4" ht="14.25" customHeight="1" x14ac:dyDescent="0.35">
      <c r="A492" s="10"/>
      <c r="B492" s="10"/>
      <c r="C492" s="10"/>
      <c r="D492" s="10"/>
    </row>
    <row r="493" spans="1:4" ht="14.25" customHeight="1" x14ac:dyDescent="0.35">
      <c r="A493" s="10"/>
      <c r="B493" s="10"/>
      <c r="C493" s="10"/>
      <c r="D493" s="10"/>
    </row>
    <row r="494" spans="1:4" ht="14.25" customHeight="1" x14ac:dyDescent="0.35">
      <c r="A494" s="10"/>
      <c r="B494" s="10"/>
      <c r="C494" s="10"/>
      <c r="D494" s="10"/>
    </row>
    <row r="495" spans="1:4" ht="14.25" customHeight="1" x14ac:dyDescent="0.35">
      <c r="A495" s="10"/>
      <c r="B495" s="10"/>
      <c r="C495" s="10"/>
      <c r="D495" s="10"/>
    </row>
    <row r="496" spans="1:4" ht="14.25" customHeight="1" x14ac:dyDescent="0.35">
      <c r="A496" s="10"/>
      <c r="B496" s="10"/>
      <c r="C496" s="10"/>
      <c r="D496" s="10"/>
    </row>
    <row r="497" spans="1:4" ht="14.25" customHeight="1" x14ac:dyDescent="0.35">
      <c r="A497" s="10"/>
      <c r="B497" s="10"/>
      <c r="C497" s="10"/>
      <c r="D497" s="10"/>
    </row>
    <row r="498" spans="1:4" ht="14.25" customHeight="1" x14ac:dyDescent="0.35">
      <c r="A498" s="10"/>
      <c r="B498" s="10"/>
      <c r="C498" s="10"/>
      <c r="D498" s="10"/>
    </row>
    <row r="499" spans="1:4" ht="14.25" customHeight="1" x14ac:dyDescent="0.35">
      <c r="A499" s="10"/>
      <c r="B499" s="10"/>
      <c r="C499" s="10"/>
      <c r="D499" s="10"/>
    </row>
    <row r="500" spans="1:4" ht="14.25" customHeight="1" x14ac:dyDescent="0.35">
      <c r="A500" s="10"/>
      <c r="B500" s="10"/>
      <c r="C500" s="10"/>
      <c r="D500" s="10"/>
    </row>
    <row r="501" spans="1:4" ht="14.25" customHeight="1" x14ac:dyDescent="0.35">
      <c r="A501" s="10"/>
      <c r="B501" s="10"/>
      <c r="C501" s="10"/>
      <c r="D501" s="10"/>
    </row>
    <row r="502" spans="1:4" ht="14.25" customHeight="1" x14ac:dyDescent="0.35">
      <c r="A502" s="10"/>
      <c r="B502" s="10"/>
      <c r="C502" s="10"/>
      <c r="D502" s="10"/>
    </row>
    <row r="503" spans="1:4" ht="14.25" customHeight="1" x14ac:dyDescent="0.35">
      <c r="A503" s="10"/>
      <c r="B503" s="10"/>
      <c r="C503" s="10"/>
      <c r="D503" s="10"/>
    </row>
    <row r="504" spans="1:4" ht="14.25" customHeight="1" x14ac:dyDescent="0.35">
      <c r="A504" s="10"/>
      <c r="B504" s="10"/>
      <c r="C504" s="10"/>
      <c r="D504" s="10"/>
    </row>
    <row r="505" spans="1:4" ht="14.25" customHeight="1" x14ac:dyDescent="0.35">
      <c r="A505" s="10"/>
      <c r="B505" s="10"/>
      <c r="C505" s="10"/>
      <c r="D505" s="10"/>
    </row>
    <row r="506" spans="1:4" ht="14.25" customHeight="1" x14ac:dyDescent="0.35">
      <c r="A506" s="10"/>
      <c r="B506" s="10"/>
      <c r="C506" s="10"/>
      <c r="D506" s="10"/>
    </row>
    <row r="507" spans="1:4" ht="14.25" customHeight="1" x14ac:dyDescent="0.35">
      <c r="A507" s="10"/>
      <c r="B507" s="10"/>
      <c r="C507" s="10"/>
      <c r="D507" s="10"/>
    </row>
    <row r="508" spans="1:4" ht="14.25" customHeight="1" x14ac:dyDescent="0.35">
      <c r="A508" s="10"/>
      <c r="B508" s="10"/>
      <c r="C508" s="10"/>
      <c r="D508" s="10"/>
    </row>
    <row r="509" spans="1:4" ht="14.25" customHeight="1" x14ac:dyDescent="0.35">
      <c r="A509" s="10"/>
      <c r="B509" s="10"/>
      <c r="C509" s="10"/>
      <c r="D509" s="10"/>
    </row>
    <row r="510" spans="1:4" ht="14.25" customHeight="1" x14ac:dyDescent="0.35">
      <c r="A510" s="10"/>
      <c r="B510" s="10"/>
      <c r="C510" s="10"/>
      <c r="D510" s="10"/>
    </row>
    <row r="511" spans="1:4" ht="14.25" customHeight="1" x14ac:dyDescent="0.35">
      <c r="A511" s="10"/>
      <c r="B511" s="10"/>
      <c r="C511" s="10"/>
      <c r="D511" s="10"/>
    </row>
    <row r="512" spans="1:4" ht="14.25" customHeight="1" x14ac:dyDescent="0.35">
      <c r="A512" s="10"/>
      <c r="B512" s="10"/>
      <c r="C512" s="10"/>
      <c r="D512" s="10"/>
    </row>
    <row r="513" spans="1:4" ht="14.25" customHeight="1" x14ac:dyDescent="0.35">
      <c r="A513" s="10"/>
      <c r="B513" s="10"/>
      <c r="C513" s="10"/>
      <c r="D513" s="10"/>
    </row>
    <row r="514" spans="1:4" ht="14.25" customHeight="1" x14ac:dyDescent="0.35">
      <c r="A514" s="10"/>
      <c r="B514" s="10"/>
      <c r="C514" s="10"/>
      <c r="D514" s="10"/>
    </row>
    <row r="515" spans="1:4" ht="14.25" customHeight="1" x14ac:dyDescent="0.35">
      <c r="A515" s="10"/>
      <c r="B515" s="10"/>
      <c r="C515" s="10"/>
      <c r="D515" s="10"/>
    </row>
    <row r="516" spans="1:4" ht="14.25" customHeight="1" x14ac:dyDescent="0.35">
      <c r="A516" s="10"/>
      <c r="B516" s="10"/>
      <c r="C516" s="10"/>
      <c r="D516" s="10"/>
    </row>
    <row r="517" spans="1:4" ht="14.25" customHeight="1" x14ac:dyDescent="0.35">
      <c r="A517" s="10"/>
      <c r="B517" s="10"/>
      <c r="C517" s="10"/>
      <c r="D517" s="10"/>
    </row>
    <row r="518" spans="1:4" ht="14.25" customHeight="1" x14ac:dyDescent="0.35">
      <c r="A518" s="10"/>
      <c r="B518" s="10"/>
      <c r="C518" s="10"/>
      <c r="D518" s="10"/>
    </row>
    <row r="519" spans="1:4" ht="14.25" customHeight="1" x14ac:dyDescent="0.35">
      <c r="A519" s="10"/>
      <c r="B519" s="10"/>
      <c r="C519" s="10"/>
      <c r="D519" s="10"/>
    </row>
    <row r="520" spans="1:4" ht="14.25" customHeight="1" x14ac:dyDescent="0.35">
      <c r="A520" s="10"/>
      <c r="B520" s="10"/>
      <c r="C520" s="10"/>
      <c r="D520" s="10"/>
    </row>
    <row r="521" spans="1:4" ht="14.25" customHeight="1" x14ac:dyDescent="0.35">
      <c r="A521" s="10"/>
      <c r="B521" s="10"/>
      <c r="C521" s="10"/>
      <c r="D521" s="10"/>
    </row>
    <row r="522" spans="1:4" ht="14.25" customHeight="1" x14ac:dyDescent="0.35">
      <c r="A522" s="10"/>
      <c r="B522" s="10"/>
      <c r="C522" s="10"/>
      <c r="D522" s="10"/>
    </row>
    <row r="523" spans="1:4" ht="14.25" customHeight="1" x14ac:dyDescent="0.35">
      <c r="A523" s="10"/>
      <c r="B523" s="10"/>
      <c r="C523" s="10"/>
      <c r="D523" s="10"/>
    </row>
    <row r="524" spans="1:4" ht="14.25" customHeight="1" x14ac:dyDescent="0.35">
      <c r="A524" s="10"/>
      <c r="B524" s="10"/>
      <c r="C524" s="10"/>
      <c r="D524" s="10"/>
    </row>
    <row r="525" spans="1:4" ht="14.25" customHeight="1" x14ac:dyDescent="0.35">
      <c r="A525" s="10"/>
      <c r="B525" s="10"/>
      <c r="C525" s="10"/>
      <c r="D525" s="10"/>
    </row>
    <row r="526" spans="1:4" ht="14.25" customHeight="1" x14ac:dyDescent="0.35">
      <c r="A526" s="10"/>
      <c r="B526" s="10"/>
      <c r="C526" s="10"/>
      <c r="D526" s="10"/>
    </row>
    <row r="527" spans="1:4" ht="14.25" customHeight="1" x14ac:dyDescent="0.35">
      <c r="A527" s="10"/>
      <c r="B527" s="10"/>
      <c r="C527" s="10"/>
      <c r="D527" s="10"/>
    </row>
    <row r="528" spans="1:4" ht="14.25" customHeight="1" x14ac:dyDescent="0.35">
      <c r="A528" s="10"/>
      <c r="B528" s="10"/>
      <c r="C528" s="10"/>
      <c r="D528" s="10"/>
    </row>
    <row r="529" spans="1:4" ht="14.25" customHeight="1" x14ac:dyDescent="0.35">
      <c r="A529" s="10"/>
      <c r="B529" s="10"/>
      <c r="C529" s="10"/>
      <c r="D529" s="10"/>
    </row>
    <row r="530" spans="1:4" ht="14.25" customHeight="1" x14ac:dyDescent="0.35">
      <c r="A530" s="10"/>
      <c r="B530" s="10"/>
      <c r="C530" s="10"/>
      <c r="D530" s="10"/>
    </row>
    <row r="531" spans="1:4" ht="14.25" customHeight="1" x14ac:dyDescent="0.35">
      <c r="A531" s="10"/>
      <c r="B531" s="10"/>
      <c r="C531" s="10"/>
      <c r="D531" s="10"/>
    </row>
    <row r="532" spans="1:4" ht="14.25" customHeight="1" x14ac:dyDescent="0.35">
      <c r="A532" s="10"/>
      <c r="B532" s="10"/>
      <c r="C532" s="10"/>
      <c r="D532" s="10"/>
    </row>
    <row r="533" spans="1:4" ht="14.25" customHeight="1" x14ac:dyDescent="0.35">
      <c r="A533" s="10"/>
      <c r="B533" s="10"/>
      <c r="C533" s="10"/>
      <c r="D533" s="10"/>
    </row>
    <row r="534" spans="1:4" ht="14.25" customHeight="1" x14ac:dyDescent="0.35">
      <c r="A534" s="10"/>
      <c r="B534" s="10"/>
      <c r="C534" s="10"/>
      <c r="D534" s="10"/>
    </row>
    <row r="535" spans="1:4" ht="14.25" customHeight="1" x14ac:dyDescent="0.35">
      <c r="A535" s="10"/>
      <c r="B535" s="10"/>
      <c r="C535" s="10"/>
      <c r="D535" s="10"/>
    </row>
    <row r="536" spans="1:4" ht="14.25" customHeight="1" x14ac:dyDescent="0.35">
      <c r="A536" s="10"/>
      <c r="B536" s="10"/>
      <c r="C536" s="10"/>
      <c r="D536" s="10"/>
    </row>
    <row r="537" spans="1:4" ht="14.25" customHeight="1" x14ac:dyDescent="0.35">
      <c r="A537" s="10"/>
      <c r="B537" s="10"/>
      <c r="C537" s="10"/>
      <c r="D537" s="10"/>
    </row>
    <row r="538" spans="1:4" ht="14.25" customHeight="1" x14ac:dyDescent="0.35">
      <c r="A538" s="10"/>
      <c r="B538" s="10"/>
      <c r="C538" s="10"/>
      <c r="D538" s="10"/>
    </row>
    <row r="539" spans="1:4" ht="14.25" customHeight="1" x14ac:dyDescent="0.35">
      <c r="A539" s="10"/>
      <c r="B539" s="10"/>
      <c r="C539" s="10"/>
      <c r="D539" s="10"/>
    </row>
    <row r="540" spans="1:4" ht="14.25" customHeight="1" x14ac:dyDescent="0.35">
      <c r="A540" s="10"/>
      <c r="B540" s="10"/>
      <c r="C540" s="10"/>
      <c r="D540" s="10"/>
    </row>
    <row r="541" spans="1:4" ht="14.25" customHeight="1" x14ac:dyDescent="0.35">
      <c r="A541" s="10"/>
      <c r="B541" s="10"/>
      <c r="C541" s="10"/>
      <c r="D541" s="10"/>
    </row>
    <row r="542" spans="1:4" ht="14.25" customHeight="1" x14ac:dyDescent="0.35">
      <c r="A542" s="10"/>
      <c r="B542" s="10"/>
      <c r="C542" s="10"/>
      <c r="D542" s="10"/>
    </row>
    <row r="543" spans="1:4" ht="14.25" customHeight="1" x14ac:dyDescent="0.35">
      <c r="A543" s="10"/>
      <c r="B543" s="10"/>
      <c r="C543" s="10"/>
      <c r="D543" s="10"/>
    </row>
    <row r="544" spans="1:4" ht="14.25" customHeight="1" x14ac:dyDescent="0.35">
      <c r="A544" s="10"/>
      <c r="B544" s="10"/>
      <c r="C544" s="10"/>
      <c r="D544" s="10"/>
    </row>
    <row r="545" spans="1:4" ht="14.25" customHeight="1" x14ac:dyDescent="0.35">
      <c r="A545" s="10"/>
      <c r="B545" s="10"/>
      <c r="C545" s="10"/>
      <c r="D545" s="10"/>
    </row>
    <row r="546" spans="1:4" ht="14.25" customHeight="1" x14ac:dyDescent="0.35">
      <c r="A546" s="10"/>
      <c r="B546" s="10"/>
      <c r="C546" s="10"/>
      <c r="D546" s="10"/>
    </row>
    <row r="547" spans="1:4" ht="14.25" customHeight="1" x14ac:dyDescent="0.35">
      <c r="A547" s="10"/>
      <c r="B547" s="10"/>
      <c r="C547" s="10"/>
      <c r="D547" s="10"/>
    </row>
    <row r="548" spans="1:4" ht="14.25" customHeight="1" x14ac:dyDescent="0.35">
      <c r="A548" s="10"/>
      <c r="B548" s="10"/>
      <c r="C548" s="10"/>
      <c r="D548" s="10"/>
    </row>
    <row r="549" spans="1:4" ht="14.25" customHeight="1" x14ac:dyDescent="0.35">
      <c r="A549" s="10"/>
      <c r="B549" s="10"/>
      <c r="C549" s="10"/>
      <c r="D549" s="10"/>
    </row>
    <row r="550" spans="1:4" ht="14.25" customHeight="1" x14ac:dyDescent="0.35">
      <c r="A550" s="10"/>
      <c r="B550" s="10"/>
      <c r="C550" s="10"/>
      <c r="D550" s="10"/>
    </row>
    <row r="551" spans="1:4" ht="14.25" customHeight="1" x14ac:dyDescent="0.35">
      <c r="A551" s="10"/>
      <c r="B551" s="10"/>
      <c r="C551" s="10"/>
      <c r="D551" s="10"/>
    </row>
    <row r="552" spans="1:4" ht="14.25" customHeight="1" x14ac:dyDescent="0.35">
      <c r="A552" s="10"/>
      <c r="B552" s="10"/>
      <c r="C552" s="10"/>
      <c r="D552" s="10"/>
    </row>
    <row r="553" spans="1:4" ht="14.25" customHeight="1" x14ac:dyDescent="0.35">
      <c r="A553" s="10"/>
      <c r="B553" s="10"/>
      <c r="C553" s="10"/>
      <c r="D553" s="10"/>
    </row>
    <row r="554" spans="1:4" ht="14.25" customHeight="1" x14ac:dyDescent="0.35">
      <c r="A554" s="10"/>
      <c r="B554" s="10"/>
      <c r="C554" s="10"/>
      <c r="D554" s="10"/>
    </row>
    <row r="555" spans="1:4" ht="14.25" customHeight="1" x14ac:dyDescent="0.35">
      <c r="A555" s="10"/>
      <c r="B555" s="10"/>
      <c r="C555" s="10"/>
      <c r="D555" s="10"/>
    </row>
    <row r="556" spans="1:4" ht="14.25" customHeight="1" x14ac:dyDescent="0.35">
      <c r="A556" s="10"/>
      <c r="B556" s="10"/>
      <c r="C556" s="10"/>
      <c r="D556" s="10"/>
    </row>
    <row r="557" spans="1:4" ht="14.25" customHeight="1" x14ac:dyDescent="0.35">
      <c r="A557" s="10"/>
      <c r="B557" s="10"/>
      <c r="C557" s="10"/>
      <c r="D557" s="10"/>
    </row>
    <row r="558" spans="1:4" ht="14.25" customHeight="1" x14ac:dyDescent="0.35">
      <c r="A558" s="10"/>
      <c r="B558" s="10"/>
      <c r="C558" s="10"/>
      <c r="D558" s="10"/>
    </row>
    <row r="559" spans="1:4" ht="14.25" customHeight="1" x14ac:dyDescent="0.35">
      <c r="A559" s="10"/>
      <c r="B559" s="10"/>
      <c r="C559" s="10"/>
      <c r="D559" s="10"/>
    </row>
    <row r="560" spans="1:4" ht="14.25" customHeight="1" x14ac:dyDescent="0.35">
      <c r="A560" s="10"/>
      <c r="B560" s="10"/>
      <c r="C560" s="10"/>
      <c r="D560" s="10"/>
    </row>
    <row r="561" spans="1:4" ht="14.25" customHeight="1" x14ac:dyDescent="0.35">
      <c r="A561" s="10"/>
      <c r="B561" s="10"/>
      <c r="C561" s="10"/>
      <c r="D561" s="10"/>
    </row>
    <row r="562" spans="1:4" ht="14.25" customHeight="1" x14ac:dyDescent="0.35">
      <c r="A562" s="10"/>
      <c r="B562" s="10"/>
      <c r="C562" s="10"/>
      <c r="D562" s="10"/>
    </row>
    <row r="563" spans="1:4" ht="14.25" customHeight="1" x14ac:dyDescent="0.35">
      <c r="A563" s="10"/>
      <c r="B563" s="10"/>
      <c r="C563" s="10"/>
      <c r="D563" s="10"/>
    </row>
    <row r="564" spans="1:4" ht="14.25" customHeight="1" x14ac:dyDescent="0.35">
      <c r="A564" s="10"/>
      <c r="B564" s="10"/>
      <c r="C564" s="10"/>
      <c r="D564" s="10"/>
    </row>
    <row r="565" spans="1:4" ht="14.25" customHeight="1" x14ac:dyDescent="0.35">
      <c r="A565" s="10"/>
      <c r="B565" s="10"/>
      <c r="C565" s="10"/>
      <c r="D565" s="10"/>
    </row>
    <row r="566" spans="1:4" ht="14.25" customHeight="1" x14ac:dyDescent="0.35">
      <c r="A566" s="10"/>
      <c r="B566" s="10"/>
      <c r="C566" s="10"/>
      <c r="D566" s="10"/>
    </row>
    <row r="567" spans="1:4" ht="14.25" customHeight="1" x14ac:dyDescent="0.35">
      <c r="A567" s="10"/>
      <c r="B567" s="10"/>
      <c r="C567" s="10"/>
      <c r="D567" s="10"/>
    </row>
    <row r="568" spans="1:4" ht="14.25" customHeight="1" x14ac:dyDescent="0.35">
      <c r="A568" s="10"/>
      <c r="B568" s="10"/>
      <c r="C568" s="10"/>
      <c r="D568" s="10"/>
    </row>
    <row r="569" spans="1:4" ht="14.25" customHeight="1" x14ac:dyDescent="0.35">
      <c r="A569" s="10"/>
      <c r="B569" s="10"/>
      <c r="C569" s="10"/>
      <c r="D569" s="10"/>
    </row>
    <row r="570" spans="1:4" ht="14.25" customHeight="1" x14ac:dyDescent="0.35">
      <c r="A570" s="10"/>
      <c r="B570" s="10"/>
      <c r="C570" s="10"/>
      <c r="D570" s="10"/>
    </row>
    <row r="571" spans="1:4" ht="14.25" customHeight="1" x14ac:dyDescent="0.35">
      <c r="A571" s="10"/>
      <c r="B571" s="10"/>
      <c r="C571" s="10"/>
      <c r="D571" s="10"/>
    </row>
    <row r="572" spans="1:4" ht="14.25" customHeight="1" x14ac:dyDescent="0.35">
      <c r="A572" s="10"/>
      <c r="B572" s="10"/>
      <c r="C572" s="10"/>
      <c r="D572" s="10"/>
    </row>
    <row r="573" spans="1:4" ht="14.25" customHeight="1" x14ac:dyDescent="0.35">
      <c r="A573" s="10"/>
      <c r="B573" s="10"/>
      <c r="C573" s="10"/>
      <c r="D573" s="10"/>
    </row>
    <row r="574" spans="1:4" ht="14.25" customHeight="1" x14ac:dyDescent="0.35">
      <c r="A574" s="10"/>
      <c r="B574" s="10"/>
      <c r="C574" s="10"/>
      <c r="D574" s="10"/>
    </row>
    <row r="575" spans="1:4" ht="14.25" customHeight="1" x14ac:dyDescent="0.35">
      <c r="A575" s="10"/>
      <c r="B575" s="10"/>
      <c r="C575" s="10"/>
      <c r="D575" s="10"/>
    </row>
    <row r="576" spans="1:4" ht="14.25" customHeight="1" x14ac:dyDescent="0.35">
      <c r="A576" s="10"/>
      <c r="B576" s="10"/>
      <c r="C576" s="10"/>
      <c r="D576" s="10"/>
    </row>
    <row r="577" spans="1:4" ht="14.25" customHeight="1" x14ac:dyDescent="0.35">
      <c r="A577" s="10"/>
      <c r="B577" s="10"/>
      <c r="C577" s="10"/>
      <c r="D577" s="10"/>
    </row>
    <row r="578" spans="1:4" ht="14.25" customHeight="1" x14ac:dyDescent="0.35">
      <c r="A578" s="10"/>
      <c r="B578" s="10"/>
      <c r="C578" s="10"/>
      <c r="D578" s="10"/>
    </row>
    <row r="579" spans="1:4" ht="14.25" customHeight="1" x14ac:dyDescent="0.35">
      <c r="A579" s="10"/>
      <c r="B579" s="10"/>
      <c r="C579" s="10"/>
      <c r="D579" s="10"/>
    </row>
    <row r="580" spans="1:4" ht="14.25" customHeight="1" x14ac:dyDescent="0.35">
      <c r="A580" s="10"/>
      <c r="B580" s="10"/>
      <c r="C580" s="10"/>
      <c r="D580" s="10"/>
    </row>
    <row r="581" spans="1:4" ht="14.25" customHeight="1" x14ac:dyDescent="0.35">
      <c r="A581" s="10"/>
      <c r="B581" s="10"/>
      <c r="C581" s="10"/>
      <c r="D581" s="10"/>
    </row>
    <row r="582" spans="1:4" ht="14.25" customHeight="1" x14ac:dyDescent="0.35">
      <c r="A582" s="10"/>
      <c r="B582" s="10"/>
      <c r="C582" s="10"/>
      <c r="D582" s="10"/>
    </row>
    <row r="583" spans="1:4" ht="14.25" customHeight="1" x14ac:dyDescent="0.35">
      <c r="A583" s="10"/>
      <c r="B583" s="10"/>
      <c r="C583" s="10"/>
      <c r="D583" s="10"/>
    </row>
    <row r="584" spans="1:4" ht="14.25" customHeight="1" x14ac:dyDescent="0.35">
      <c r="A584" s="10"/>
      <c r="B584" s="10"/>
      <c r="C584" s="10"/>
      <c r="D584" s="10"/>
    </row>
    <row r="585" spans="1:4" ht="14.25" customHeight="1" x14ac:dyDescent="0.35">
      <c r="A585" s="10"/>
      <c r="B585" s="10"/>
      <c r="C585" s="10"/>
      <c r="D585" s="10"/>
    </row>
    <row r="586" spans="1:4" ht="14.25" customHeight="1" x14ac:dyDescent="0.35">
      <c r="A586" s="10"/>
      <c r="B586" s="10"/>
      <c r="C586" s="10"/>
      <c r="D586" s="10"/>
    </row>
    <row r="587" spans="1:4" ht="14.25" customHeight="1" x14ac:dyDescent="0.35">
      <c r="A587" s="10"/>
      <c r="B587" s="10"/>
      <c r="C587" s="10"/>
      <c r="D587" s="10"/>
    </row>
    <row r="588" spans="1:4" ht="14.25" customHeight="1" x14ac:dyDescent="0.35">
      <c r="A588" s="10"/>
      <c r="B588" s="10"/>
      <c r="C588" s="10"/>
      <c r="D588" s="10"/>
    </row>
    <row r="589" spans="1:4" ht="14.25" customHeight="1" x14ac:dyDescent="0.35">
      <c r="A589" s="10"/>
      <c r="B589" s="10"/>
      <c r="C589" s="10"/>
      <c r="D589" s="10"/>
    </row>
    <row r="590" spans="1:4" ht="14.25" customHeight="1" x14ac:dyDescent="0.35">
      <c r="A590" s="10"/>
      <c r="B590" s="10"/>
      <c r="C590" s="10"/>
      <c r="D590" s="10"/>
    </row>
    <row r="591" spans="1:4" ht="14.25" customHeight="1" x14ac:dyDescent="0.35">
      <c r="A591" s="10"/>
      <c r="B591" s="10"/>
      <c r="C591" s="10"/>
      <c r="D591" s="10"/>
    </row>
    <row r="592" spans="1:4" ht="14.25" customHeight="1" x14ac:dyDescent="0.35">
      <c r="A592" s="10"/>
      <c r="B592" s="10"/>
      <c r="C592" s="10"/>
      <c r="D592" s="10"/>
    </row>
    <row r="593" spans="1:4" ht="14.25" customHeight="1" x14ac:dyDescent="0.35">
      <c r="A593" s="10"/>
      <c r="B593" s="10"/>
      <c r="C593" s="10"/>
      <c r="D593" s="10"/>
    </row>
    <row r="594" spans="1:4" ht="14.25" customHeight="1" x14ac:dyDescent="0.35">
      <c r="A594" s="10"/>
      <c r="B594" s="10"/>
      <c r="C594" s="10"/>
      <c r="D594" s="10"/>
    </row>
    <row r="595" spans="1:4" ht="14.25" customHeight="1" x14ac:dyDescent="0.35">
      <c r="A595" s="10"/>
      <c r="B595" s="10"/>
      <c r="C595" s="10"/>
      <c r="D595" s="10"/>
    </row>
    <row r="596" spans="1:4" ht="14.25" customHeight="1" x14ac:dyDescent="0.35">
      <c r="A596" s="10"/>
      <c r="B596" s="10"/>
      <c r="C596" s="10"/>
      <c r="D596" s="10"/>
    </row>
    <row r="597" spans="1:4" ht="14.25" customHeight="1" x14ac:dyDescent="0.35">
      <c r="A597" s="10"/>
      <c r="B597" s="10"/>
      <c r="C597" s="10"/>
      <c r="D597" s="10"/>
    </row>
    <row r="598" spans="1:4" ht="14.25" customHeight="1" x14ac:dyDescent="0.35">
      <c r="A598" s="10"/>
      <c r="B598" s="10"/>
      <c r="C598" s="10"/>
      <c r="D598" s="10"/>
    </row>
    <row r="599" spans="1:4" ht="14.25" customHeight="1" x14ac:dyDescent="0.35">
      <c r="A599" s="10"/>
      <c r="B599" s="10"/>
      <c r="C599" s="10"/>
      <c r="D599" s="10"/>
    </row>
    <row r="600" spans="1:4" ht="14.25" customHeight="1" x14ac:dyDescent="0.35">
      <c r="A600" s="10"/>
      <c r="B600" s="10"/>
      <c r="C600" s="10"/>
      <c r="D600" s="10"/>
    </row>
    <row r="601" spans="1:4" ht="14.25" customHeight="1" x14ac:dyDescent="0.35">
      <c r="A601" s="10"/>
      <c r="B601" s="10"/>
      <c r="C601" s="10"/>
      <c r="D601" s="10"/>
    </row>
    <row r="602" spans="1:4" ht="14.25" customHeight="1" x14ac:dyDescent="0.35">
      <c r="A602" s="10"/>
      <c r="B602" s="10"/>
      <c r="C602" s="10"/>
      <c r="D602" s="10"/>
    </row>
    <row r="603" spans="1:4" ht="14.25" customHeight="1" x14ac:dyDescent="0.35">
      <c r="A603" s="10"/>
      <c r="B603" s="10"/>
      <c r="C603" s="10"/>
      <c r="D603" s="10"/>
    </row>
    <row r="604" spans="1:4" ht="14.25" customHeight="1" x14ac:dyDescent="0.35">
      <c r="A604" s="10"/>
      <c r="B604" s="10"/>
      <c r="C604" s="10"/>
      <c r="D604" s="10"/>
    </row>
    <row r="605" spans="1:4" ht="14.25" customHeight="1" x14ac:dyDescent="0.35">
      <c r="A605" s="10"/>
      <c r="B605" s="10"/>
      <c r="C605" s="10"/>
      <c r="D605" s="10"/>
    </row>
    <row r="606" spans="1:4" ht="14.25" customHeight="1" x14ac:dyDescent="0.35">
      <c r="A606" s="10"/>
      <c r="B606" s="10"/>
      <c r="C606" s="10"/>
      <c r="D606" s="10"/>
    </row>
    <row r="607" spans="1:4" ht="14.25" customHeight="1" x14ac:dyDescent="0.35">
      <c r="A607" s="10"/>
      <c r="B607" s="10"/>
      <c r="C607" s="10"/>
      <c r="D607" s="10"/>
    </row>
    <row r="608" spans="1:4" ht="14.25" customHeight="1" x14ac:dyDescent="0.35">
      <c r="A608" s="10"/>
      <c r="B608" s="10"/>
      <c r="C608" s="10"/>
      <c r="D608" s="10"/>
    </row>
    <row r="609" spans="1:4" ht="14.25" customHeight="1" x14ac:dyDescent="0.35">
      <c r="A609" s="10"/>
      <c r="B609" s="10"/>
      <c r="C609" s="10"/>
      <c r="D609" s="10"/>
    </row>
    <row r="610" spans="1:4" ht="14.25" customHeight="1" x14ac:dyDescent="0.35">
      <c r="A610" s="10"/>
      <c r="B610" s="10"/>
      <c r="C610" s="10"/>
      <c r="D610" s="10"/>
    </row>
    <row r="611" spans="1:4" ht="14.25" customHeight="1" x14ac:dyDescent="0.35">
      <c r="A611" s="10"/>
      <c r="B611" s="10"/>
      <c r="C611" s="10"/>
      <c r="D611" s="10"/>
    </row>
    <row r="612" spans="1:4" ht="14.25" customHeight="1" x14ac:dyDescent="0.35">
      <c r="A612" s="10"/>
      <c r="B612" s="10"/>
      <c r="C612" s="10"/>
      <c r="D612" s="10"/>
    </row>
    <row r="613" spans="1:4" ht="14.25" customHeight="1" x14ac:dyDescent="0.35">
      <c r="A613" s="10"/>
      <c r="B613" s="10"/>
      <c r="C613" s="10"/>
      <c r="D613" s="10"/>
    </row>
    <row r="614" spans="1:4" ht="14.25" customHeight="1" x14ac:dyDescent="0.35">
      <c r="A614" s="10"/>
      <c r="B614" s="10"/>
      <c r="C614" s="10"/>
      <c r="D614" s="10"/>
    </row>
    <row r="615" spans="1:4" ht="14.25" customHeight="1" x14ac:dyDescent="0.35">
      <c r="A615" s="10"/>
      <c r="B615" s="10"/>
      <c r="C615" s="10"/>
      <c r="D615" s="10"/>
    </row>
    <row r="616" spans="1:4" ht="14.25" customHeight="1" x14ac:dyDescent="0.35">
      <c r="A616" s="10"/>
      <c r="B616" s="10"/>
      <c r="C616" s="10"/>
      <c r="D616" s="10"/>
    </row>
    <row r="617" spans="1:4" ht="14.25" customHeight="1" x14ac:dyDescent="0.35">
      <c r="A617" s="10"/>
      <c r="B617" s="10"/>
      <c r="C617" s="10"/>
      <c r="D617" s="10"/>
    </row>
    <row r="618" spans="1:4" ht="14.25" customHeight="1" x14ac:dyDescent="0.35">
      <c r="A618" s="10"/>
      <c r="B618" s="10"/>
      <c r="C618" s="10"/>
      <c r="D618" s="10"/>
    </row>
    <row r="619" spans="1:4" ht="14.25" customHeight="1" x14ac:dyDescent="0.35">
      <c r="A619" s="10"/>
      <c r="B619" s="10"/>
      <c r="C619" s="10"/>
      <c r="D619" s="10"/>
    </row>
    <row r="620" spans="1:4" ht="14.25" customHeight="1" x14ac:dyDescent="0.35">
      <c r="A620" s="10"/>
      <c r="B620" s="10"/>
      <c r="C620" s="10"/>
      <c r="D620" s="10"/>
    </row>
    <row r="621" spans="1:4" ht="14.25" customHeight="1" x14ac:dyDescent="0.35">
      <c r="A621" s="10"/>
      <c r="B621" s="10"/>
      <c r="C621" s="10"/>
      <c r="D621" s="10"/>
    </row>
    <row r="622" spans="1:4" ht="14.25" customHeight="1" x14ac:dyDescent="0.35">
      <c r="A622" s="10"/>
      <c r="B622" s="10"/>
      <c r="C622" s="10"/>
      <c r="D622" s="10"/>
    </row>
    <row r="623" spans="1:4" ht="14.25" customHeight="1" x14ac:dyDescent="0.35">
      <c r="A623" s="10"/>
      <c r="B623" s="10"/>
      <c r="C623" s="10"/>
      <c r="D623" s="10"/>
    </row>
    <row r="624" spans="1:4" ht="14.25" customHeight="1" x14ac:dyDescent="0.35">
      <c r="A624" s="10"/>
      <c r="B624" s="10"/>
      <c r="C624" s="10"/>
      <c r="D624" s="10"/>
    </row>
    <row r="625" spans="1:4" ht="14.25" customHeight="1" x14ac:dyDescent="0.35">
      <c r="A625" s="10"/>
      <c r="B625" s="10"/>
      <c r="C625" s="10"/>
      <c r="D625" s="10"/>
    </row>
    <row r="626" spans="1:4" ht="14.25" customHeight="1" x14ac:dyDescent="0.35">
      <c r="A626" s="10"/>
      <c r="B626" s="10"/>
      <c r="C626" s="10"/>
      <c r="D626" s="10"/>
    </row>
    <row r="627" spans="1:4" ht="14.25" customHeight="1" x14ac:dyDescent="0.35">
      <c r="A627" s="10"/>
      <c r="B627" s="10"/>
      <c r="C627" s="10"/>
      <c r="D627" s="10"/>
    </row>
    <row r="628" spans="1:4" ht="14.25" customHeight="1" x14ac:dyDescent="0.35">
      <c r="A628" s="10"/>
      <c r="B628" s="10"/>
      <c r="C628" s="10"/>
      <c r="D628" s="10"/>
    </row>
    <row r="629" spans="1:4" ht="14.25" customHeight="1" x14ac:dyDescent="0.35">
      <c r="A629" s="10"/>
      <c r="B629" s="10"/>
      <c r="C629" s="10"/>
      <c r="D629" s="10"/>
    </row>
    <row r="630" spans="1:4" ht="14.25" customHeight="1" x14ac:dyDescent="0.35">
      <c r="A630" s="10"/>
      <c r="B630" s="10"/>
      <c r="C630" s="10"/>
      <c r="D630" s="10"/>
    </row>
    <row r="631" spans="1:4" ht="14.25" customHeight="1" x14ac:dyDescent="0.35">
      <c r="A631" s="10"/>
      <c r="B631" s="10"/>
      <c r="C631" s="10"/>
      <c r="D631" s="10"/>
    </row>
    <row r="632" spans="1:4" ht="14.25" customHeight="1" x14ac:dyDescent="0.35">
      <c r="A632" s="10"/>
      <c r="B632" s="10"/>
      <c r="C632" s="10"/>
      <c r="D632" s="10"/>
    </row>
    <row r="633" spans="1:4" ht="14.25" customHeight="1" x14ac:dyDescent="0.35">
      <c r="A633" s="10"/>
      <c r="B633" s="10"/>
      <c r="C633" s="10"/>
      <c r="D633" s="10"/>
    </row>
    <row r="634" spans="1:4" ht="14.25" customHeight="1" x14ac:dyDescent="0.35">
      <c r="A634" s="10"/>
      <c r="B634" s="10"/>
      <c r="C634" s="10"/>
      <c r="D634" s="10"/>
    </row>
    <row r="635" spans="1:4" ht="14.25" customHeight="1" x14ac:dyDescent="0.35">
      <c r="A635" s="10"/>
      <c r="B635" s="10"/>
      <c r="C635" s="10"/>
      <c r="D635" s="10"/>
    </row>
    <row r="636" spans="1:4" ht="14.25" customHeight="1" x14ac:dyDescent="0.35">
      <c r="A636" s="10"/>
      <c r="B636" s="10"/>
      <c r="C636" s="10"/>
      <c r="D636" s="10"/>
    </row>
    <row r="637" spans="1:4" ht="14.25" customHeight="1" x14ac:dyDescent="0.35">
      <c r="A637" s="10"/>
      <c r="B637" s="10"/>
      <c r="C637" s="10"/>
      <c r="D637" s="10"/>
    </row>
    <row r="638" spans="1:4" ht="14.25" customHeight="1" x14ac:dyDescent="0.35">
      <c r="A638" s="10"/>
      <c r="B638" s="10"/>
      <c r="C638" s="10"/>
      <c r="D638" s="10"/>
    </row>
    <row r="639" spans="1:4" ht="14.25" customHeight="1" x14ac:dyDescent="0.35">
      <c r="A639" s="10"/>
      <c r="B639" s="10"/>
      <c r="C639" s="10"/>
      <c r="D639" s="10"/>
    </row>
    <row r="640" spans="1:4" ht="14.25" customHeight="1" x14ac:dyDescent="0.35">
      <c r="A640" s="10"/>
      <c r="B640" s="10"/>
      <c r="C640" s="10"/>
      <c r="D640" s="10"/>
    </row>
    <row r="641" spans="1:4" ht="14.25" customHeight="1" x14ac:dyDescent="0.35">
      <c r="A641" s="10"/>
      <c r="B641" s="10"/>
      <c r="C641" s="10"/>
      <c r="D641" s="10"/>
    </row>
    <row r="642" spans="1:4" ht="14.25" customHeight="1" x14ac:dyDescent="0.35">
      <c r="A642" s="10"/>
      <c r="B642" s="10"/>
      <c r="C642" s="10"/>
      <c r="D642" s="10"/>
    </row>
    <row r="643" spans="1:4" ht="14.25" customHeight="1" x14ac:dyDescent="0.35">
      <c r="A643" s="10"/>
      <c r="B643" s="10"/>
      <c r="C643" s="10"/>
      <c r="D643" s="10"/>
    </row>
    <row r="644" spans="1:4" ht="14.25" customHeight="1" x14ac:dyDescent="0.35">
      <c r="A644" s="10"/>
      <c r="B644" s="10"/>
      <c r="C644" s="10"/>
      <c r="D644" s="10"/>
    </row>
    <row r="645" spans="1:4" ht="14.25" customHeight="1" x14ac:dyDescent="0.35">
      <c r="A645" s="10"/>
      <c r="B645" s="10"/>
      <c r="C645" s="10"/>
      <c r="D645" s="10"/>
    </row>
    <row r="646" spans="1:4" ht="14.25" customHeight="1" x14ac:dyDescent="0.35">
      <c r="A646" s="10"/>
      <c r="B646" s="10"/>
      <c r="C646" s="10"/>
      <c r="D646" s="10"/>
    </row>
    <row r="647" spans="1:4" ht="14.25" customHeight="1" x14ac:dyDescent="0.35">
      <c r="A647" s="10"/>
      <c r="B647" s="10"/>
      <c r="C647" s="10"/>
      <c r="D647" s="10"/>
    </row>
    <row r="648" spans="1:4" ht="14.25" customHeight="1" x14ac:dyDescent="0.35">
      <c r="A648" s="10"/>
      <c r="B648" s="10"/>
      <c r="C648" s="10"/>
      <c r="D648" s="10"/>
    </row>
    <row r="649" spans="1:4" ht="14.25" customHeight="1" x14ac:dyDescent="0.35">
      <c r="A649" s="10"/>
      <c r="B649" s="10"/>
      <c r="C649" s="10"/>
      <c r="D649" s="10"/>
    </row>
    <row r="650" spans="1:4" ht="14.25" customHeight="1" x14ac:dyDescent="0.35">
      <c r="A650" s="10"/>
      <c r="B650" s="10"/>
      <c r="C650" s="10"/>
      <c r="D650" s="10"/>
    </row>
    <row r="651" spans="1:4" ht="14.25" customHeight="1" x14ac:dyDescent="0.35">
      <c r="A651" s="10"/>
      <c r="B651" s="10"/>
      <c r="C651" s="10"/>
      <c r="D651" s="10"/>
    </row>
    <row r="652" spans="1:4" ht="14.25" customHeight="1" x14ac:dyDescent="0.35">
      <c r="A652" s="10"/>
      <c r="B652" s="10"/>
      <c r="C652" s="10"/>
      <c r="D652" s="10"/>
    </row>
    <row r="653" spans="1:4" ht="14.25" customHeight="1" x14ac:dyDescent="0.35">
      <c r="A653" s="10"/>
      <c r="B653" s="10"/>
      <c r="C653" s="10"/>
      <c r="D653" s="10"/>
    </row>
    <row r="654" spans="1:4" ht="14.25" customHeight="1" x14ac:dyDescent="0.35">
      <c r="A654" s="10"/>
      <c r="B654" s="10"/>
      <c r="C654" s="10"/>
      <c r="D654" s="10"/>
    </row>
    <row r="655" spans="1:4" ht="14.25" customHeight="1" x14ac:dyDescent="0.35">
      <c r="A655" s="10"/>
      <c r="B655" s="10"/>
      <c r="C655" s="10"/>
      <c r="D655" s="10"/>
    </row>
    <row r="656" spans="1:4" ht="14.25" customHeight="1" x14ac:dyDescent="0.35">
      <c r="A656" s="10"/>
      <c r="B656" s="10"/>
      <c r="C656" s="10"/>
      <c r="D656" s="10"/>
    </row>
    <row r="657" spans="1:4" ht="14.25" customHeight="1" x14ac:dyDescent="0.35">
      <c r="A657" s="10"/>
      <c r="B657" s="10"/>
      <c r="C657" s="10"/>
      <c r="D657" s="10"/>
    </row>
    <row r="658" spans="1:4" ht="14.25" customHeight="1" x14ac:dyDescent="0.35">
      <c r="A658" s="10"/>
      <c r="B658" s="10"/>
      <c r="C658" s="10"/>
      <c r="D658" s="10"/>
    </row>
    <row r="659" spans="1:4" ht="14.25" customHeight="1" x14ac:dyDescent="0.35">
      <c r="A659" s="10"/>
      <c r="B659" s="10"/>
      <c r="C659" s="10"/>
      <c r="D659" s="10"/>
    </row>
    <row r="660" spans="1:4" ht="14.25" customHeight="1" x14ac:dyDescent="0.35">
      <c r="A660" s="10"/>
      <c r="B660" s="10"/>
      <c r="C660" s="10"/>
      <c r="D660" s="10"/>
    </row>
    <row r="661" spans="1:4" ht="14.25" customHeight="1" x14ac:dyDescent="0.35">
      <c r="A661" s="10"/>
      <c r="B661" s="10"/>
      <c r="C661" s="10"/>
      <c r="D661" s="10"/>
    </row>
    <row r="662" spans="1:4" ht="14.25" customHeight="1" x14ac:dyDescent="0.35">
      <c r="A662" s="10"/>
      <c r="B662" s="10"/>
      <c r="C662" s="10"/>
      <c r="D662" s="10"/>
    </row>
    <row r="663" spans="1:4" ht="14.25" customHeight="1" x14ac:dyDescent="0.35">
      <c r="A663" s="10"/>
      <c r="B663" s="10"/>
      <c r="C663" s="10"/>
      <c r="D663" s="10"/>
    </row>
    <row r="664" spans="1:4" ht="14.25" customHeight="1" x14ac:dyDescent="0.35">
      <c r="A664" s="10"/>
      <c r="B664" s="10"/>
      <c r="C664" s="10"/>
      <c r="D664" s="10"/>
    </row>
    <row r="665" spans="1:4" ht="14.25" customHeight="1" x14ac:dyDescent="0.35">
      <c r="A665" s="10"/>
      <c r="B665" s="10"/>
      <c r="C665" s="10"/>
      <c r="D665" s="10"/>
    </row>
    <row r="666" spans="1:4" ht="14.25" customHeight="1" x14ac:dyDescent="0.35">
      <c r="A666" s="10"/>
      <c r="B666" s="10"/>
      <c r="C666" s="10"/>
      <c r="D666" s="10"/>
    </row>
    <row r="667" spans="1:4" ht="14.25" customHeight="1" x14ac:dyDescent="0.35">
      <c r="A667" s="10"/>
      <c r="B667" s="10"/>
      <c r="C667" s="10"/>
      <c r="D667" s="10"/>
    </row>
    <row r="668" spans="1:4" ht="14.25" customHeight="1" x14ac:dyDescent="0.35">
      <c r="A668" s="10"/>
      <c r="B668" s="10"/>
      <c r="C668" s="10"/>
      <c r="D668" s="10"/>
    </row>
    <row r="669" spans="1:4" ht="14.25" customHeight="1" x14ac:dyDescent="0.35">
      <c r="A669" s="10"/>
      <c r="B669" s="10"/>
      <c r="C669" s="10"/>
      <c r="D669" s="10"/>
    </row>
    <row r="670" spans="1:4" ht="14.25" customHeight="1" x14ac:dyDescent="0.35">
      <c r="A670" s="10"/>
      <c r="B670" s="10"/>
      <c r="C670" s="10"/>
      <c r="D670" s="10"/>
    </row>
    <row r="671" spans="1:4" ht="14.25" customHeight="1" x14ac:dyDescent="0.35">
      <c r="A671" s="10"/>
      <c r="B671" s="10"/>
      <c r="C671" s="10"/>
      <c r="D671" s="10"/>
    </row>
    <row r="672" spans="1:4" ht="14.25" customHeight="1" x14ac:dyDescent="0.35">
      <c r="A672" s="10"/>
      <c r="B672" s="10"/>
      <c r="C672" s="10"/>
      <c r="D672" s="10"/>
    </row>
    <row r="673" spans="1:4" ht="14.25" customHeight="1" x14ac:dyDescent="0.35">
      <c r="A673" s="10"/>
      <c r="B673" s="10"/>
      <c r="C673" s="10"/>
      <c r="D673" s="10"/>
    </row>
    <row r="674" spans="1:4" ht="14.25" customHeight="1" x14ac:dyDescent="0.35">
      <c r="A674" s="10"/>
      <c r="B674" s="10"/>
      <c r="C674" s="10"/>
      <c r="D674" s="10"/>
    </row>
    <row r="675" spans="1:4" ht="14.25" customHeight="1" x14ac:dyDescent="0.35">
      <c r="A675" s="10"/>
      <c r="B675" s="10"/>
      <c r="C675" s="10"/>
      <c r="D675" s="10"/>
    </row>
    <row r="676" spans="1:4" ht="14.25" customHeight="1" x14ac:dyDescent="0.35">
      <c r="A676" s="10"/>
      <c r="B676" s="10"/>
      <c r="C676" s="10"/>
      <c r="D676" s="10"/>
    </row>
    <row r="677" spans="1:4" ht="14.25" customHeight="1" x14ac:dyDescent="0.35">
      <c r="A677" s="10"/>
      <c r="B677" s="10"/>
      <c r="C677" s="10"/>
      <c r="D677" s="10"/>
    </row>
    <row r="678" spans="1:4" ht="14.25" customHeight="1" x14ac:dyDescent="0.35">
      <c r="A678" s="10"/>
      <c r="B678" s="10"/>
      <c r="C678" s="10"/>
      <c r="D678" s="10"/>
    </row>
    <row r="679" spans="1:4" ht="14.25" customHeight="1" x14ac:dyDescent="0.35">
      <c r="A679" s="10"/>
      <c r="B679" s="10"/>
      <c r="C679" s="10"/>
      <c r="D679" s="10"/>
    </row>
    <row r="680" spans="1:4" ht="14.25" customHeight="1" x14ac:dyDescent="0.35">
      <c r="A680" s="10"/>
      <c r="B680" s="10"/>
      <c r="C680" s="10"/>
      <c r="D680" s="10"/>
    </row>
    <row r="681" spans="1:4" ht="14.25" customHeight="1" x14ac:dyDescent="0.35">
      <c r="A681" s="10"/>
      <c r="B681" s="10"/>
      <c r="C681" s="10"/>
      <c r="D681" s="10"/>
    </row>
    <row r="682" spans="1:4" ht="14.25" customHeight="1" x14ac:dyDescent="0.35">
      <c r="A682" s="10"/>
      <c r="B682" s="10"/>
      <c r="C682" s="10"/>
      <c r="D682" s="10"/>
    </row>
    <row r="683" spans="1:4" ht="14.25" customHeight="1" x14ac:dyDescent="0.35">
      <c r="A683" s="10"/>
      <c r="B683" s="10"/>
      <c r="C683" s="10"/>
      <c r="D683" s="10"/>
    </row>
    <row r="684" spans="1:4" ht="14.25" customHeight="1" x14ac:dyDescent="0.35">
      <c r="A684" s="10"/>
      <c r="B684" s="10"/>
      <c r="C684" s="10"/>
      <c r="D684" s="10"/>
    </row>
    <row r="685" spans="1:4" ht="14.25" customHeight="1" x14ac:dyDescent="0.35">
      <c r="A685" s="10"/>
      <c r="B685" s="10"/>
      <c r="C685" s="10"/>
      <c r="D685" s="10"/>
    </row>
    <row r="686" spans="1:4" ht="14.25" customHeight="1" x14ac:dyDescent="0.35">
      <c r="A686" s="10"/>
      <c r="B686" s="10"/>
      <c r="C686" s="10"/>
      <c r="D686" s="10"/>
    </row>
    <row r="687" spans="1:4" ht="14.25" customHeight="1" x14ac:dyDescent="0.35">
      <c r="A687" s="10"/>
      <c r="B687" s="10"/>
      <c r="C687" s="10"/>
      <c r="D687" s="10"/>
    </row>
    <row r="688" spans="1:4" ht="14.25" customHeight="1" x14ac:dyDescent="0.35">
      <c r="A688" s="10"/>
      <c r="B688" s="10"/>
      <c r="C688" s="10"/>
      <c r="D688" s="10"/>
    </row>
    <row r="689" spans="1:4" ht="14.25" customHeight="1" x14ac:dyDescent="0.35">
      <c r="A689" s="10"/>
      <c r="B689" s="10"/>
      <c r="C689" s="10"/>
      <c r="D689" s="10"/>
    </row>
    <row r="690" spans="1:4" ht="14.25" customHeight="1" x14ac:dyDescent="0.35">
      <c r="A690" s="10"/>
      <c r="B690" s="10"/>
      <c r="C690" s="10"/>
      <c r="D690" s="10"/>
    </row>
    <row r="691" spans="1:4" ht="14.25" customHeight="1" x14ac:dyDescent="0.35">
      <c r="A691" s="10"/>
      <c r="B691" s="10"/>
      <c r="C691" s="10"/>
      <c r="D691" s="10"/>
    </row>
    <row r="692" spans="1:4" ht="14.25" customHeight="1" x14ac:dyDescent="0.35">
      <c r="A692" s="10"/>
      <c r="B692" s="10"/>
      <c r="C692" s="10"/>
      <c r="D692" s="10"/>
    </row>
    <row r="693" spans="1:4" ht="14.25" customHeight="1" x14ac:dyDescent="0.35">
      <c r="A693" s="10"/>
      <c r="B693" s="10"/>
      <c r="C693" s="10"/>
      <c r="D693" s="10"/>
    </row>
    <row r="694" spans="1:4" ht="14.25" customHeight="1" x14ac:dyDescent="0.35">
      <c r="A694" s="10"/>
      <c r="B694" s="10"/>
      <c r="C694" s="10"/>
      <c r="D694" s="10"/>
    </row>
    <row r="695" spans="1:4" ht="14.25" customHeight="1" x14ac:dyDescent="0.35">
      <c r="A695" s="10"/>
      <c r="B695" s="10"/>
      <c r="C695" s="10"/>
      <c r="D695" s="10"/>
    </row>
    <row r="696" spans="1:4" ht="14.25" customHeight="1" x14ac:dyDescent="0.35">
      <c r="A696" s="10"/>
      <c r="B696" s="10"/>
      <c r="C696" s="10"/>
      <c r="D696" s="10"/>
    </row>
    <row r="697" spans="1:4" ht="14.25" customHeight="1" x14ac:dyDescent="0.35">
      <c r="A697" s="10"/>
      <c r="B697" s="10"/>
      <c r="C697" s="10"/>
      <c r="D697" s="10"/>
    </row>
    <row r="698" spans="1:4" ht="14.25" customHeight="1" x14ac:dyDescent="0.35">
      <c r="A698" s="10"/>
      <c r="B698" s="10"/>
      <c r="C698" s="10"/>
      <c r="D698" s="10"/>
    </row>
    <row r="699" spans="1:4" ht="14.25" customHeight="1" x14ac:dyDescent="0.35">
      <c r="A699" s="10"/>
      <c r="B699" s="10"/>
      <c r="C699" s="10"/>
      <c r="D699" s="10"/>
    </row>
    <row r="700" spans="1:4" ht="14.25" customHeight="1" x14ac:dyDescent="0.35">
      <c r="A700" s="10"/>
      <c r="B700" s="10"/>
      <c r="C700" s="10"/>
      <c r="D700" s="10"/>
    </row>
    <row r="701" spans="1:4" ht="14.25" customHeight="1" x14ac:dyDescent="0.35">
      <c r="A701" s="10"/>
      <c r="B701" s="10"/>
      <c r="C701" s="10"/>
      <c r="D701" s="10"/>
    </row>
    <row r="702" spans="1:4" ht="14.25" customHeight="1" x14ac:dyDescent="0.35">
      <c r="A702" s="10"/>
      <c r="B702" s="10"/>
      <c r="C702" s="10"/>
      <c r="D702" s="10"/>
    </row>
    <row r="703" spans="1:4" ht="14.25" customHeight="1" x14ac:dyDescent="0.35">
      <c r="A703" s="10"/>
      <c r="B703" s="10"/>
      <c r="C703" s="10"/>
      <c r="D703" s="10"/>
    </row>
    <row r="704" spans="1:4" ht="14.25" customHeight="1" x14ac:dyDescent="0.35">
      <c r="A704" s="10"/>
      <c r="B704" s="10"/>
      <c r="C704" s="10"/>
      <c r="D704" s="10"/>
    </row>
    <row r="705" spans="1:4" ht="14.25" customHeight="1" x14ac:dyDescent="0.35">
      <c r="A705" s="10"/>
      <c r="B705" s="10"/>
      <c r="C705" s="10"/>
      <c r="D705" s="10"/>
    </row>
    <row r="706" spans="1:4" ht="14.25" customHeight="1" x14ac:dyDescent="0.35">
      <c r="A706" s="10"/>
      <c r="B706" s="10"/>
      <c r="C706" s="10"/>
      <c r="D706" s="10"/>
    </row>
    <row r="707" spans="1:4" ht="14.25" customHeight="1" x14ac:dyDescent="0.35">
      <c r="A707" s="10"/>
      <c r="B707" s="10"/>
      <c r="C707" s="10"/>
      <c r="D707" s="10"/>
    </row>
    <row r="708" spans="1:4" ht="14.25" customHeight="1" x14ac:dyDescent="0.35">
      <c r="A708" s="10"/>
      <c r="B708" s="10"/>
      <c r="C708" s="10"/>
      <c r="D708" s="10"/>
    </row>
    <row r="709" spans="1:4" ht="14.25" customHeight="1" x14ac:dyDescent="0.35">
      <c r="A709" s="10"/>
      <c r="B709" s="10"/>
      <c r="C709" s="10"/>
      <c r="D709" s="10"/>
    </row>
    <row r="710" spans="1:4" ht="14.25" customHeight="1" x14ac:dyDescent="0.35">
      <c r="A710" s="10"/>
      <c r="B710" s="10"/>
      <c r="C710" s="10"/>
      <c r="D710" s="10"/>
    </row>
    <row r="711" spans="1:4" ht="14.25" customHeight="1" x14ac:dyDescent="0.35">
      <c r="A711" s="10"/>
      <c r="B711" s="10"/>
      <c r="C711" s="10"/>
      <c r="D711" s="10"/>
    </row>
    <row r="712" spans="1:4" ht="14.25" customHeight="1" x14ac:dyDescent="0.35">
      <c r="A712" s="10"/>
      <c r="B712" s="10"/>
      <c r="C712" s="10"/>
      <c r="D712" s="10"/>
    </row>
    <row r="713" spans="1:4" ht="14.25" customHeight="1" x14ac:dyDescent="0.35">
      <c r="A713" s="10"/>
      <c r="B713" s="10"/>
      <c r="C713" s="10"/>
      <c r="D713" s="10"/>
    </row>
    <row r="714" spans="1:4" ht="14.25" customHeight="1" x14ac:dyDescent="0.35">
      <c r="A714" s="10"/>
      <c r="B714" s="10"/>
      <c r="C714" s="10"/>
      <c r="D714" s="10"/>
    </row>
    <row r="715" spans="1:4" ht="14.25" customHeight="1" x14ac:dyDescent="0.35">
      <c r="A715" s="10"/>
      <c r="B715" s="10"/>
      <c r="C715" s="10"/>
      <c r="D715" s="10"/>
    </row>
    <row r="716" spans="1:4" ht="14.25" customHeight="1" x14ac:dyDescent="0.35">
      <c r="A716" s="10"/>
      <c r="B716" s="10"/>
      <c r="C716" s="10"/>
      <c r="D716" s="10"/>
    </row>
    <row r="717" spans="1:4" ht="14.25" customHeight="1" x14ac:dyDescent="0.35">
      <c r="A717" s="10"/>
      <c r="B717" s="10"/>
      <c r="C717" s="10"/>
      <c r="D717" s="10"/>
    </row>
    <row r="718" spans="1:4" ht="14.25" customHeight="1" x14ac:dyDescent="0.35">
      <c r="A718" s="10"/>
      <c r="B718" s="10"/>
      <c r="C718" s="10"/>
      <c r="D718" s="10"/>
    </row>
    <row r="719" spans="1:4" ht="14.25" customHeight="1" x14ac:dyDescent="0.35">
      <c r="A719" s="10"/>
      <c r="B719" s="10"/>
      <c r="C719" s="10"/>
      <c r="D719" s="10"/>
    </row>
    <row r="720" spans="1:4" ht="14.25" customHeight="1" x14ac:dyDescent="0.35">
      <c r="A720" s="10"/>
      <c r="B720" s="10"/>
      <c r="C720" s="10"/>
      <c r="D720" s="10"/>
    </row>
    <row r="721" spans="1:4" ht="14.25" customHeight="1" x14ac:dyDescent="0.35">
      <c r="A721" s="10"/>
      <c r="B721" s="10"/>
      <c r="C721" s="10"/>
      <c r="D721" s="10"/>
    </row>
    <row r="722" spans="1:4" ht="14.25" customHeight="1" x14ac:dyDescent="0.35">
      <c r="A722" s="10"/>
      <c r="B722" s="10"/>
      <c r="C722" s="10"/>
      <c r="D722" s="10"/>
    </row>
    <row r="723" spans="1:4" ht="14.25" customHeight="1" x14ac:dyDescent="0.35">
      <c r="A723" s="10"/>
      <c r="B723" s="10"/>
      <c r="C723" s="10"/>
      <c r="D723" s="10"/>
    </row>
    <row r="724" spans="1:4" ht="14.25" customHeight="1" x14ac:dyDescent="0.35">
      <c r="A724" s="10"/>
      <c r="B724" s="10"/>
      <c r="C724" s="10"/>
      <c r="D724" s="10"/>
    </row>
    <row r="725" spans="1:4" ht="14.25" customHeight="1" x14ac:dyDescent="0.35">
      <c r="A725" s="10"/>
      <c r="B725" s="10"/>
      <c r="C725" s="10"/>
      <c r="D725" s="10"/>
    </row>
    <row r="726" spans="1:4" ht="14.25" customHeight="1" x14ac:dyDescent="0.35">
      <c r="A726" s="10"/>
      <c r="B726" s="10"/>
      <c r="C726" s="10"/>
      <c r="D726" s="10"/>
    </row>
    <row r="727" spans="1:4" ht="14.25" customHeight="1" x14ac:dyDescent="0.35">
      <c r="A727" s="10"/>
      <c r="B727" s="10"/>
      <c r="C727" s="10"/>
      <c r="D727" s="10"/>
    </row>
    <row r="728" spans="1:4" ht="14.25" customHeight="1" x14ac:dyDescent="0.35">
      <c r="A728" s="10"/>
      <c r="B728" s="10"/>
      <c r="C728" s="10"/>
      <c r="D728" s="10"/>
    </row>
    <row r="729" spans="1:4" ht="14.25" customHeight="1" x14ac:dyDescent="0.35">
      <c r="A729" s="10"/>
      <c r="B729" s="10"/>
      <c r="C729" s="10"/>
      <c r="D729" s="10"/>
    </row>
    <row r="730" spans="1:4" ht="14.25" customHeight="1" x14ac:dyDescent="0.35">
      <c r="A730" s="10"/>
      <c r="B730" s="10"/>
      <c r="C730" s="10"/>
      <c r="D730" s="10"/>
    </row>
    <row r="731" spans="1:4" ht="14.25" customHeight="1" x14ac:dyDescent="0.35">
      <c r="A731" s="10"/>
      <c r="B731" s="10"/>
      <c r="C731" s="10"/>
      <c r="D731" s="10"/>
    </row>
    <row r="732" spans="1:4" ht="14.25" customHeight="1" x14ac:dyDescent="0.35">
      <c r="A732" s="10"/>
      <c r="B732" s="10"/>
      <c r="C732" s="10"/>
      <c r="D732" s="10"/>
    </row>
    <row r="733" spans="1:4" ht="14.25" customHeight="1" x14ac:dyDescent="0.35">
      <c r="A733" s="10"/>
      <c r="B733" s="10"/>
      <c r="C733" s="10"/>
      <c r="D733" s="10"/>
    </row>
    <row r="734" spans="1:4" ht="14.25" customHeight="1" x14ac:dyDescent="0.35">
      <c r="A734" s="10"/>
      <c r="B734" s="10"/>
      <c r="C734" s="10"/>
      <c r="D734" s="10"/>
    </row>
    <row r="735" spans="1:4" ht="14.25" customHeight="1" x14ac:dyDescent="0.35">
      <c r="A735" s="10"/>
      <c r="B735" s="10"/>
      <c r="C735" s="10"/>
      <c r="D735" s="10"/>
    </row>
    <row r="736" spans="1:4" ht="14.25" customHeight="1" x14ac:dyDescent="0.35">
      <c r="A736" s="10"/>
      <c r="B736" s="10"/>
      <c r="C736" s="10"/>
      <c r="D736" s="10"/>
    </row>
    <row r="737" spans="1:4" ht="14.25" customHeight="1" x14ac:dyDescent="0.35">
      <c r="A737" s="10"/>
      <c r="B737" s="10"/>
      <c r="C737" s="10"/>
      <c r="D737" s="10"/>
    </row>
    <row r="738" spans="1:4" ht="14.25" customHeight="1" x14ac:dyDescent="0.35">
      <c r="A738" s="10"/>
      <c r="B738" s="10"/>
      <c r="C738" s="10"/>
      <c r="D738" s="10"/>
    </row>
    <row r="739" spans="1:4" ht="14.25" customHeight="1" x14ac:dyDescent="0.35">
      <c r="A739" s="10"/>
      <c r="B739" s="10"/>
      <c r="C739" s="10"/>
      <c r="D739" s="10"/>
    </row>
    <row r="740" spans="1:4" ht="14.25" customHeight="1" x14ac:dyDescent="0.35">
      <c r="A740" s="10"/>
      <c r="B740" s="10"/>
      <c r="C740" s="10"/>
      <c r="D740" s="10"/>
    </row>
    <row r="741" spans="1:4" ht="14.25" customHeight="1" x14ac:dyDescent="0.35">
      <c r="A741" s="10"/>
      <c r="B741" s="10"/>
      <c r="C741" s="10"/>
      <c r="D741" s="10"/>
    </row>
    <row r="742" spans="1:4" ht="14.25" customHeight="1" x14ac:dyDescent="0.35">
      <c r="A742" s="10"/>
      <c r="B742" s="10"/>
      <c r="C742" s="10"/>
      <c r="D742" s="10"/>
    </row>
    <row r="743" spans="1:4" ht="14.25" customHeight="1" x14ac:dyDescent="0.35">
      <c r="A743" s="10"/>
      <c r="B743" s="10"/>
      <c r="C743" s="10"/>
      <c r="D743" s="10"/>
    </row>
    <row r="744" spans="1:4" ht="14.25" customHeight="1" x14ac:dyDescent="0.35">
      <c r="A744" s="10"/>
      <c r="B744" s="10"/>
      <c r="C744" s="10"/>
      <c r="D744" s="10"/>
    </row>
    <row r="745" spans="1:4" ht="14.25" customHeight="1" x14ac:dyDescent="0.35">
      <c r="A745" s="10"/>
      <c r="B745" s="10"/>
      <c r="C745" s="10"/>
      <c r="D745" s="10"/>
    </row>
    <row r="746" spans="1:4" ht="14.25" customHeight="1" x14ac:dyDescent="0.35">
      <c r="A746" s="10"/>
      <c r="B746" s="10"/>
      <c r="C746" s="10"/>
      <c r="D746" s="10"/>
    </row>
    <row r="747" spans="1:4" ht="14.25" customHeight="1" x14ac:dyDescent="0.35">
      <c r="A747" s="10"/>
      <c r="B747" s="10"/>
      <c r="C747" s="10"/>
      <c r="D747" s="10"/>
    </row>
    <row r="748" spans="1:4" ht="14.25" customHeight="1" x14ac:dyDescent="0.35">
      <c r="A748" s="10"/>
      <c r="B748" s="10"/>
      <c r="C748" s="10"/>
      <c r="D748" s="10"/>
    </row>
    <row r="749" spans="1:4" ht="14.25" customHeight="1" x14ac:dyDescent="0.35">
      <c r="A749" s="10"/>
      <c r="B749" s="10"/>
      <c r="C749" s="10"/>
      <c r="D749" s="10"/>
    </row>
    <row r="750" spans="1:4" ht="14.25" customHeight="1" x14ac:dyDescent="0.35">
      <c r="A750" s="10"/>
      <c r="B750" s="10"/>
      <c r="C750" s="10"/>
      <c r="D750" s="10"/>
    </row>
    <row r="751" spans="1:4" ht="14.25" customHeight="1" x14ac:dyDescent="0.35">
      <c r="A751" s="10"/>
      <c r="B751" s="10"/>
      <c r="C751" s="10"/>
      <c r="D751" s="10"/>
    </row>
    <row r="752" spans="1:4" ht="14.25" customHeight="1" x14ac:dyDescent="0.35">
      <c r="A752" s="10"/>
      <c r="B752" s="10"/>
      <c r="C752" s="10"/>
      <c r="D752" s="10"/>
    </row>
    <row r="753" spans="1:4" ht="14.25" customHeight="1" x14ac:dyDescent="0.35">
      <c r="A753" s="10"/>
      <c r="B753" s="10"/>
      <c r="C753" s="10"/>
      <c r="D753" s="10"/>
    </row>
    <row r="754" spans="1:4" ht="14.25" customHeight="1" x14ac:dyDescent="0.35">
      <c r="A754" s="10"/>
      <c r="B754" s="10"/>
      <c r="C754" s="10"/>
      <c r="D754" s="10"/>
    </row>
    <row r="755" spans="1:4" ht="14.25" customHeight="1" x14ac:dyDescent="0.35">
      <c r="A755" s="10"/>
      <c r="B755" s="10"/>
      <c r="C755" s="10"/>
      <c r="D755" s="10"/>
    </row>
    <row r="756" spans="1:4" ht="14.25" customHeight="1" x14ac:dyDescent="0.35">
      <c r="A756" s="10"/>
      <c r="B756" s="10"/>
      <c r="C756" s="10"/>
      <c r="D756" s="10"/>
    </row>
    <row r="757" spans="1:4" ht="14.25" customHeight="1" x14ac:dyDescent="0.35">
      <c r="A757" s="10"/>
      <c r="B757" s="10"/>
      <c r="C757" s="10"/>
      <c r="D757" s="10"/>
    </row>
    <row r="758" spans="1:4" ht="14.25" customHeight="1" x14ac:dyDescent="0.35">
      <c r="A758" s="10"/>
      <c r="B758" s="10"/>
      <c r="C758" s="10"/>
      <c r="D758" s="10"/>
    </row>
    <row r="759" spans="1:4" ht="14.25" customHeight="1" x14ac:dyDescent="0.35">
      <c r="A759" s="10"/>
      <c r="B759" s="10"/>
      <c r="C759" s="10"/>
      <c r="D759" s="10"/>
    </row>
    <row r="760" spans="1:4" ht="14.25" customHeight="1" x14ac:dyDescent="0.35">
      <c r="A760" s="10"/>
      <c r="B760" s="10"/>
      <c r="C760" s="10"/>
      <c r="D760" s="10"/>
    </row>
    <row r="761" spans="1:4" ht="14.25" customHeight="1" x14ac:dyDescent="0.35">
      <c r="A761" s="10"/>
      <c r="B761" s="10"/>
      <c r="C761" s="10"/>
      <c r="D761" s="10"/>
    </row>
    <row r="762" spans="1:4" ht="14.25" customHeight="1" x14ac:dyDescent="0.35">
      <c r="A762" s="10"/>
      <c r="B762" s="10"/>
      <c r="C762" s="10"/>
      <c r="D762" s="10"/>
    </row>
    <row r="763" spans="1:4" ht="14.25" customHeight="1" x14ac:dyDescent="0.35">
      <c r="A763" s="10"/>
      <c r="B763" s="10"/>
      <c r="C763" s="10"/>
      <c r="D763" s="10"/>
    </row>
    <row r="764" spans="1:4" ht="14.25" customHeight="1" x14ac:dyDescent="0.35">
      <c r="A764" s="10"/>
      <c r="B764" s="10"/>
      <c r="C764" s="10"/>
      <c r="D764" s="10"/>
    </row>
    <row r="765" spans="1:4" ht="14.25" customHeight="1" x14ac:dyDescent="0.35">
      <c r="A765" s="10"/>
      <c r="B765" s="10"/>
      <c r="C765" s="10"/>
      <c r="D765" s="10"/>
    </row>
    <row r="766" spans="1:4" ht="14.25" customHeight="1" x14ac:dyDescent="0.35">
      <c r="A766" s="10"/>
      <c r="B766" s="10"/>
      <c r="C766" s="10"/>
      <c r="D766" s="10"/>
    </row>
    <row r="767" spans="1:4" ht="14.25" customHeight="1" x14ac:dyDescent="0.35">
      <c r="A767" s="10"/>
      <c r="B767" s="10"/>
      <c r="C767" s="10"/>
      <c r="D767" s="10"/>
    </row>
    <row r="768" spans="1:4" ht="14.25" customHeight="1" x14ac:dyDescent="0.35">
      <c r="A768" s="10"/>
      <c r="B768" s="10"/>
      <c r="C768" s="10"/>
      <c r="D768" s="10"/>
    </row>
    <row r="769" spans="1:4" ht="14.25" customHeight="1" x14ac:dyDescent="0.35">
      <c r="A769" s="10"/>
      <c r="B769" s="10"/>
      <c r="C769" s="10"/>
      <c r="D769" s="10"/>
    </row>
    <row r="770" spans="1:4" ht="14.25" customHeight="1" x14ac:dyDescent="0.35">
      <c r="A770" s="10"/>
      <c r="B770" s="10"/>
      <c r="C770" s="10"/>
      <c r="D770" s="10"/>
    </row>
    <row r="771" spans="1:4" ht="14.25" customHeight="1" x14ac:dyDescent="0.35">
      <c r="A771" s="10"/>
      <c r="B771" s="10"/>
      <c r="C771" s="10"/>
      <c r="D771" s="10"/>
    </row>
    <row r="772" spans="1:4" ht="14.25" customHeight="1" x14ac:dyDescent="0.35">
      <c r="A772" s="10"/>
      <c r="B772" s="10"/>
      <c r="C772" s="10"/>
      <c r="D772" s="10"/>
    </row>
    <row r="773" spans="1:4" ht="14.25" customHeight="1" x14ac:dyDescent="0.35">
      <c r="A773" s="10"/>
      <c r="B773" s="10"/>
      <c r="C773" s="10"/>
      <c r="D773" s="10"/>
    </row>
    <row r="774" spans="1:4" ht="14.25" customHeight="1" x14ac:dyDescent="0.35">
      <c r="A774" s="10"/>
      <c r="B774" s="10"/>
      <c r="C774" s="10"/>
      <c r="D774" s="10"/>
    </row>
    <row r="775" spans="1:4" ht="14.25" customHeight="1" x14ac:dyDescent="0.35">
      <c r="A775" s="10"/>
      <c r="B775" s="10"/>
      <c r="C775" s="10"/>
      <c r="D775" s="10"/>
    </row>
    <row r="776" spans="1:4" ht="14.25" customHeight="1" x14ac:dyDescent="0.35">
      <c r="A776" s="10"/>
      <c r="B776" s="10"/>
      <c r="C776" s="10"/>
      <c r="D776" s="10"/>
    </row>
    <row r="777" spans="1:4" ht="14.25" customHeight="1" x14ac:dyDescent="0.35">
      <c r="A777" s="10"/>
      <c r="B777" s="10"/>
      <c r="C777" s="10"/>
      <c r="D777" s="10"/>
    </row>
    <row r="778" spans="1:4" ht="14.25" customHeight="1" x14ac:dyDescent="0.35">
      <c r="A778" s="10"/>
      <c r="B778" s="10"/>
      <c r="C778" s="10"/>
      <c r="D778" s="10"/>
    </row>
    <row r="779" spans="1:4" ht="14.25" customHeight="1" x14ac:dyDescent="0.35">
      <c r="A779" s="10"/>
      <c r="B779" s="10"/>
      <c r="C779" s="10"/>
      <c r="D779" s="10"/>
    </row>
    <row r="780" spans="1:4" ht="14.25" customHeight="1" x14ac:dyDescent="0.35">
      <c r="A780" s="10"/>
      <c r="B780" s="10"/>
      <c r="C780" s="10"/>
      <c r="D780" s="10"/>
    </row>
    <row r="781" spans="1:4" ht="14.25" customHeight="1" x14ac:dyDescent="0.35">
      <c r="A781" s="10"/>
      <c r="B781" s="10"/>
      <c r="C781" s="10"/>
      <c r="D781" s="10"/>
    </row>
    <row r="782" spans="1:4" ht="14.25" customHeight="1" x14ac:dyDescent="0.35">
      <c r="A782" s="10"/>
      <c r="B782" s="10"/>
      <c r="C782" s="10"/>
      <c r="D782" s="10"/>
    </row>
    <row r="783" spans="1:4" ht="14.25" customHeight="1" x14ac:dyDescent="0.35">
      <c r="A783" s="10"/>
      <c r="B783" s="10"/>
      <c r="C783" s="10"/>
      <c r="D783" s="10"/>
    </row>
    <row r="784" spans="1:4" ht="14.25" customHeight="1" x14ac:dyDescent="0.35">
      <c r="A784" s="10"/>
      <c r="B784" s="10"/>
      <c r="C784" s="10"/>
      <c r="D784" s="10"/>
    </row>
    <row r="785" spans="1:4" ht="14.25" customHeight="1" x14ac:dyDescent="0.35">
      <c r="A785" s="10"/>
      <c r="B785" s="10"/>
      <c r="C785" s="10"/>
      <c r="D785" s="10"/>
    </row>
    <row r="786" spans="1:4" ht="14.25" customHeight="1" x14ac:dyDescent="0.35">
      <c r="A786" s="10"/>
      <c r="B786" s="10"/>
      <c r="C786" s="10"/>
      <c r="D786" s="10"/>
    </row>
    <row r="787" spans="1:4" ht="14.25" customHeight="1" x14ac:dyDescent="0.35">
      <c r="A787" s="10"/>
      <c r="B787" s="10"/>
      <c r="C787" s="10"/>
      <c r="D787" s="10"/>
    </row>
    <row r="788" spans="1:4" ht="14.25" customHeight="1" x14ac:dyDescent="0.35">
      <c r="A788" s="10"/>
      <c r="B788" s="10"/>
      <c r="C788" s="10"/>
      <c r="D788" s="10"/>
    </row>
    <row r="789" spans="1:4" ht="14.25" customHeight="1" x14ac:dyDescent="0.35">
      <c r="A789" s="10"/>
      <c r="B789" s="10"/>
      <c r="C789" s="10"/>
      <c r="D789" s="10"/>
    </row>
    <row r="790" spans="1:4" ht="14.25" customHeight="1" x14ac:dyDescent="0.35">
      <c r="A790" s="10"/>
      <c r="B790" s="10"/>
      <c r="C790" s="10"/>
      <c r="D790" s="10"/>
    </row>
    <row r="791" spans="1:4" ht="14.25" customHeight="1" x14ac:dyDescent="0.35">
      <c r="A791" s="10"/>
      <c r="B791" s="10"/>
      <c r="C791" s="10"/>
      <c r="D791" s="10"/>
    </row>
    <row r="792" spans="1:4" ht="14.25" customHeight="1" x14ac:dyDescent="0.35">
      <c r="A792" s="10"/>
      <c r="B792" s="10"/>
      <c r="C792" s="10"/>
      <c r="D792" s="10"/>
    </row>
    <row r="793" spans="1:4" ht="14.25" customHeight="1" x14ac:dyDescent="0.35">
      <c r="A793" s="10"/>
      <c r="B793" s="10"/>
      <c r="C793" s="10"/>
      <c r="D793" s="10"/>
    </row>
    <row r="794" spans="1:4" ht="14.25" customHeight="1" x14ac:dyDescent="0.35">
      <c r="A794" s="10"/>
      <c r="B794" s="10"/>
      <c r="C794" s="10"/>
      <c r="D794" s="10"/>
    </row>
    <row r="795" spans="1:4" ht="14.25" customHeight="1" x14ac:dyDescent="0.35">
      <c r="A795" s="10"/>
      <c r="B795" s="10"/>
      <c r="C795" s="10"/>
      <c r="D795" s="10"/>
    </row>
    <row r="796" spans="1:4" ht="14.25" customHeight="1" x14ac:dyDescent="0.35">
      <c r="A796" s="10"/>
      <c r="B796" s="10"/>
      <c r="C796" s="10"/>
      <c r="D796" s="10"/>
    </row>
    <row r="797" spans="1:4" ht="14.25" customHeight="1" x14ac:dyDescent="0.35">
      <c r="A797" s="10"/>
      <c r="B797" s="10"/>
      <c r="C797" s="10"/>
      <c r="D797" s="10"/>
    </row>
    <row r="798" spans="1:4" ht="14.25" customHeight="1" x14ac:dyDescent="0.35">
      <c r="A798" s="10"/>
      <c r="B798" s="10"/>
      <c r="C798" s="10"/>
      <c r="D798" s="10"/>
    </row>
    <row r="799" spans="1:4" ht="14.25" customHeight="1" x14ac:dyDescent="0.35">
      <c r="A799" s="10"/>
      <c r="B799" s="10"/>
      <c r="C799" s="10"/>
      <c r="D799" s="10"/>
    </row>
    <row r="800" spans="1:4" ht="14.25" customHeight="1" x14ac:dyDescent="0.35">
      <c r="A800" s="10"/>
      <c r="B800" s="10"/>
      <c r="C800" s="10"/>
      <c r="D800" s="10"/>
    </row>
    <row r="801" spans="1:4" ht="14.25" customHeight="1" x14ac:dyDescent="0.35">
      <c r="A801" s="10"/>
      <c r="B801" s="10"/>
      <c r="C801" s="10"/>
      <c r="D801" s="10"/>
    </row>
    <row r="802" spans="1:4" ht="14.25" customHeight="1" x14ac:dyDescent="0.35">
      <c r="A802" s="10"/>
      <c r="B802" s="10"/>
      <c r="C802" s="10"/>
      <c r="D802" s="10"/>
    </row>
    <row r="803" spans="1:4" ht="14.25" customHeight="1" x14ac:dyDescent="0.35">
      <c r="A803" s="10"/>
      <c r="B803" s="10"/>
      <c r="C803" s="10"/>
      <c r="D803" s="10"/>
    </row>
    <row r="804" spans="1:4" ht="14.25" customHeight="1" x14ac:dyDescent="0.35">
      <c r="A804" s="10"/>
      <c r="B804" s="10"/>
      <c r="C804" s="10"/>
      <c r="D804" s="10"/>
    </row>
    <row r="805" spans="1:4" ht="14.25" customHeight="1" x14ac:dyDescent="0.35">
      <c r="A805" s="10"/>
      <c r="B805" s="10"/>
      <c r="C805" s="10"/>
      <c r="D805" s="10"/>
    </row>
    <row r="806" spans="1:4" ht="14.25" customHeight="1" x14ac:dyDescent="0.35">
      <c r="A806" s="10"/>
      <c r="B806" s="10"/>
      <c r="C806" s="10"/>
      <c r="D806" s="10"/>
    </row>
    <row r="807" spans="1:4" ht="14.25" customHeight="1" x14ac:dyDescent="0.35">
      <c r="A807" s="10"/>
      <c r="B807" s="10"/>
      <c r="C807" s="10"/>
      <c r="D807" s="10"/>
    </row>
    <row r="808" spans="1:4" ht="14.25" customHeight="1" x14ac:dyDescent="0.35">
      <c r="A808" s="10"/>
      <c r="B808" s="10"/>
      <c r="C808" s="10"/>
      <c r="D808" s="10"/>
    </row>
    <row r="809" spans="1:4" ht="14.25" customHeight="1" x14ac:dyDescent="0.35">
      <c r="A809" s="10"/>
      <c r="B809" s="10"/>
      <c r="C809" s="10"/>
      <c r="D809" s="10"/>
    </row>
    <row r="810" spans="1:4" ht="14.25" customHeight="1" x14ac:dyDescent="0.35">
      <c r="A810" s="10"/>
      <c r="B810" s="10"/>
      <c r="C810" s="10"/>
      <c r="D810" s="10"/>
    </row>
    <row r="811" spans="1:4" ht="14.25" customHeight="1" x14ac:dyDescent="0.35">
      <c r="A811" s="10"/>
      <c r="B811" s="10"/>
      <c r="C811" s="10"/>
      <c r="D811" s="10"/>
    </row>
    <row r="812" spans="1:4" ht="14.25" customHeight="1" x14ac:dyDescent="0.35">
      <c r="A812" s="10"/>
      <c r="B812" s="10"/>
      <c r="C812" s="10"/>
      <c r="D812" s="10"/>
    </row>
    <row r="813" spans="1:4" ht="14.25" customHeight="1" x14ac:dyDescent="0.35">
      <c r="A813" s="10"/>
      <c r="B813" s="10"/>
      <c r="C813" s="10"/>
      <c r="D813" s="10"/>
    </row>
    <row r="814" spans="1:4" ht="14.25" customHeight="1" x14ac:dyDescent="0.35">
      <c r="A814" s="10"/>
      <c r="B814" s="10"/>
      <c r="C814" s="10"/>
      <c r="D814" s="10"/>
    </row>
    <row r="815" spans="1:4" ht="14.25" customHeight="1" x14ac:dyDescent="0.35">
      <c r="A815" s="10"/>
      <c r="B815" s="10"/>
      <c r="C815" s="10"/>
      <c r="D815" s="10"/>
    </row>
    <row r="816" spans="1:4" ht="14.25" customHeight="1" x14ac:dyDescent="0.35">
      <c r="A816" s="10"/>
      <c r="B816" s="10"/>
      <c r="C816" s="10"/>
      <c r="D816" s="10"/>
    </row>
    <row r="817" spans="1:4" ht="14.25" customHeight="1" x14ac:dyDescent="0.35">
      <c r="A817" s="10"/>
      <c r="B817" s="10"/>
      <c r="C817" s="10"/>
      <c r="D817" s="10"/>
    </row>
    <row r="818" spans="1:4" ht="14.25" customHeight="1" x14ac:dyDescent="0.35">
      <c r="A818" s="10"/>
      <c r="B818" s="10"/>
      <c r="C818" s="10"/>
      <c r="D818" s="10"/>
    </row>
    <row r="819" spans="1:4" ht="14.25" customHeight="1" x14ac:dyDescent="0.35">
      <c r="A819" s="10"/>
      <c r="B819" s="10"/>
      <c r="C819" s="10"/>
      <c r="D819" s="10"/>
    </row>
    <row r="820" spans="1:4" ht="14.25" customHeight="1" x14ac:dyDescent="0.35">
      <c r="A820" s="10"/>
      <c r="B820" s="10"/>
      <c r="C820" s="10"/>
      <c r="D820" s="10"/>
    </row>
    <row r="821" spans="1:4" ht="14.25" customHeight="1" x14ac:dyDescent="0.35">
      <c r="A821" s="10"/>
      <c r="B821" s="10"/>
      <c r="C821" s="10"/>
      <c r="D821" s="10"/>
    </row>
    <row r="822" spans="1:4" ht="14.25" customHeight="1" x14ac:dyDescent="0.35">
      <c r="A822" s="10"/>
      <c r="B822" s="10"/>
      <c r="C822" s="10"/>
      <c r="D822" s="10"/>
    </row>
    <row r="823" spans="1:4" ht="14.25" customHeight="1" x14ac:dyDescent="0.35">
      <c r="A823" s="10"/>
      <c r="B823" s="10"/>
      <c r="C823" s="10"/>
      <c r="D823" s="10"/>
    </row>
    <row r="824" spans="1:4" ht="14.25" customHeight="1" x14ac:dyDescent="0.35">
      <c r="A824" s="10"/>
      <c r="B824" s="10"/>
      <c r="C824" s="10"/>
      <c r="D824" s="10"/>
    </row>
    <row r="825" spans="1:4" ht="14.25" customHeight="1" x14ac:dyDescent="0.35">
      <c r="A825" s="10"/>
      <c r="B825" s="10"/>
      <c r="C825" s="10"/>
      <c r="D825" s="10"/>
    </row>
    <row r="826" spans="1:4" ht="14.25" customHeight="1" x14ac:dyDescent="0.35">
      <c r="A826" s="10"/>
      <c r="B826" s="10"/>
      <c r="C826" s="10"/>
      <c r="D826" s="10"/>
    </row>
    <row r="827" spans="1:4" ht="14.25" customHeight="1" x14ac:dyDescent="0.35">
      <c r="A827" s="10"/>
      <c r="B827" s="10"/>
      <c r="C827" s="10"/>
      <c r="D827" s="10"/>
    </row>
    <row r="828" spans="1:4" ht="14.25" customHeight="1" x14ac:dyDescent="0.35">
      <c r="A828" s="10"/>
      <c r="B828" s="10"/>
      <c r="C828" s="10"/>
      <c r="D828" s="10"/>
    </row>
    <row r="829" spans="1:4" ht="14.25" customHeight="1" x14ac:dyDescent="0.35">
      <c r="A829" s="10"/>
      <c r="B829" s="10"/>
      <c r="C829" s="10"/>
      <c r="D829" s="10"/>
    </row>
    <row r="830" spans="1:4" ht="14.25" customHeight="1" x14ac:dyDescent="0.35">
      <c r="A830" s="10"/>
      <c r="B830" s="10"/>
      <c r="C830" s="10"/>
      <c r="D830" s="10"/>
    </row>
    <row r="831" spans="1:4" ht="14.25" customHeight="1" x14ac:dyDescent="0.35">
      <c r="A831" s="10"/>
      <c r="B831" s="10"/>
      <c r="C831" s="10"/>
      <c r="D831" s="10"/>
    </row>
    <row r="832" spans="1:4" ht="14.25" customHeight="1" x14ac:dyDescent="0.35">
      <c r="A832" s="10"/>
      <c r="B832" s="10"/>
      <c r="C832" s="10"/>
      <c r="D832" s="10"/>
    </row>
    <row r="833" spans="1:4" ht="14.25" customHeight="1" x14ac:dyDescent="0.35">
      <c r="A833" s="10"/>
      <c r="B833" s="10"/>
      <c r="C833" s="10"/>
      <c r="D833" s="10"/>
    </row>
    <row r="834" spans="1:4" ht="14.25" customHeight="1" x14ac:dyDescent="0.35">
      <c r="A834" s="10"/>
      <c r="B834" s="10"/>
      <c r="C834" s="10"/>
      <c r="D834" s="10"/>
    </row>
    <row r="835" spans="1:4" ht="14.25" customHeight="1" x14ac:dyDescent="0.35">
      <c r="A835" s="10"/>
      <c r="B835" s="10"/>
      <c r="C835" s="10"/>
      <c r="D835" s="10"/>
    </row>
    <row r="836" spans="1:4" ht="14.25" customHeight="1" x14ac:dyDescent="0.35">
      <c r="A836" s="10"/>
      <c r="B836" s="10"/>
      <c r="C836" s="10"/>
      <c r="D836" s="10"/>
    </row>
    <row r="837" spans="1:4" ht="14.25" customHeight="1" x14ac:dyDescent="0.35">
      <c r="A837" s="10"/>
      <c r="B837" s="10"/>
      <c r="C837" s="10"/>
      <c r="D837" s="10"/>
    </row>
    <row r="838" spans="1:4" ht="14.25" customHeight="1" x14ac:dyDescent="0.35">
      <c r="A838" s="10"/>
      <c r="B838" s="10"/>
      <c r="C838" s="10"/>
      <c r="D838" s="10"/>
    </row>
    <row r="839" spans="1:4" ht="14.25" customHeight="1" x14ac:dyDescent="0.35">
      <c r="A839" s="10"/>
      <c r="B839" s="10"/>
      <c r="C839" s="10"/>
      <c r="D839" s="10"/>
    </row>
    <row r="840" spans="1:4" ht="14.25" customHeight="1" x14ac:dyDescent="0.35">
      <c r="A840" s="10"/>
      <c r="B840" s="10"/>
      <c r="C840" s="10"/>
      <c r="D840" s="10"/>
    </row>
    <row r="841" spans="1:4" ht="14.25" customHeight="1" x14ac:dyDescent="0.35">
      <c r="A841" s="10"/>
      <c r="B841" s="10"/>
      <c r="C841" s="10"/>
      <c r="D841" s="10"/>
    </row>
    <row r="842" spans="1:4" ht="14.25" customHeight="1" x14ac:dyDescent="0.35">
      <c r="A842" s="10"/>
      <c r="B842" s="10"/>
      <c r="C842" s="10"/>
      <c r="D842" s="10"/>
    </row>
    <row r="843" spans="1:4" ht="14.25" customHeight="1" x14ac:dyDescent="0.35">
      <c r="A843" s="10"/>
      <c r="B843" s="10"/>
      <c r="C843" s="10"/>
      <c r="D843" s="10"/>
    </row>
    <row r="844" spans="1:4" ht="14.25" customHeight="1" x14ac:dyDescent="0.35">
      <c r="A844" s="10"/>
      <c r="B844" s="10"/>
      <c r="C844" s="10"/>
      <c r="D844" s="10"/>
    </row>
    <row r="845" spans="1:4" ht="14.25" customHeight="1" x14ac:dyDescent="0.35">
      <c r="A845" s="10"/>
      <c r="B845" s="10"/>
      <c r="C845" s="10"/>
      <c r="D845" s="10"/>
    </row>
    <row r="846" spans="1:4" ht="14.25" customHeight="1" x14ac:dyDescent="0.35">
      <c r="A846" s="10"/>
      <c r="B846" s="10"/>
      <c r="C846" s="10"/>
      <c r="D846" s="10"/>
    </row>
    <row r="847" spans="1:4" ht="14.25" customHeight="1" x14ac:dyDescent="0.35">
      <c r="A847" s="10"/>
      <c r="B847" s="10"/>
      <c r="C847" s="10"/>
      <c r="D847" s="10"/>
    </row>
    <row r="848" spans="1:4" ht="14.25" customHeight="1" x14ac:dyDescent="0.35">
      <c r="A848" s="10"/>
      <c r="B848" s="10"/>
      <c r="C848" s="10"/>
      <c r="D848" s="10"/>
    </row>
    <row r="849" spans="1:4" ht="14.25" customHeight="1" x14ac:dyDescent="0.35">
      <c r="A849" s="10"/>
      <c r="B849" s="10"/>
      <c r="C849" s="10"/>
      <c r="D849" s="10"/>
    </row>
    <row r="850" spans="1:4" ht="14.25" customHeight="1" x14ac:dyDescent="0.35">
      <c r="A850" s="10"/>
      <c r="B850" s="10"/>
      <c r="C850" s="10"/>
      <c r="D850" s="10"/>
    </row>
    <row r="851" spans="1:4" ht="14.25" customHeight="1" x14ac:dyDescent="0.35">
      <c r="A851" s="10"/>
      <c r="B851" s="10"/>
      <c r="C851" s="10"/>
      <c r="D851" s="10"/>
    </row>
    <row r="852" spans="1:4" ht="14.25" customHeight="1" x14ac:dyDescent="0.35">
      <c r="A852" s="10"/>
      <c r="B852" s="10"/>
      <c r="C852" s="10"/>
      <c r="D852" s="10"/>
    </row>
    <row r="853" spans="1:4" ht="14.25" customHeight="1" x14ac:dyDescent="0.35">
      <c r="A853" s="10"/>
      <c r="B853" s="10"/>
      <c r="C853" s="10"/>
      <c r="D853" s="10"/>
    </row>
    <row r="854" spans="1:4" ht="14.25" customHeight="1" x14ac:dyDescent="0.35">
      <c r="A854" s="10"/>
      <c r="B854" s="10"/>
      <c r="C854" s="10"/>
      <c r="D854" s="10"/>
    </row>
    <row r="855" spans="1:4" ht="14.25" customHeight="1" x14ac:dyDescent="0.35">
      <c r="A855" s="10"/>
      <c r="B855" s="10"/>
      <c r="C855" s="10"/>
      <c r="D855" s="10"/>
    </row>
    <row r="856" spans="1:4" ht="14.25" customHeight="1" x14ac:dyDescent="0.35">
      <c r="A856" s="10"/>
      <c r="B856" s="10"/>
      <c r="C856" s="10"/>
      <c r="D856" s="10"/>
    </row>
    <row r="857" spans="1:4" ht="14.25" customHeight="1" x14ac:dyDescent="0.35">
      <c r="A857" s="10"/>
      <c r="B857" s="10"/>
      <c r="C857" s="10"/>
      <c r="D857" s="10"/>
    </row>
    <row r="858" spans="1:4" ht="14.25" customHeight="1" x14ac:dyDescent="0.35">
      <c r="A858" s="10"/>
      <c r="B858" s="10"/>
      <c r="C858" s="10"/>
      <c r="D858" s="10"/>
    </row>
    <row r="859" spans="1:4" ht="14.25" customHeight="1" x14ac:dyDescent="0.35">
      <c r="A859" s="10"/>
      <c r="B859" s="10"/>
      <c r="C859" s="10"/>
      <c r="D859" s="10"/>
    </row>
    <row r="860" spans="1:4" ht="14.25" customHeight="1" x14ac:dyDescent="0.35">
      <c r="A860" s="10"/>
      <c r="B860" s="10"/>
      <c r="C860" s="10"/>
      <c r="D860" s="10"/>
    </row>
    <row r="861" spans="1:4" ht="14.25" customHeight="1" x14ac:dyDescent="0.35">
      <c r="A861" s="10"/>
      <c r="B861" s="10"/>
      <c r="C861" s="10"/>
      <c r="D861" s="10"/>
    </row>
    <row r="862" spans="1:4" ht="14.25" customHeight="1" x14ac:dyDescent="0.35">
      <c r="A862" s="10"/>
      <c r="B862" s="10"/>
      <c r="C862" s="10"/>
      <c r="D862" s="10"/>
    </row>
    <row r="863" spans="1:4" ht="14.25" customHeight="1" x14ac:dyDescent="0.35">
      <c r="A863" s="10"/>
      <c r="B863" s="10"/>
      <c r="C863" s="10"/>
      <c r="D863" s="10"/>
    </row>
    <row r="864" spans="1:4" ht="14.25" customHeight="1" x14ac:dyDescent="0.35">
      <c r="A864" s="10"/>
      <c r="B864" s="10"/>
      <c r="C864" s="10"/>
      <c r="D864" s="10"/>
    </row>
    <row r="865" spans="1:4" ht="14.25" customHeight="1" x14ac:dyDescent="0.35">
      <c r="A865" s="10"/>
      <c r="B865" s="10"/>
      <c r="C865" s="10"/>
      <c r="D865" s="10"/>
    </row>
    <row r="866" spans="1:4" ht="14.25" customHeight="1" x14ac:dyDescent="0.35">
      <c r="A866" s="10"/>
      <c r="B866" s="10"/>
      <c r="C866" s="10"/>
      <c r="D866" s="10"/>
    </row>
    <row r="867" spans="1:4" ht="14.25" customHeight="1" x14ac:dyDescent="0.35">
      <c r="A867" s="10"/>
      <c r="B867" s="10"/>
      <c r="C867" s="10"/>
      <c r="D867" s="10"/>
    </row>
    <row r="868" spans="1:4" ht="14.25" customHeight="1" x14ac:dyDescent="0.35">
      <c r="A868" s="10"/>
      <c r="B868" s="10"/>
      <c r="C868" s="10"/>
      <c r="D868" s="10"/>
    </row>
    <row r="869" spans="1:4" ht="14.25" customHeight="1" x14ac:dyDescent="0.35">
      <c r="A869" s="10"/>
      <c r="B869" s="10"/>
      <c r="C869" s="10"/>
      <c r="D869" s="10"/>
    </row>
    <row r="870" spans="1:4" ht="14.25" customHeight="1" x14ac:dyDescent="0.35">
      <c r="A870" s="10"/>
      <c r="B870" s="10"/>
      <c r="C870" s="10"/>
      <c r="D870" s="10"/>
    </row>
    <row r="871" spans="1:4" ht="14.25" customHeight="1" x14ac:dyDescent="0.35">
      <c r="A871" s="10"/>
      <c r="B871" s="10"/>
      <c r="C871" s="10"/>
      <c r="D871" s="10"/>
    </row>
    <row r="872" spans="1:4" ht="14.25" customHeight="1" x14ac:dyDescent="0.35">
      <c r="A872" s="10"/>
      <c r="B872" s="10"/>
      <c r="C872" s="10"/>
      <c r="D872" s="10"/>
    </row>
    <row r="873" spans="1:4" ht="14.25" customHeight="1" x14ac:dyDescent="0.35">
      <c r="A873" s="10"/>
      <c r="B873" s="10"/>
      <c r="C873" s="10"/>
      <c r="D873" s="10"/>
    </row>
    <row r="874" spans="1:4" ht="14.25" customHeight="1" x14ac:dyDescent="0.35">
      <c r="A874" s="10"/>
      <c r="B874" s="10"/>
      <c r="C874" s="10"/>
      <c r="D874" s="10"/>
    </row>
    <row r="875" spans="1:4" ht="14.25" customHeight="1" x14ac:dyDescent="0.35">
      <c r="A875" s="10"/>
      <c r="B875" s="10"/>
      <c r="C875" s="10"/>
      <c r="D875" s="10"/>
    </row>
    <row r="876" spans="1:4" ht="14.25" customHeight="1" x14ac:dyDescent="0.35">
      <c r="A876" s="10"/>
      <c r="B876" s="10"/>
      <c r="C876" s="10"/>
      <c r="D876" s="10"/>
    </row>
    <row r="877" spans="1:4" ht="14.25" customHeight="1" x14ac:dyDescent="0.35">
      <c r="A877" s="10"/>
      <c r="B877" s="10"/>
      <c r="C877" s="10"/>
      <c r="D877" s="10"/>
    </row>
    <row r="878" spans="1:4" ht="14.25" customHeight="1" x14ac:dyDescent="0.35">
      <c r="A878" s="10"/>
      <c r="B878" s="10"/>
      <c r="C878" s="10"/>
      <c r="D878" s="10"/>
    </row>
    <row r="879" spans="1:4" ht="14.25" customHeight="1" x14ac:dyDescent="0.35">
      <c r="A879" s="10"/>
      <c r="B879" s="10"/>
      <c r="C879" s="10"/>
      <c r="D879" s="10"/>
    </row>
    <row r="880" spans="1:4" ht="14.25" customHeight="1" x14ac:dyDescent="0.35">
      <c r="A880" s="10"/>
      <c r="B880" s="10"/>
      <c r="C880" s="10"/>
      <c r="D880" s="10"/>
    </row>
    <row r="881" spans="1:4" ht="14.25" customHeight="1" x14ac:dyDescent="0.35">
      <c r="A881" s="10"/>
      <c r="B881" s="10"/>
      <c r="C881" s="10"/>
      <c r="D881" s="10"/>
    </row>
    <row r="882" spans="1:4" ht="14.25" customHeight="1" x14ac:dyDescent="0.35">
      <c r="A882" s="10"/>
      <c r="B882" s="10"/>
      <c r="C882" s="10"/>
      <c r="D882" s="10"/>
    </row>
    <row r="883" spans="1:4" ht="14.25" customHeight="1" x14ac:dyDescent="0.35">
      <c r="A883" s="10"/>
      <c r="B883" s="10"/>
      <c r="C883" s="10"/>
      <c r="D883" s="10"/>
    </row>
    <row r="884" spans="1:4" ht="14.25" customHeight="1" x14ac:dyDescent="0.35">
      <c r="A884" s="10"/>
      <c r="B884" s="10"/>
      <c r="C884" s="10"/>
      <c r="D884" s="10"/>
    </row>
    <row r="885" spans="1:4" ht="14.25" customHeight="1" x14ac:dyDescent="0.35">
      <c r="A885" s="10"/>
      <c r="B885" s="10"/>
      <c r="C885" s="10"/>
      <c r="D885" s="10"/>
    </row>
    <row r="886" spans="1:4" ht="14.25" customHeight="1" x14ac:dyDescent="0.35">
      <c r="A886" s="10"/>
      <c r="B886" s="10"/>
      <c r="C886" s="10"/>
      <c r="D886" s="10"/>
    </row>
    <row r="887" spans="1:4" ht="14.25" customHeight="1" x14ac:dyDescent="0.35">
      <c r="A887" s="10"/>
      <c r="B887" s="10"/>
      <c r="C887" s="10"/>
      <c r="D887" s="10"/>
    </row>
    <row r="888" spans="1:4" ht="14.25" customHeight="1" x14ac:dyDescent="0.35">
      <c r="A888" s="10"/>
      <c r="B888" s="10"/>
      <c r="C888" s="10"/>
      <c r="D888" s="10"/>
    </row>
    <row r="889" spans="1:4" ht="14.25" customHeight="1" x14ac:dyDescent="0.35">
      <c r="A889" s="10"/>
      <c r="B889" s="10"/>
      <c r="C889" s="10"/>
      <c r="D889" s="10"/>
    </row>
    <row r="890" spans="1:4" ht="14.25" customHeight="1" x14ac:dyDescent="0.35">
      <c r="A890" s="10"/>
      <c r="B890" s="10"/>
      <c r="C890" s="10"/>
      <c r="D890" s="10"/>
    </row>
    <row r="891" spans="1:4" ht="14.25" customHeight="1" x14ac:dyDescent="0.35">
      <c r="A891" s="10"/>
      <c r="B891" s="10"/>
      <c r="C891" s="10"/>
      <c r="D891" s="10"/>
    </row>
    <row r="892" spans="1:4" ht="14.25" customHeight="1" x14ac:dyDescent="0.35">
      <c r="A892" s="10"/>
      <c r="B892" s="10"/>
      <c r="C892" s="10"/>
      <c r="D892" s="10"/>
    </row>
    <row r="893" spans="1:4" ht="14.25" customHeight="1" x14ac:dyDescent="0.35">
      <c r="A893" s="10"/>
      <c r="B893" s="10"/>
      <c r="C893" s="10"/>
      <c r="D893" s="10"/>
    </row>
    <row r="894" spans="1:4" ht="14.25" customHeight="1" x14ac:dyDescent="0.35">
      <c r="A894" s="10"/>
      <c r="B894" s="10"/>
      <c r="C894" s="10"/>
      <c r="D894" s="10"/>
    </row>
    <row r="895" spans="1:4" ht="14.25" customHeight="1" x14ac:dyDescent="0.35">
      <c r="A895" s="10"/>
      <c r="B895" s="10"/>
      <c r="C895" s="10"/>
      <c r="D895" s="10"/>
    </row>
    <row r="896" spans="1:4" ht="14.25" customHeight="1" x14ac:dyDescent="0.35">
      <c r="A896" s="10"/>
      <c r="B896" s="10"/>
      <c r="C896" s="10"/>
      <c r="D896" s="10"/>
    </row>
    <row r="897" spans="1:4" ht="14.25" customHeight="1" x14ac:dyDescent="0.35">
      <c r="A897" s="10"/>
      <c r="B897" s="10"/>
      <c r="C897" s="10"/>
      <c r="D897" s="10"/>
    </row>
    <row r="898" spans="1:4" ht="14.25" customHeight="1" x14ac:dyDescent="0.35">
      <c r="A898" s="10"/>
      <c r="B898" s="10"/>
      <c r="C898" s="10"/>
      <c r="D898" s="10"/>
    </row>
    <row r="899" spans="1:4" ht="14.25" customHeight="1" x14ac:dyDescent="0.35">
      <c r="A899" s="10"/>
      <c r="B899" s="10"/>
      <c r="C899" s="10"/>
      <c r="D899" s="10"/>
    </row>
    <row r="900" spans="1:4" ht="14.25" customHeight="1" x14ac:dyDescent="0.35">
      <c r="A900" s="10"/>
      <c r="B900" s="10"/>
      <c r="C900" s="10"/>
      <c r="D900" s="10"/>
    </row>
    <row r="901" spans="1:4" ht="14.25" customHeight="1" x14ac:dyDescent="0.35">
      <c r="A901" s="10"/>
      <c r="B901" s="10"/>
      <c r="C901" s="10"/>
      <c r="D901" s="10"/>
    </row>
    <row r="902" spans="1:4" ht="14.25" customHeight="1" x14ac:dyDescent="0.35">
      <c r="A902" s="10"/>
      <c r="B902" s="10"/>
      <c r="C902" s="10"/>
      <c r="D902" s="10"/>
    </row>
    <row r="903" spans="1:4" ht="14.25" customHeight="1" x14ac:dyDescent="0.35">
      <c r="A903" s="10"/>
      <c r="B903" s="10"/>
      <c r="C903" s="10"/>
      <c r="D903" s="10"/>
    </row>
    <row r="904" spans="1:4" ht="14.25" customHeight="1" x14ac:dyDescent="0.35">
      <c r="A904" s="10"/>
      <c r="B904" s="10"/>
      <c r="C904" s="10"/>
      <c r="D904" s="10"/>
    </row>
    <row r="905" spans="1:4" ht="14.25" customHeight="1" x14ac:dyDescent="0.35">
      <c r="A905" s="10"/>
      <c r="B905" s="10"/>
      <c r="C905" s="10"/>
      <c r="D905" s="10"/>
    </row>
    <row r="906" spans="1:4" ht="14.25" customHeight="1" x14ac:dyDescent="0.35">
      <c r="A906" s="10"/>
      <c r="B906" s="10"/>
      <c r="C906" s="10"/>
      <c r="D906" s="10"/>
    </row>
    <row r="907" spans="1:4" ht="14.25" customHeight="1" x14ac:dyDescent="0.35">
      <c r="A907" s="10"/>
      <c r="B907" s="10"/>
      <c r="C907" s="10"/>
      <c r="D907" s="10"/>
    </row>
    <row r="908" spans="1:4" ht="14.25" customHeight="1" x14ac:dyDescent="0.35">
      <c r="A908" s="10"/>
      <c r="B908" s="10"/>
      <c r="C908" s="10"/>
      <c r="D908" s="10"/>
    </row>
    <row r="909" spans="1:4" ht="14.25" customHeight="1" x14ac:dyDescent="0.35">
      <c r="A909" s="10"/>
      <c r="B909" s="10"/>
      <c r="C909" s="10"/>
      <c r="D909" s="10"/>
    </row>
    <row r="910" spans="1:4" ht="14.25" customHeight="1" x14ac:dyDescent="0.35">
      <c r="A910" s="10"/>
      <c r="B910" s="10"/>
      <c r="C910" s="10"/>
      <c r="D910" s="10"/>
    </row>
    <row r="911" spans="1:4" ht="14.25" customHeight="1" x14ac:dyDescent="0.35">
      <c r="A911" s="10"/>
      <c r="B911" s="10"/>
      <c r="C911" s="10"/>
      <c r="D911" s="10"/>
    </row>
    <row r="912" spans="1:4" ht="14.25" customHeight="1" x14ac:dyDescent="0.35">
      <c r="A912" s="10"/>
      <c r="B912" s="10"/>
      <c r="C912" s="10"/>
      <c r="D912" s="10"/>
    </row>
    <row r="913" spans="1:4" ht="14.25" customHeight="1" x14ac:dyDescent="0.35">
      <c r="A913" s="10"/>
      <c r="B913" s="10"/>
      <c r="C913" s="10"/>
      <c r="D913" s="10"/>
    </row>
    <row r="914" spans="1:4" ht="14.25" customHeight="1" x14ac:dyDescent="0.35">
      <c r="A914" s="10"/>
      <c r="B914" s="10"/>
      <c r="C914" s="10"/>
      <c r="D914" s="10"/>
    </row>
    <row r="915" spans="1:4" ht="14.25" customHeight="1" x14ac:dyDescent="0.35">
      <c r="A915" s="10"/>
      <c r="B915" s="10"/>
      <c r="C915" s="10"/>
      <c r="D915" s="10"/>
    </row>
    <row r="916" spans="1:4" ht="14.25" customHeight="1" x14ac:dyDescent="0.35">
      <c r="A916" s="10"/>
      <c r="B916" s="10"/>
      <c r="C916" s="10"/>
      <c r="D916" s="10"/>
    </row>
    <row r="917" spans="1:4" ht="14.25" customHeight="1" x14ac:dyDescent="0.35">
      <c r="A917" s="10"/>
      <c r="B917" s="10"/>
      <c r="C917" s="10"/>
      <c r="D917" s="10"/>
    </row>
    <row r="918" spans="1:4" ht="14.25" customHeight="1" x14ac:dyDescent="0.35">
      <c r="A918" s="10"/>
      <c r="B918" s="10"/>
      <c r="C918" s="10"/>
      <c r="D918" s="10"/>
    </row>
    <row r="919" spans="1:4" ht="14.25" customHeight="1" x14ac:dyDescent="0.35">
      <c r="A919" s="10"/>
      <c r="B919" s="10"/>
      <c r="C919" s="10"/>
      <c r="D919" s="10"/>
    </row>
    <row r="920" spans="1:4" ht="14.25" customHeight="1" x14ac:dyDescent="0.35">
      <c r="A920" s="10"/>
      <c r="B920" s="10"/>
      <c r="C920" s="10"/>
      <c r="D920" s="10"/>
    </row>
    <row r="921" spans="1:4" ht="14.25" customHeight="1" x14ac:dyDescent="0.35">
      <c r="A921" s="10"/>
      <c r="B921" s="10"/>
      <c r="C921" s="10"/>
      <c r="D921" s="10"/>
    </row>
    <row r="922" spans="1:4" ht="14.25" customHeight="1" x14ac:dyDescent="0.35">
      <c r="A922" s="10"/>
      <c r="B922" s="10"/>
      <c r="C922" s="10"/>
      <c r="D922" s="10"/>
    </row>
    <row r="923" spans="1:4" ht="14.25" customHeight="1" x14ac:dyDescent="0.35">
      <c r="A923" s="10"/>
      <c r="B923" s="10"/>
      <c r="C923" s="10"/>
      <c r="D923" s="10"/>
    </row>
    <row r="924" spans="1:4" ht="14.25" customHeight="1" x14ac:dyDescent="0.35">
      <c r="A924" s="10"/>
      <c r="B924" s="10"/>
      <c r="C924" s="10"/>
      <c r="D924" s="10"/>
    </row>
    <row r="925" spans="1:4" ht="14.25" customHeight="1" x14ac:dyDescent="0.35">
      <c r="A925" s="10"/>
      <c r="B925" s="10"/>
      <c r="C925" s="10"/>
      <c r="D925" s="10"/>
    </row>
    <row r="926" spans="1:4" ht="14.25" customHeight="1" x14ac:dyDescent="0.35">
      <c r="A926" s="10"/>
      <c r="B926" s="10"/>
      <c r="C926" s="10"/>
      <c r="D926" s="10"/>
    </row>
    <row r="927" spans="1:4" ht="14.25" customHeight="1" x14ac:dyDescent="0.35">
      <c r="A927" s="10"/>
      <c r="B927" s="10"/>
      <c r="C927" s="10"/>
      <c r="D927" s="10"/>
    </row>
    <row r="928" spans="1:4" ht="14.25" customHeight="1" x14ac:dyDescent="0.35">
      <c r="A928" s="10"/>
      <c r="B928" s="10"/>
      <c r="C928" s="10"/>
      <c r="D928" s="10"/>
    </row>
    <row r="929" spans="1:4" ht="14.25" customHeight="1" x14ac:dyDescent="0.35">
      <c r="A929" s="10"/>
      <c r="B929" s="10"/>
      <c r="C929" s="10"/>
      <c r="D929" s="10"/>
    </row>
    <row r="930" spans="1:4" ht="14.25" customHeight="1" x14ac:dyDescent="0.35">
      <c r="A930" s="10"/>
      <c r="B930" s="10"/>
      <c r="C930" s="10"/>
      <c r="D930" s="10"/>
    </row>
    <row r="931" spans="1:4" ht="14.25" customHeight="1" x14ac:dyDescent="0.35">
      <c r="A931" s="10"/>
      <c r="B931" s="10"/>
      <c r="C931" s="10"/>
      <c r="D931" s="10"/>
    </row>
    <row r="932" spans="1:4" ht="14.25" customHeight="1" x14ac:dyDescent="0.35">
      <c r="A932" s="10"/>
      <c r="B932" s="10"/>
      <c r="C932" s="10"/>
      <c r="D932" s="10"/>
    </row>
    <row r="933" spans="1:4" ht="14.25" customHeight="1" x14ac:dyDescent="0.35">
      <c r="A933" s="10"/>
      <c r="B933" s="10"/>
      <c r="C933" s="10"/>
      <c r="D933" s="10"/>
    </row>
    <row r="934" spans="1:4" ht="14.25" customHeight="1" x14ac:dyDescent="0.35">
      <c r="A934" s="10"/>
      <c r="B934" s="10"/>
      <c r="C934" s="10"/>
      <c r="D934" s="10"/>
    </row>
    <row r="935" spans="1:4" ht="14.25" customHeight="1" x14ac:dyDescent="0.35">
      <c r="A935" s="10"/>
      <c r="B935" s="10"/>
      <c r="C935" s="10"/>
      <c r="D935" s="10"/>
    </row>
    <row r="936" spans="1:4" ht="14.25" customHeight="1" x14ac:dyDescent="0.35">
      <c r="A936" s="10"/>
      <c r="B936" s="10"/>
      <c r="C936" s="10"/>
      <c r="D936" s="10"/>
    </row>
    <row r="937" spans="1:4" ht="14.25" customHeight="1" x14ac:dyDescent="0.35">
      <c r="A937" s="10"/>
      <c r="B937" s="10"/>
      <c r="C937" s="10"/>
      <c r="D937" s="10"/>
    </row>
    <row r="938" spans="1:4" ht="14.25" customHeight="1" x14ac:dyDescent="0.35">
      <c r="A938" s="10"/>
      <c r="B938" s="10"/>
      <c r="C938" s="10"/>
      <c r="D938" s="10"/>
    </row>
    <row r="939" spans="1:4" ht="14.25" customHeight="1" x14ac:dyDescent="0.35">
      <c r="A939" s="10"/>
      <c r="B939" s="10"/>
      <c r="C939" s="10"/>
      <c r="D939" s="10"/>
    </row>
    <row r="940" spans="1:4" ht="14.25" customHeight="1" x14ac:dyDescent="0.35">
      <c r="A940" s="10"/>
      <c r="B940" s="10"/>
      <c r="C940" s="10"/>
      <c r="D940" s="10"/>
    </row>
    <row r="941" spans="1:4" ht="14.25" customHeight="1" x14ac:dyDescent="0.35">
      <c r="A941" s="10"/>
      <c r="B941" s="10"/>
      <c r="C941" s="10"/>
      <c r="D941" s="10"/>
    </row>
    <row r="942" spans="1:4" ht="14.25" customHeight="1" x14ac:dyDescent="0.35">
      <c r="A942" s="10"/>
      <c r="B942" s="10"/>
      <c r="C942" s="10"/>
      <c r="D942" s="10"/>
    </row>
    <row r="943" spans="1:4" ht="14.25" customHeight="1" x14ac:dyDescent="0.35">
      <c r="A943" s="10"/>
      <c r="B943" s="10"/>
      <c r="C943" s="10"/>
      <c r="D943" s="10"/>
    </row>
    <row r="944" spans="1:4" ht="14.25" customHeight="1" x14ac:dyDescent="0.35">
      <c r="A944" s="10"/>
      <c r="B944" s="10"/>
      <c r="C944" s="10"/>
      <c r="D944" s="10"/>
    </row>
    <row r="945" spans="1:4" ht="14.25" customHeight="1" x14ac:dyDescent="0.35">
      <c r="A945" s="10"/>
      <c r="B945" s="10"/>
      <c r="C945" s="10"/>
      <c r="D945" s="10"/>
    </row>
    <row r="946" spans="1:4" ht="14.25" customHeight="1" x14ac:dyDescent="0.35">
      <c r="A946" s="10"/>
      <c r="B946" s="10"/>
      <c r="C946" s="10"/>
      <c r="D946" s="10"/>
    </row>
    <row r="947" spans="1:4" ht="14.25" customHeight="1" x14ac:dyDescent="0.35">
      <c r="A947" s="10"/>
      <c r="B947" s="10"/>
      <c r="C947" s="10"/>
      <c r="D947" s="10"/>
    </row>
    <row r="948" spans="1:4" ht="14.25" customHeight="1" x14ac:dyDescent="0.35">
      <c r="A948" s="10"/>
      <c r="B948" s="10"/>
      <c r="C948" s="10"/>
      <c r="D948" s="10"/>
    </row>
    <row r="949" spans="1:4" ht="14.25" customHeight="1" x14ac:dyDescent="0.35">
      <c r="A949" s="10"/>
      <c r="B949" s="10"/>
      <c r="C949" s="10"/>
      <c r="D949" s="10"/>
    </row>
    <row r="950" spans="1:4" ht="14.25" customHeight="1" x14ac:dyDescent="0.35">
      <c r="A950" s="10"/>
      <c r="B950" s="10"/>
      <c r="C950" s="10"/>
      <c r="D950" s="10"/>
    </row>
    <row r="951" spans="1:4" ht="14.25" customHeight="1" x14ac:dyDescent="0.35">
      <c r="A951" s="10"/>
      <c r="B951" s="10"/>
      <c r="C951" s="10"/>
      <c r="D951" s="10"/>
    </row>
    <row r="952" spans="1:4" ht="14.25" customHeight="1" x14ac:dyDescent="0.35">
      <c r="A952" s="10"/>
      <c r="B952" s="10"/>
      <c r="C952" s="10"/>
      <c r="D952" s="10"/>
    </row>
    <row r="953" spans="1:4" ht="14.25" customHeight="1" x14ac:dyDescent="0.35">
      <c r="A953" s="10"/>
      <c r="B953" s="10"/>
      <c r="C953" s="10"/>
      <c r="D953" s="10"/>
    </row>
    <row r="954" spans="1:4" ht="14.25" customHeight="1" x14ac:dyDescent="0.35">
      <c r="A954" s="10"/>
      <c r="B954" s="10"/>
      <c r="C954" s="10"/>
      <c r="D954" s="10"/>
    </row>
    <row r="955" spans="1:4" ht="14.25" customHeight="1" x14ac:dyDescent="0.35">
      <c r="A955" s="10"/>
      <c r="B955" s="10"/>
      <c r="C955" s="10"/>
      <c r="D955" s="10"/>
    </row>
    <row r="956" spans="1:4" ht="14.25" customHeight="1" x14ac:dyDescent="0.35">
      <c r="A956" s="10"/>
      <c r="B956" s="10"/>
      <c r="C956" s="10"/>
      <c r="D956" s="10"/>
    </row>
    <row r="957" spans="1:4" ht="14.25" customHeight="1" x14ac:dyDescent="0.35">
      <c r="A957" s="10"/>
      <c r="B957" s="10"/>
      <c r="C957" s="10"/>
      <c r="D957" s="10"/>
    </row>
    <row r="958" spans="1:4" ht="14.25" customHeight="1" x14ac:dyDescent="0.35">
      <c r="A958" s="10"/>
      <c r="B958" s="10"/>
      <c r="C958" s="10"/>
      <c r="D958" s="10"/>
    </row>
    <row r="959" spans="1:4" ht="14.25" customHeight="1" x14ac:dyDescent="0.35">
      <c r="A959" s="10"/>
      <c r="B959" s="10"/>
      <c r="C959" s="10"/>
      <c r="D959" s="10"/>
    </row>
    <row r="960" spans="1:4" ht="14.25" customHeight="1" x14ac:dyDescent="0.35">
      <c r="A960" s="10"/>
      <c r="B960" s="10"/>
      <c r="C960" s="10"/>
      <c r="D960" s="10"/>
    </row>
    <row r="961" spans="1:4" ht="14.25" customHeight="1" x14ac:dyDescent="0.35">
      <c r="A961" s="10"/>
      <c r="B961" s="10"/>
      <c r="C961" s="10"/>
      <c r="D961" s="10"/>
    </row>
    <row r="962" spans="1:4" ht="14.25" customHeight="1" x14ac:dyDescent="0.35">
      <c r="A962" s="10"/>
      <c r="B962" s="10"/>
      <c r="C962" s="10"/>
      <c r="D962" s="10"/>
    </row>
    <row r="963" spans="1:4" ht="14.25" customHeight="1" x14ac:dyDescent="0.35">
      <c r="A963" s="10"/>
      <c r="B963" s="10"/>
      <c r="C963" s="10"/>
      <c r="D963" s="10"/>
    </row>
    <row r="964" spans="1:4" ht="14.25" customHeight="1" x14ac:dyDescent="0.35">
      <c r="A964" s="10"/>
      <c r="B964" s="10"/>
      <c r="C964" s="10"/>
      <c r="D964" s="10"/>
    </row>
    <row r="965" spans="1:4" ht="14.25" customHeight="1" x14ac:dyDescent="0.35">
      <c r="A965" s="10"/>
      <c r="B965" s="10"/>
      <c r="C965" s="10"/>
      <c r="D965" s="10"/>
    </row>
    <row r="966" spans="1:4" ht="14.25" customHeight="1" x14ac:dyDescent="0.35">
      <c r="A966" s="10"/>
      <c r="B966" s="10"/>
      <c r="C966" s="10"/>
      <c r="D966" s="10"/>
    </row>
    <row r="967" spans="1:4" ht="14.25" customHeight="1" x14ac:dyDescent="0.35">
      <c r="A967" s="10"/>
      <c r="B967" s="10"/>
      <c r="C967" s="10"/>
      <c r="D967" s="10"/>
    </row>
    <row r="968" spans="1:4" ht="14.25" customHeight="1" x14ac:dyDescent="0.35">
      <c r="A968" s="10"/>
      <c r="B968" s="10"/>
      <c r="C968" s="10"/>
      <c r="D968" s="10"/>
    </row>
    <row r="969" spans="1:4" ht="14.25" customHeight="1" x14ac:dyDescent="0.35">
      <c r="A969" s="10"/>
      <c r="B969" s="10"/>
      <c r="C969" s="10"/>
      <c r="D969" s="10"/>
    </row>
    <row r="970" spans="1:4" ht="14.25" customHeight="1" x14ac:dyDescent="0.35">
      <c r="A970" s="10"/>
      <c r="B970" s="10"/>
      <c r="C970" s="10"/>
      <c r="D970" s="10"/>
    </row>
    <row r="971" spans="1:4" ht="14.25" customHeight="1" x14ac:dyDescent="0.35">
      <c r="A971" s="10"/>
      <c r="B971" s="10"/>
      <c r="C971" s="10"/>
      <c r="D971" s="10"/>
    </row>
    <row r="972" spans="1:4" ht="14.25" customHeight="1" x14ac:dyDescent="0.35">
      <c r="A972" s="10"/>
      <c r="B972" s="10"/>
      <c r="C972" s="10"/>
      <c r="D972" s="10"/>
    </row>
    <row r="973" spans="1:4" ht="14.25" customHeight="1" x14ac:dyDescent="0.35">
      <c r="A973" s="10"/>
      <c r="B973" s="10"/>
      <c r="C973" s="10"/>
      <c r="D973" s="10"/>
    </row>
    <row r="974" spans="1:4" ht="14.25" customHeight="1" x14ac:dyDescent="0.35">
      <c r="A974" s="10"/>
      <c r="B974" s="10"/>
      <c r="C974" s="10"/>
      <c r="D974" s="10"/>
    </row>
    <row r="975" spans="1:4" ht="14.25" customHeight="1" x14ac:dyDescent="0.35">
      <c r="A975" s="10"/>
      <c r="B975" s="10"/>
      <c r="C975" s="10"/>
      <c r="D975" s="10"/>
    </row>
    <row r="976" spans="1:4" ht="14.25" customHeight="1" x14ac:dyDescent="0.35">
      <c r="A976" s="10"/>
      <c r="B976" s="10"/>
      <c r="C976" s="10"/>
      <c r="D976" s="10"/>
    </row>
    <row r="977" spans="1:4" ht="14.25" customHeight="1" x14ac:dyDescent="0.35">
      <c r="A977" s="10"/>
      <c r="B977" s="10"/>
      <c r="C977" s="10"/>
      <c r="D977" s="10"/>
    </row>
    <row r="978" spans="1:4" ht="14.25" customHeight="1" x14ac:dyDescent="0.35">
      <c r="A978" s="10"/>
      <c r="B978" s="10"/>
      <c r="C978" s="10"/>
      <c r="D978" s="10"/>
    </row>
    <row r="979" spans="1:4" ht="14.25" customHeight="1" x14ac:dyDescent="0.35">
      <c r="A979" s="10"/>
      <c r="B979" s="10"/>
      <c r="C979" s="10"/>
      <c r="D979" s="10"/>
    </row>
    <row r="980" spans="1:4" ht="14.25" customHeight="1" x14ac:dyDescent="0.35">
      <c r="A980" s="10"/>
      <c r="B980" s="10"/>
      <c r="C980" s="10"/>
      <c r="D980" s="10"/>
    </row>
    <row r="981" spans="1:4" ht="14.25" customHeight="1" x14ac:dyDescent="0.35">
      <c r="A981" s="10"/>
      <c r="B981" s="10"/>
      <c r="C981" s="10"/>
      <c r="D981" s="10"/>
    </row>
    <row r="982" spans="1:4" ht="14.25" customHeight="1" x14ac:dyDescent="0.35">
      <c r="A982" s="10"/>
      <c r="B982" s="10"/>
      <c r="C982" s="10"/>
      <c r="D982" s="10"/>
    </row>
    <row r="983" spans="1:4" ht="14.25" customHeight="1" x14ac:dyDescent="0.35">
      <c r="A983" s="10"/>
      <c r="B983" s="10"/>
      <c r="C983" s="10"/>
      <c r="D983" s="10"/>
    </row>
    <row r="984" spans="1:4" ht="14.25" customHeight="1" x14ac:dyDescent="0.35">
      <c r="A984" s="10"/>
      <c r="B984" s="10"/>
      <c r="C984" s="10"/>
      <c r="D984" s="10"/>
    </row>
    <row r="985" spans="1:4" ht="14.25" customHeight="1" x14ac:dyDescent="0.35">
      <c r="A985" s="10"/>
      <c r="B985" s="10"/>
      <c r="C985" s="10"/>
      <c r="D985" s="10"/>
    </row>
    <row r="986" spans="1:4" ht="14.25" customHeight="1" x14ac:dyDescent="0.35">
      <c r="A986" s="10"/>
      <c r="B986" s="10"/>
      <c r="C986" s="10"/>
      <c r="D986" s="10"/>
    </row>
    <row r="987" spans="1:4" ht="14.25" customHeight="1" x14ac:dyDescent="0.35">
      <c r="A987" s="10"/>
      <c r="B987" s="10"/>
      <c r="C987" s="10"/>
      <c r="D987" s="10"/>
    </row>
    <row r="988" spans="1:4" ht="14.25" customHeight="1" x14ac:dyDescent="0.35">
      <c r="A988" s="10"/>
      <c r="B988" s="10"/>
      <c r="C988" s="10"/>
      <c r="D988" s="10"/>
    </row>
    <row r="989" spans="1:4" ht="14.25" customHeight="1" x14ac:dyDescent="0.35">
      <c r="A989" s="10"/>
      <c r="B989" s="10"/>
      <c r="C989" s="10"/>
      <c r="D989" s="10"/>
    </row>
    <row r="990" spans="1:4" ht="14.25" customHeight="1" x14ac:dyDescent="0.35">
      <c r="A990" s="10"/>
      <c r="B990" s="10"/>
      <c r="C990" s="10"/>
      <c r="D990" s="10"/>
    </row>
    <row r="991" spans="1:4" ht="14.25" customHeight="1" x14ac:dyDescent="0.35">
      <c r="A991" s="10"/>
      <c r="B991" s="10"/>
      <c r="C991" s="10"/>
      <c r="D991" s="10"/>
    </row>
    <row r="992" spans="1:4" ht="14.25" customHeight="1" x14ac:dyDescent="0.35">
      <c r="A992" s="10"/>
      <c r="B992" s="10"/>
      <c r="C992" s="10"/>
      <c r="D992" s="10"/>
    </row>
    <row r="993" spans="1:4" ht="14.25" customHeight="1" x14ac:dyDescent="0.35">
      <c r="A993" s="10"/>
      <c r="B993" s="10"/>
      <c r="C993" s="10"/>
      <c r="D993" s="10"/>
    </row>
    <row r="994" spans="1:4" ht="14.25" customHeight="1" x14ac:dyDescent="0.35">
      <c r="A994" s="10"/>
      <c r="B994" s="10"/>
      <c r="C994" s="10"/>
      <c r="D994" s="10"/>
    </row>
    <row r="995" spans="1:4" ht="14.25" customHeight="1" x14ac:dyDescent="0.35">
      <c r="A995" s="10"/>
      <c r="B995" s="10"/>
      <c r="C995" s="10"/>
      <c r="D995" s="10"/>
    </row>
    <row r="996" spans="1:4" ht="14.25" customHeight="1" x14ac:dyDescent="0.35">
      <c r="A996" s="10"/>
      <c r="B996" s="10"/>
      <c r="C996" s="10"/>
      <c r="D996" s="10"/>
    </row>
    <row r="997" spans="1:4" ht="14.25" customHeight="1" x14ac:dyDescent="0.35">
      <c r="A997" s="10"/>
      <c r="B997" s="10"/>
      <c r="C997" s="10"/>
      <c r="D997" s="10"/>
    </row>
    <row r="998" spans="1:4" ht="14.25" customHeight="1" x14ac:dyDescent="0.35">
      <c r="A998" s="10"/>
      <c r="B998" s="10"/>
      <c r="C998" s="10"/>
      <c r="D998" s="10"/>
    </row>
    <row r="999" spans="1:4" ht="14.25" customHeight="1" x14ac:dyDescent="0.35">
      <c r="A999" s="10"/>
      <c r="B999" s="10"/>
      <c r="C999" s="10"/>
      <c r="D999" s="10"/>
    </row>
    <row r="1000" spans="1:4" ht="14.25" customHeight="1" x14ac:dyDescent="0.35">
      <c r="A1000" s="10"/>
      <c r="B1000" s="10"/>
      <c r="C1000" s="10"/>
      <c r="D1000" s="10"/>
    </row>
  </sheetData>
  <pageMargins left="0.75" right="0.75" top="1" bottom="1" header="0" footer="0"/>
  <pageSetup paperSize="9" orientation="portrai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J1000"/>
  <sheetViews>
    <sheetView workbookViewId="0">
      <pane ySplit="1" topLeftCell="A2" activePane="bottomLeft" state="frozen"/>
      <selection pane="bottomLeft" activeCell="B3" sqref="B3"/>
    </sheetView>
  </sheetViews>
  <sheetFormatPr defaultColWidth="14.453125" defaultRowHeight="15" customHeight="1" x14ac:dyDescent="0.35"/>
  <cols>
    <col min="1" max="1" width="5" customWidth="1"/>
    <col min="2" max="2" width="12" customWidth="1"/>
    <col min="3" max="3" width="30" customWidth="1"/>
    <col min="4" max="4" width="6" customWidth="1"/>
    <col min="5" max="5" width="16" customWidth="1"/>
    <col min="6" max="6" width="9" customWidth="1"/>
    <col min="7" max="8" width="32" customWidth="1"/>
    <col min="9" max="9" width="7" customWidth="1"/>
    <col min="10" max="10" width="10" customWidth="1"/>
    <col min="11" max="26" width="8.54296875" customWidth="1"/>
  </cols>
  <sheetData>
    <row r="1" spans="1:10" ht="15" customHeight="1" x14ac:dyDescent="0.35">
      <c r="A1" s="14" t="s">
        <v>0</v>
      </c>
      <c r="B1" s="14" t="s">
        <v>1138</v>
      </c>
      <c r="C1" s="14" t="s">
        <v>954</v>
      </c>
      <c r="D1" s="14" t="s">
        <v>2</v>
      </c>
      <c r="E1" s="14" t="s">
        <v>5</v>
      </c>
      <c r="F1" s="14" t="s">
        <v>6</v>
      </c>
      <c r="G1" s="14" t="s">
        <v>1139</v>
      </c>
      <c r="H1" s="14" t="s">
        <v>1140</v>
      </c>
      <c r="I1" s="14" t="s">
        <v>1141</v>
      </c>
      <c r="J1" s="14" t="s">
        <v>1142</v>
      </c>
    </row>
    <row r="2" spans="1:10" ht="15" customHeight="1" x14ac:dyDescent="0.35">
      <c r="A2" s="19">
        <v>1</v>
      </c>
      <c r="B2" s="19" t="s">
        <v>940</v>
      </c>
      <c r="C2" s="19" t="s">
        <v>955</v>
      </c>
      <c r="D2" s="19" t="s">
        <v>11</v>
      </c>
      <c r="E2" s="19" t="s">
        <v>14</v>
      </c>
      <c r="F2" s="19" t="s">
        <v>15</v>
      </c>
      <c r="G2" s="19" t="s">
        <v>1011</v>
      </c>
      <c r="H2" s="28" t="s">
        <v>1081</v>
      </c>
      <c r="I2" s="19">
        <v>1</v>
      </c>
      <c r="J2" s="19">
        <v>1</v>
      </c>
    </row>
    <row r="3" spans="1:10" ht="15" customHeight="1" x14ac:dyDescent="0.35">
      <c r="A3" s="19">
        <v>2</v>
      </c>
      <c r="B3" s="19" t="s">
        <v>940</v>
      </c>
      <c r="C3" s="19" t="s">
        <v>955</v>
      </c>
      <c r="D3" s="19" t="s">
        <v>11</v>
      </c>
      <c r="E3" s="19" t="s">
        <v>14</v>
      </c>
      <c r="F3" s="19" t="s">
        <v>15</v>
      </c>
      <c r="G3" s="19" t="s">
        <v>1014</v>
      </c>
      <c r="H3" s="28" t="s">
        <v>1078</v>
      </c>
      <c r="I3" s="19">
        <v>1</v>
      </c>
      <c r="J3" s="19">
        <v>1</v>
      </c>
    </row>
    <row r="4" spans="1:10" ht="15" customHeight="1" x14ac:dyDescent="0.35">
      <c r="A4" s="19">
        <v>3</v>
      </c>
      <c r="B4" s="19" t="s">
        <v>940</v>
      </c>
      <c r="C4" s="19" t="s">
        <v>955</v>
      </c>
      <c r="D4" s="19" t="s">
        <v>22</v>
      </c>
      <c r="E4" s="19" t="s">
        <v>14</v>
      </c>
      <c r="F4" s="19" t="s">
        <v>15</v>
      </c>
      <c r="G4" s="19" t="s">
        <v>1013</v>
      </c>
      <c r="H4" s="28" t="s">
        <v>1078</v>
      </c>
      <c r="I4" s="19">
        <v>1</v>
      </c>
      <c r="J4" s="19">
        <v>1</v>
      </c>
    </row>
    <row r="5" spans="1:10" ht="15" customHeight="1" x14ac:dyDescent="0.35">
      <c r="A5" s="19">
        <v>4</v>
      </c>
      <c r="B5" s="19" t="s">
        <v>940</v>
      </c>
      <c r="C5" s="19" t="s">
        <v>955</v>
      </c>
      <c r="D5" s="19" t="s">
        <v>22</v>
      </c>
      <c r="E5" s="19" t="s">
        <v>14</v>
      </c>
      <c r="F5" s="19" t="s">
        <v>15</v>
      </c>
      <c r="G5" s="19" t="s">
        <v>1014</v>
      </c>
      <c r="H5" s="28" t="s">
        <v>1078</v>
      </c>
      <c r="I5" s="19">
        <v>1</v>
      </c>
      <c r="J5" s="19">
        <v>1</v>
      </c>
    </row>
    <row r="6" spans="1:10" ht="15" customHeight="1" x14ac:dyDescent="0.35">
      <c r="A6" s="19">
        <v>5</v>
      </c>
      <c r="B6" s="19" t="s">
        <v>940</v>
      </c>
      <c r="C6" s="19" t="s">
        <v>955</v>
      </c>
      <c r="D6" s="19" t="s">
        <v>22</v>
      </c>
      <c r="E6" s="19" t="s">
        <v>14</v>
      </c>
      <c r="F6" s="19" t="s">
        <v>15</v>
      </c>
      <c r="G6" s="19" t="s">
        <v>1013</v>
      </c>
      <c r="H6" s="28" t="s">
        <v>1078</v>
      </c>
      <c r="I6" s="19">
        <v>1</v>
      </c>
      <c r="J6" s="19">
        <v>1</v>
      </c>
    </row>
    <row r="7" spans="1:10" ht="26.25" customHeight="1" x14ac:dyDescent="0.35">
      <c r="A7" s="19">
        <v>6</v>
      </c>
      <c r="B7" s="19" t="s">
        <v>940</v>
      </c>
      <c r="C7" s="19" t="s">
        <v>955</v>
      </c>
      <c r="D7" s="19" t="s">
        <v>22</v>
      </c>
      <c r="E7" s="19" t="s">
        <v>14</v>
      </c>
      <c r="F7" s="19" t="s">
        <v>15</v>
      </c>
      <c r="G7" s="19" t="s">
        <v>1013</v>
      </c>
      <c r="H7" s="19" t="s">
        <v>1005</v>
      </c>
      <c r="I7" s="19">
        <v>1</v>
      </c>
      <c r="J7" s="19">
        <v>1</v>
      </c>
    </row>
    <row r="8" spans="1:10" ht="15" customHeight="1" x14ac:dyDescent="0.35">
      <c r="A8" s="19">
        <v>7</v>
      </c>
      <c r="B8" s="19" t="s">
        <v>940</v>
      </c>
      <c r="C8" s="19" t="s">
        <v>955</v>
      </c>
      <c r="D8" s="19" t="s">
        <v>38</v>
      </c>
      <c r="E8" s="19" t="s">
        <v>14</v>
      </c>
      <c r="F8" s="19" t="s">
        <v>41</v>
      </c>
      <c r="G8" s="19" t="s">
        <v>1013</v>
      </c>
      <c r="H8" s="28" t="s">
        <v>1077</v>
      </c>
      <c r="I8" s="19">
        <v>1</v>
      </c>
      <c r="J8" s="19">
        <v>1</v>
      </c>
    </row>
    <row r="9" spans="1:10" ht="15" customHeight="1" x14ac:dyDescent="0.35">
      <c r="A9" s="19">
        <v>8</v>
      </c>
      <c r="B9" s="19" t="s">
        <v>940</v>
      </c>
      <c r="C9" s="19" t="s">
        <v>955</v>
      </c>
      <c r="D9" s="19" t="s">
        <v>38</v>
      </c>
      <c r="E9" s="19" t="s">
        <v>14</v>
      </c>
      <c r="F9" s="19" t="s">
        <v>15</v>
      </c>
      <c r="G9" s="19" t="s">
        <v>1025</v>
      </c>
      <c r="H9" s="28" t="s">
        <v>1143</v>
      </c>
      <c r="I9" s="19">
        <v>1</v>
      </c>
      <c r="J9" s="19">
        <v>1</v>
      </c>
    </row>
    <row r="10" spans="1:10" ht="15" customHeight="1" x14ac:dyDescent="0.35">
      <c r="A10" s="19">
        <v>9</v>
      </c>
      <c r="B10" s="19" t="s">
        <v>940</v>
      </c>
      <c r="C10" s="19" t="s">
        <v>955</v>
      </c>
      <c r="D10" s="19" t="s">
        <v>38</v>
      </c>
      <c r="E10" s="19" t="s">
        <v>14</v>
      </c>
      <c r="F10" s="19" t="s">
        <v>41</v>
      </c>
      <c r="G10" s="19" t="s">
        <v>1013</v>
      </c>
      <c r="H10" s="28" t="s">
        <v>1078</v>
      </c>
      <c r="I10" s="19">
        <v>1</v>
      </c>
      <c r="J10" s="19">
        <v>1</v>
      </c>
    </row>
    <row r="11" spans="1:10" ht="26.25" customHeight="1" x14ac:dyDescent="0.35">
      <c r="A11" s="19">
        <v>10</v>
      </c>
      <c r="B11" s="19" t="s">
        <v>940</v>
      </c>
      <c r="C11" s="19" t="s">
        <v>955</v>
      </c>
      <c r="D11" s="19" t="s">
        <v>38</v>
      </c>
      <c r="E11" s="19" t="s">
        <v>14</v>
      </c>
      <c r="F11" s="19" t="s">
        <v>15</v>
      </c>
      <c r="G11" s="19" t="s">
        <v>1026</v>
      </c>
      <c r="H11" s="19" t="s">
        <v>1005</v>
      </c>
      <c r="I11" s="19">
        <v>1</v>
      </c>
      <c r="J11" s="19">
        <v>1</v>
      </c>
    </row>
    <row r="12" spans="1:10" ht="15" customHeight="1" x14ac:dyDescent="0.35">
      <c r="A12" s="19">
        <v>11</v>
      </c>
      <c r="B12" s="19" t="s">
        <v>940</v>
      </c>
      <c r="C12" s="19" t="s">
        <v>955</v>
      </c>
      <c r="D12" s="19" t="s">
        <v>38</v>
      </c>
      <c r="E12" s="19" t="s">
        <v>14</v>
      </c>
      <c r="F12" s="19" t="s">
        <v>15</v>
      </c>
      <c r="G12" s="19" t="s">
        <v>1002</v>
      </c>
      <c r="H12" s="28" t="s">
        <v>1077</v>
      </c>
      <c r="I12" s="19">
        <v>1</v>
      </c>
      <c r="J12" s="19">
        <v>1</v>
      </c>
    </row>
    <row r="13" spans="1:10" ht="15" customHeight="1" x14ac:dyDescent="0.35">
      <c r="A13" s="19">
        <v>12</v>
      </c>
      <c r="B13" s="19" t="s">
        <v>940</v>
      </c>
      <c r="C13" s="19" t="s">
        <v>955</v>
      </c>
      <c r="D13" s="19" t="s">
        <v>38</v>
      </c>
      <c r="E13" s="19" t="s">
        <v>14</v>
      </c>
      <c r="F13" s="19" t="s">
        <v>15</v>
      </c>
      <c r="G13" s="19" t="s">
        <v>1002</v>
      </c>
      <c r="H13" s="28" t="s">
        <v>1077</v>
      </c>
      <c r="I13" s="19">
        <v>1</v>
      </c>
      <c r="J13" s="19">
        <v>1</v>
      </c>
    </row>
    <row r="14" spans="1:10" ht="26.25" customHeight="1" x14ac:dyDescent="0.35">
      <c r="A14" s="19">
        <v>13</v>
      </c>
      <c r="B14" s="19" t="s">
        <v>940</v>
      </c>
      <c r="C14" s="19" t="s">
        <v>955</v>
      </c>
      <c r="D14" s="19" t="s">
        <v>64</v>
      </c>
      <c r="E14" s="19" t="s">
        <v>14</v>
      </c>
      <c r="F14" s="19" t="s">
        <v>15</v>
      </c>
      <c r="G14" s="19" t="s">
        <v>1002</v>
      </c>
      <c r="H14" s="19" t="s">
        <v>1005</v>
      </c>
      <c r="I14" s="19">
        <v>1</v>
      </c>
      <c r="J14" s="19">
        <v>1</v>
      </c>
    </row>
    <row r="15" spans="1:10" ht="15" customHeight="1" x14ac:dyDescent="0.35">
      <c r="A15" s="19">
        <v>14</v>
      </c>
      <c r="B15" s="19" t="s">
        <v>940</v>
      </c>
      <c r="C15" s="19" t="s">
        <v>955</v>
      </c>
      <c r="D15" s="19" t="s">
        <v>64</v>
      </c>
      <c r="E15" s="19" t="s">
        <v>14</v>
      </c>
      <c r="F15" s="19" t="s">
        <v>15</v>
      </c>
      <c r="G15" s="19" t="s">
        <v>1002</v>
      </c>
      <c r="H15" s="28" t="s">
        <v>1088</v>
      </c>
      <c r="I15" s="19">
        <v>1</v>
      </c>
      <c r="J15" s="19">
        <v>1</v>
      </c>
    </row>
    <row r="16" spans="1:10" ht="15" customHeight="1" x14ac:dyDescent="0.35">
      <c r="A16" s="19">
        <v>15</v>
      </c>
      <c r="B16" s="19" t="s">
        <v>940</v>
      </c>
      <c r="C16" s="19" t="s">
        <v>955</v>
      </c>
      <c r="D16" s="19" t="s">
        <v>64</v>
      </c>
      <c r="E16" s="19" t="s">
        <v>14</v>
      </c>
      <c r="F16" s="19" t="s">
        <v>15</v>
      </c>
      <c r="G16" s="19" t="s">
        <v>1013</v>
      </c>
      <c r="H16" s="28" t="s">
        <v>1078</v>
      </c>
      <c r="I16" s="19">
        <v>1</v>
      </c>
      <c r="J16" s="19">
        <v>1</v>
      </c>
    </row>
    <row r="17" spans="1:10" ht="15" customHeight="1" x14ac:dyDescent="0.35">
      <c r="A17" s="19">
        <v>16</v>
      </c>
      <c r="B17" s="19" t="s">
        <v>940</v>
      </c>
      <c r="C17" s="19" t="s">
        <v>955</v>
      </c>
      <c r="D17" s="19" t="s">
        <v>64</v>
      </c>
      <c r="E17" s="19" t="s">
        <v>14</v>
      </c>
      <c r="F17" s="19" t="s">
        <v>15</v>
      </c>
      <c r="G17" s="19" t="s">
        <v>1002</v>
      </c>
      <c r="H17" s="28" t="s">
        <v>1078</v>
      </c>
      <c r="I17" s="19">
        <v>1</v>
      </c>
      <c r="J17" s="19">
        <v>1</v>
      </c>
    </row>
    <row r="18" spans="1:10" ht="15" customHeight="1" x14ac:dyDescent="0.35">
      <c r="A18" s="19">
        <v>17</v>
      </c>
      <c r="B18" s="19" t="s">
        <v>940</v>
      </c>
      <c r="C18" s="19" t="s">
        <v>955</v>
      </c>
      <c r="D18" s="19" t="s">
        <v>64</v>
      </c>
      <c r="E18" s="19" t="s">
        <v>14</v>
      </c>
      <c r="F18" s="19" t="s">
        <v>15</v>
      </c>
      <c r="G18" s="19" t="s">
        <v>1013</v>
      </c>
      <c r="H18" s="28" t="s">
        <v>1077</v>
      </c>
      <c r="I18" s="19">
        <v>1</v>
      </c>
      <c r="J18" s="19">
        <v>1</v>
      </c>
    </row>
    <row r="19" spans="1:10" ht="15" customHeight="1" x14ac:dyDescent="0.35">
      <c r="A19" s="19">
        <v>18</v>
      </c>
      <c r="B19" s="19" t="s">
        <v>940</v>
      </c>
      <c r="C19" s="19" t="s">
        <v>955</v>
      </c>
      <c r="D19" s="19" t="s">
        <v>38</v>
      </c>
      <c r="E19" s="19" t="s">
        <v>87</v>
      </c>
      <c r="F19" s="19" t="s">
        <v>41</v>
      </c>
      <c r="G19" s="19" t="s">
        <v>1013</v>
      </c>
      <c r="H19" s="28" t="s">
        <v>1091</v>
      </c>
      <c r="I19" s="19">
        <v>1</v>
      </c>
      <c r="J19" s="19">
        <v>1</v>
      </c>
    </row>
    <row r="20" spans="1:10" ht="15" customHeight="1" x14ac:dyDescent="0.35">
      <c r="A20" s="19">
        <v>19</v>
      </c>
      <c r="B20" s="19" t="s">
        <v>940</v>
      </c>
      <c r="C20" s="19" t="s">
        <v>955</v>
      </c>
      <c r="D20" s="19" t="s">
        <v>64</v>
      </c>
      <c r="E20" s="19" t="s">
        <v>92</v>
      </c>
      <c r="F20" s="19" t="s">
        <v>15</v>
      </c>
      <c r="G20" s="19" t="s">
        <v>1013</v>
      </c>
      <c r="H20" s="28" t="s">
        <v>1078</v>
      </c>
      <c r="I20" s="19">
        <v>1</v>
      </c>
      <c r="J20" s="19">
        <v>1</v>
      </c>
    </row>
    <row r="21" spans="1:10" ht="15" customHeight="1" x14ac:dyDescent="0.35">
      <c r="A21" s="19">
        <v>20</v>
      </c>
      <c r="B21" s="19" t="s">
        <v>940</v>
      </c>
      <c r="C21" s="19" t="s">
        <v>955</v>
      </c>
      <c r="D21" s="19" t="s">
        <v>95</v>
      </c>
      <c r="E21" s="19" t="s">
        <v>98</v>
      </c>
      <c r="F21" s="19" t="s">
        <v>15</v>
      </c>
      <c r="G21" s="19" t="s">
        <v>1002</v>
      </c>
      <c r="H21" s="28" t="s">
        <v>1077</v>
      </c>
      <c r="I21" s="19">
        <v>1</v>
      </c>
      <c r="J21" s="19">
        <v>1</v>
      </c>
    </row>
    <row r="22" spans="1:10" ht="15" customHeight="1" x14ac:dyDescent="0.35">
      <c r="A22" s="19">
        <v>21</v>
      </c>
      <c r="B22" s="19" t="s">
        <v>940</v>
      </c>
      <c r="C22" s="19" t="s">
        <v>955</v>
      </c>
      <c r="D22" s="19" t="s">
        <v>38</v>
      </c>
      <c r="E22" s="19" t="s">
        <v>98</v>
      </c>
      <c r="F22" s="19" t="s">
        <v>102</v>
      </c>
      <c r="G22" s="19" t="s">
        <v>1013</v>
      </c>
      <c r="H22" s="28" t="s">
        <v>1078</v>
      </c>
      <c r="I22" s="19">
        <v>1</v>
      </c>
      <c r="J22" s="19">
        <v>1</v>
      </c>
    </row>
    <row r="23" spans="1:10" ht="15" customHeight="1" x14ac:dyDescent="0.35">
      <c r="A23" s="19">
        <v>22</v>
      </c>
      <c r="B23" s="19" t="s">
        <v>940</v>
      </c>
      <c r="C23" s="19" t="s">
        <v>955</v>
      </c>
      <c r="D23" s="19" t="s">
        <v>38</v>
      </c>
      <c r="E23" s="19" t="s">
        <v>98</v>
      </c>
      <c r="F23" s="19" t="s">
        <v>15</v>
      </c>
      <c r="G23" s="19" t="s">
        <v>1004</v>
      </c>
      <c r="H23" s="28" t="s">
        <v>1079</v>
      </c>
      <c r="I23" s="19">
        <v>1</v>
      </c>
      <c r="J23" s="19">
        <v>1</v>
      </c>
    </row>
    <row r="24" spans="1:10" ht="15" customHeight="1" x14ac:dyDescent="0.35">
      <c r="A24" s="19">
        <v>23</v>
      </c>
      <c r="B24" s="19" t="s">
        <v>940</v>
      </c>
      <c r="C24" s="19" t="s">
        <v>955</v>
      </c>
      <c r="D24" s="19" t="s">
        <v>64</v>
      </c>
      <c r="E24" s="19" t="s">
        <v>14</v>
      </c>
      <c r="F24" s="19" t="s">
        <v>15</v>
      </c>
      <c r="G24" s="19" t="s">
        <v>1017</v>
      </c>
      <c r="H24" s="28" t="s">
        <v>1144</v>
      </c>
      <c r="I24" s="19">
        <v>1</v>
      </c>
      <c r="J24" s="19">
        <v>1</v>
      </c>
    </row>
    <row r="25" spans="1:10" ht="15" customHeight="1" x14ac:dyDescent="0.35">
      <c r="A25" s="19">
        <v>23</v>
      </c>
      <c r="B25" s="19" t="s">
        <v>940</v>
      </c>
      <c r="C25" s="19" t="s">
        <v>955</v>
      </c>
      <c r="D25" s="19" t="s">
        <v>64</v>
      </c>
      <c r="E25" s="19" t="s">
        <v>98</v>
      </c>
      <c r="F25" s="19" t="s">
        <v>15</v>
      </c>
      <c r="G25" s="19" t="s">
        <v>1017</v>
      </c>
      <c r="H25" s="28" t="s">
        <v>1144</v>
      </c>
      <c r="I25" s="19">
        <v>0</v>
      </c>
      <c r="J25" s="19">
        <v>1</v>
      </c>
    </row>
    <row r="26" spans="1:10" ht="15" customHeight="1" x14ac:dyDescent="0.35">
      <c r="A26" s="19">
        <v>24</v>
      </c>
      <c r="B26" s="19" t="s">
        <v>940</v>
      </c>
      <c r="C26" s="19" t="s">
        <v>955</v>
      </c>
      <c r="D26" s="19" t="s">
        <v>22</v>
      </c>
      <c r="E26" s="19" t="s">
        <v>114</v>
      </c>
      <c r="F26" s="19" t="s">
        <v>15</v>
      </c>
      <c r="G26" s="19" t="s">
        <v>1002</v>
      </c>
      <c r="H26" s="28" t="s">
        <v>1078</v>
      </c>
      <c r="I26" s="19">
        <v>1</v>
      </c>
      <c r="J26" s="19">
        <v>0</v>
      </c>
    </row>
    <row r="27" spans="1:10" ht="26.25" customHeight="1" x14ac:dyDescent="0.35">
      <c r="A27" s="19">
        <v>25</v>
      </c>
      <c r="B27" s="19" t="s">
        <v>940</v>
      </c>
      <c r="C27" s="19" t="s">
        <v>955</v>
      </c>
      <c r="D27" s="19" t="s">
        <v>22</v>
      </c>
      <c r="E27" s="19" t="s">
        <v>119</v>
      </c>
      <c r="F27" s="19" t="s">
        <v>15</v>
      </c>
      <c r="G27" s="19" t="s">
        <v>1024</v>
      </c>
      <c r="H27" s="19" t="s">
        <v>1005</v>
      </c>
      <c r="I27" s="19">
        <v>1</v>
      </c>
      <c r="J27" s="19">
        <v>0</v>
      </c>
    </row>
    <row r="28" spans="1:10" ht="15" customHeight="1" x14ac:dyDescent="0.35">
      <c r="A28" s="19">
        <v>26</v>
      </c>
      <c r="B28" s="19" t="s">
        <v>940</v>
      </c>
      <c r="C28" s="19" t="s">
        <v>963</v>
      </c>
      <c r="D28" s="19" t="s">
        <v>95</v>
      </c>
      <c r="E28" s="19" t="s">
        <v>14</v>
      </c>
      <c r="F28" s="19" t="s">
        <v>15</v>
      </c>
      <c r="G28" s="19" t="s">
        <v>1003</v>
      </c>
      <c r="H28" s="28" t="s">
        <v>1076</v>
      </c>
      <c r="I28" s="19">
        <v>1</v>
      </c>
      <c r="J28" s="19">
        <v>1</v>
      </c>
    </row>
    <row r="29" spans="1:10" ht="15" customHeight="1" x14ac:dyDescent="0.35">
      <c r="A29" s="19">
        <v>27</v>
      </c>
      <c r="B29" s="19" t="s">
        <v>940</v>
      </c>
      <c r="C29" s="19" t="s">
        <v>963</v>
      </c>
      <c r="D29" s="19" t="s">
        <v>38</v>
      </c>
      <c r="E29" s="19" t="s">
        <v>14</v>
      </c>
      <c r="F29" s="19" t="s">
        <v>15</v>
      </c>
      <c r="G29" s="19" t="s">
        <v>1002</v>
      </c>
      <c r="H29" s="28" t="s">
        <v>1077</v>
      </c>
      <c r="I29" s="19">
        <v>1</v>
      </c>
      <c r="J29" s="19">
        <v>1</v>
      </c>
    </row>
    <row r="30" spans="1:10" ht="26.25" customHeight="1" x14ac:dyDescent="0.35">
      <c r="A30" s="19">
        <v>28</v>
      </c>
      <c r="B30" s="19" t="s">
        <v>940</v>
      </c>
      <c r="C30" s="19" t="s">
        <v>963</v>
      </c>
      <c r="D30" s="19" t="s">
        <v>64</v>
      </c>
      <c r="E30" s="19" t="s">
        <v>14</v>
      </c>
      <c r="F30" s="19" t="s">
        <v>15</v>
      </c>
      <c r="G30" s="19" t="s">
        <v>1001</v>
      </c>
      <c r="H30" s="19" t="s">
        <v>1005</v>
      </c>
      <c r="I30" s="19">
        <v>1</v>
      </c>
      <c r="J30" s="19">
        <v>1</v>
      </c>
    </row>
    <row r="31" spans="1:10" ht="26.25" customHeight="1" x14ac:dyDescent="0.35">
      <c r="A31" s="19">
        <v>29</v>
      </c>
      <c r="B31" s="19" t="s">
        <v>940</v>
      </c>
      <c r="C31" s="19" t="s">
        <v>964</v>
      </c>
      <c r="D31" s="19" t="s">
        <v>11</v>
      </c>
      <c r="E31" s="19" t="s">
        <v>14</v>
      </c>
      <c r="F31" s="19" t="s">
        <v>15</v>
      </c>
      <c r="G31" s="19" t="s">
        <v>1004</v>
      </c>
      <c r="H31" s="28" t="s">
        <v>1079</v>
      </c>
      <c r="I31" s="19">
        <v>1</v>
      </c>
      <c r="J31" s="19">
        <v>1</v>
      </c>
    </row>
    <row r="32" spans="1:10" ht="26.25" customHeight="1" x14ac:dyDescent="0.35">
      <c r="A32" s="19">
        <v>30</v>
      </c>
      <c r="B32" s="19" t="s">
        <v>940</v>
      </c>
      <c r="C32" s="19" t="s">
        <v>964</v>
      </c>
      <c r="D32" s="19" t="s">
        <v>11</v>
      </c>
      <c r="E32" s="19" t="s">
        <v>14</v>
      </c>
      <c r="F32" s="19" t="s">
        <v>15</v>
      </c>
      <c r="G32" s="19" t="s">
        <v>1016</v>
      </c>
      <c r="H32" s="28" t="s">
        <v>1083</v>
      </c>
      <c r="I32" s="19">
        <v>1</v>
      </c>
      <c r="J32" s="19">
        <v>1</v>
      </c>
    </row>
    <row r="33" spans="1:10" ht="15" customHeight="1" x14ac:dyDescent="0.35">
      <c r="A33" s="19">
        <v>31</v>
      </c>
      <c r="B33" s="19" t="s">
        <v>940</v>
      </c>
      <c r="C33" s="19" t="s">
        <v>956</v>
      </c>
      <c r="D33" s="19" t="s">
        <v>11</v>
      </c>
      <c r="E33" s="19" t="s">
        <v>14</v>
      </c>
      <c r="F33" s="19" t="s">
        <v>15</v>
      </c>
      <c r="G33" s="19" t="s">
        <v>1028</v>
      </c>
      <c r="H33" s="28" t="s">
        <v>1077</v>
      </c>
      <c r="I33" s="19">
        <v>1</v>
      </c>
      <c r="J33" s="19">
        <v>1</v>
      </c>
    </row>
    <row r="34" spans="1:10" ht="26.25" customHeight="1" x14ac:dyDescent="0.35">
      <c r="A34" s="19">
        <v>32</v>
      </c>
      <c r="B34" s="19" t="s">
        <v>940</v>
      </c>
      <c r="C34" s="19" t="s">
        <v>961</v>
      </c>
      <c r="D34" s="19" t="s">
        <v>95</v>
      </c>
      <c r="E34" s="19" t="s">
        <v>14</v>
      </c>
      <c r="F34" s="19" t="s">
        <v>15</v>
      </c>
      <c r="G34" s="19" t="s">
        <v>1035</v>
      </c>
      <c r="H34" s="28" t="s">
        <v>1078</v>
      </c>
      <c r="I34" s="19">
        <v>1</v>
      </c>
      <c r="J34" s="19">
        <v>1</v>
      </c>
    </row>
    <row r="35" spans="1:10" ht="15" customHeight="1" x14ac:dyDescent="0.35">
      <c r="A35" s="19">
        <v>33</v>
      </c>
      <c r="B35" s="19" t="s">
        <v>940</v>
      </c>
      <c r="C35" s="19" t="s">
        <v>956</v>
      </c>
      <c r="D35" s="19" t="s">
        <v>95</v>
      </c>
      <c r="E35" s="19" t="s">
        <v>14</v>
      </c>
      <c r="F35" s="19" t="s">
        <v>15</v>
      </c>
      <c r="G35" s="19" t="s">
        <v>1002</v>
      </c>
      <c r="H35" s="28" t="s">
        <v>1078</v>
      </c>
      <c r="I35" s="19">
        <v>1</v>
      </c>
      <c r="J35" s="19">
        <v>1</v>
      </c>
    </row>
    <row r="36" spans="1:10" ht="26.25" customHeight="1" x14ac:dyDescent="0.35">
      <c r="A36" s="19">
        <v>34</v>
      </c>
      <c r="B36" s="19" t="s">
        <v>940</v>
      </c>
      <c r="C36" s="19" t="s">
        <v>961</v>
      </c>
      <c r="D36" s="19" t="s">
        <v>22</v>
      </c>
      <c r="E36" s="19" t="s">
        <v>14</v>
      </c>
      <c r="F36" s="19" t="s">
        <v>15</v>
      </c>
      <c r="G36" s="19" t="s">
        <v>1037</v>
      </c>
      <c r="H36" s="28" t="s">
        <v>1077</v>
      </c>
      <c r="I36" s="19">
        <v>1</v>
      </c>
      <c r="J36" s="19">
        <v>1</v>
      </c>
    </row>
    <row r="37" spans="1:10" ht="15" customHeight="1" x14ac:dyDescent="0.35">
      <c r="A37" s="19">
        <v>35</v>
      </c>
      <c r="B37" s="19" t="s">
        <v>940</v>
      </c>
      <c r="C37" s="19" t="s">
        <v>956</v>
      </c>
      <c r="D37" s="19" t="s">
        <v>38</v>
      </c>
      <c r="E37" s="19" t="s">
        <v>14</v>
      </c>
      <c r="F37" s="19" t="s">
        <v>15</v>
      </c>
      <c r="G37" s="19" t="s">
        <v>1032</v>
      </c>
      <c r="H37" s="28" t="s">
        <v>1097</v>
      </c>
      <c r="I37" s="19">
        <v>1</v>
      </c>
      <c r="J37" s="19">
        <v>1</v>
      </c>
    </row>
    <row r="38" spans="1:10" ht="15" customHeight="1" x14ac:dyDescent="0.35">
      <c r="A38" s="19">
        <v>36</v>
      </c>
      <c r="B38" s="19" t="s">
        <v>940</v>
      </c>
      <c r="C38" s="19" t="s">
        <v>956</v>
      </c>
      <c r="D38" s="19" t="s">
        <v>38</v>
      </c>
      <c r="E38" s="19" t="s">
        <v>14</v>
      </c>
      <c r="F38" s="19" t="s">
        <v>15</v>
      </c>
      <c r="G38" s="19" t="s">
        <v>1015</v>
      </c>
      <c r="H38" s="28" t="s">
        <v>1079</v>
      </c>
      <c r="I38" s="19">
        <v>1</v>
      </c>
      <c r="J38" s="19">
        <v>1</v>
      </c>
    </row>
    <row r="39" spans="1:10" ht="26.25" customHeight="1" x14ac:dyDescent="0.35">
      <c r="A39" s="19">
        <v>37</v>
      </c>
      <c r="B39" s="19" t="s">
        <v>940</v>
      </c>
      <c r="C39" s="19" t="s">
        <v>961</v>
      </c>
      <c r="D39" s="19" t="s">
        <v>38</v>
      </c>
      <c r="E39" s="19" t="s">
        <v>14</v>
      </c>
      <c r="F39" s="19" t="s">
        <v>15</v>
      </c>
      <c r="G39" s="19" t="s">
        <v>1002</v>
      </c>
      <c r="H39" s="28" t="s">
        <v>1077</v>
      </c>
      <c r="I39" s="19">
        <v>1</v>
      </c>
      <c r="J39" s="19">
        <v>1</v>
      </c>
    </row>
    <row r="40" spans="1:10" ht="15" customHeight="1" x14ac:dyDescent="0.35">
      <c r="A40" s="19">
        <v>38</v>
      </c>
      <c r="B40" s="19" t="s">
        <v>940</v>
      </c>
      <c r="C40" s="19" t="s">
        <v>962</v>
      </c>
      <c r="D40" s="19" t="s">
        <v>38</v>
      </c>
      <c r="E40" s="19" t="s">
        <v>14</v>
      </c>
      <c r="F40" s="19" t="s">
        <v>15</v>
      </c>
      <c r="G40" s="19" t="s">
        <v>1013</v>
      </c>
      <c r="H40" s="28" t="s">
        <v>1078</v>
      </c>
      <c r="I40" s="19">
        <v>1</v>
      </c>
      <c r="J40" s="19">
        <v>1</v>
      </c>
    </row>
    <row r="41" spans="1:10" ht="26.25" customHeight="1" x14ac:dyDescent="0.35">
      <c r="A41" s="19">
        <v>39</v>
      </c>
      <c r="B41" s="19" t="s">
        <v>940</v>
      </c>
      <c r="C41" s="19" t="s">
        <v>961</v>
      </c>
      <c r="D41" s="19" t="s">
        <v>38</v>
      </c>
      <c r="E41" s="19" t="s">
        <v>14</v>
      </c>
      <c r="F41" s="19" t="s">
        <v>15</v>
      </c>
      <c r="G41" s="19" t="s">
        <v>1036</v>
      </c>
      <c r="H41" s="28" t="s">
        <v>1100</v>
      </c>
      <c r="I41" s="19">
        <v>1</v>
      </c>
      <c r="J41" s="19">
        <v>1</v>
      </c>
    </row>
    <row r="42" spans="1:10" ht="15" customHeight="1" x14ac:dyDescent="0.35">
      <c r="A42" s="19">
        <v>40</v>
      </c>
      <c r="B42" s="19" t="s">
        <v>940</v>
      </c>
      <c r="C42" s="19" t="s">
        <v>962</v>
      </c>
      <c r="D42" s="19" t="s">
        <v>38</v>
      </c>
      <c r="E42" s="19" t="s">
        <v>14</v>
      </c>
      <c r="F42" s="19" t="s">
        <v>15</v>
      </c>
      <c r="G42" s="19" t="s">
        <v>1002</v>
      </c>
      <c r="H42" s="28" t="s">
        <v>1078</v>
      </c>
      <c r="I42" s="19">
        <v>1</v>
      </c>
      <c r="J42" s="19">
        <v>1</v>
      </c>
    </row>
    <row r="43" spans="1:10" ht="15" customHeight="1" x14ac:dyDescent="0.35">
      <c r="A43" s="19">
        <v>41</v>
      </c>
      <c r="B43" s="19" t="s">
        <v>940</v>
      </c>
      <c r="C43" s="19" t="s">
        <v>962</v>
      </c>
      <c r="D43" s="19" t="s">
        <v>38</v>
      </c>
      <c r="E43" s="19" t="s">
        <v>14</v>
      </c>
      <c r="F43" s="19" t="s">
        <v>15</v>
      </c>
      <c r="G43" s="19" t="s">
        <v>1034</v>
      </c>
      <c r="H43" s="28" t="s">
        <v>1078</v>
      </c>
      <c r="I43" s="19">
        <v>1</v>
      </c>
      <c r="J43" s="19">
        <v>1</v>
      </c>
    </row>
    <row r="44" spans="1:10" ht="15" customHeight="1" x14ac:dyDescent="0.35">
      <c r="A44" s="19">
        <v>42</v>
      </c>
      <c r="B44" s="19" t="s">
        <v>940</v>
      </c>
      <c r="C44" s="19" t="s">
        <v>956</v>
      </c>
      <c r="D44" s="19" t="s">
        <v>38</v>
      </c>
      <c r="E44" s="19" t="s">
        <v>14</v>
      </c>
      <c r="F44" s="19" t="s">
        <v>102</v>
      </c>
      <c r="G44" s="19" t="s">
        <v>1013</v>
      </c>
      <c r="H44" s="28" t="s">
        <v>1078</v>
      </c>
      <c r="I44" s="19">
        <v>1</v>
      </c>
      <c r="J44" s="19">
        <v>1</v>
      </c>
    </row>
    <row r="45" spans="1:10" ht="15" customHeight="1" x14ac:dyDescent="0.35">
      <c r="A45" s="19">
        <v>43</v>
      </c>
      <c r="B45" s="19" t="s">
        <v>940</v>
      </c>
      <c r="C45" s="19" t="s">
        <v>956</v>
      </c>
      <c r="D45" s="19" t="s">
        <v>38</v>
      </c>
      <c r="E45" s="19" t="s">
        <v>14</v>
      </c>
      <c r="F45" s="19" t="s">
        <v>15</v>
      </c>
      <c r="G45" s="19" t="s">
        <v>1013</v>
      </c>
      <c r="H45" s="28" t="s">
        <v>1079</v>
      </c>
      <c r="I45" s="19">
        <v>1</v>
      </c>
      <c r="J45" s="19">
        <v>1</v>
      </c>
    </row>
    <row r="46" spans="1:10" ht="15" customHeight="1" x14ac:dyDescent="0.35">
      <c r="A46" s="19">
        <v>44</v>
      </c>
      <c r="B46" s="19" t="s">
        <v>940</v>
      </c>
      <c r="C46" s="19" t="s">
        <v>956</v>
      </c>
      <c r="D46" s="19" t="s">
        <v>64</v>
      </c>
      <c r="E46" s="19" t="s">
        <v>14</v>
      </c>
      <c r="F46" s="19" t="s">
        <v>15</v>
      </c>
      <c r="G46" s="19" t="s">
        <v>1002</v>
      </c>
      <c r="H46" s="28" t="s">
        <v>1077</v>
      </c>
      <c r="I46" s="19">
        <v>1</v>
      </c>
      <c r="J46" s="19">
        <v>1</v>
      </c>
    </row>
    <row r="47" spans="1:10" ht="26.25" customHeight="1" x14ac:dyDescent="0.35">
      <c r="A47" s="19">
        <v>45</v>
      </c>
      <c r="B47" s="19" t="s">
        <v>940</v>
      </c>
      <c r="C47" s="19" t="s">
        <v>956</v>
      </c>
      <c r="D47" s="19" t="s">
        <v>11</v>
      </c>
      <c r="E47" s="19" t="s">
        <v>204</v>
      </c>
      <c r="F47" s="19" t="s">
        <v>15</v>
      </c>
      <c r="G47" s="19" t="s">
        <v>1030</v>
      </c>
      <c r="H47" s="28" t="s">
        <v>1095</v>
      </c>
      <c r="I47" s="19">
        <v>1</v>
      </c>
      <c r="J47" s="19">
        <v>0</v>
      </c>
    </row>
    <row r="48" spans="1:10" ht="26.25" customHeight="1" x14ac:dyDescent="0.35">
      <c r="A48" s="19">
        <v>46</v>
      </c>
      <c r="B48" s="19" t="s">
        <v>940</v>
      </c>
      <c r="C48" s="19" t="s">
        <v>956</v>
      </c>
      <c r="D48" s="19" t="s">
        <v>95</v>
      </c>
      <c r="E48" s="19" t="s">
        <v>209</v>
      </c>
      <c r="F48" s="19" t="s">
        <v>15</v>
      </c>
      <c r="G48" s="19" t="s">
        <v>1029</v>
      </c>
      <c r="H48" s="28" t="s">
        <v>1076</v>
      </c>
      <c r="I48" s="19">
        <v>1</v>
      </c>
      <c r="J48" s="19">
        <v>0</v>
      </c>
    </row>
    <row r="49" spans="1:10" ht="15" customHeight="1" x14ac:dyDescent="0.35">
      <c r="A49" s="19">
        <v>47</v>
      </c>
      <c r="B49" s="19" t="s">
        <v>940</v>
      </c>
      <c r="C49" s="19" t="s">
        <v>956</v>
      </c>
      <c r="D49" s="19" t="s">
        <v>64</v>
      </c>
      <c r="E49" s="19" t="s">
        <v>214</v>
      </c>
      <c r="F49" s="19" t="s">
        <v>41</v>
      </c>
      <c r="G49" s="19" t="s">
        <v>1013</v>
      </c>
      <c r="H49" s="28" t="s">
        <v>1096</v>
      </c>
      <c r="I49" s="19">
        <v>1</v>
      </c>
      <c r="J49" s="19">
        <v>0</v>
      </c>
    </row>
    <row r="50" spans="1:10" ht="15" customHeight="1" x14ac:dyDescent="0.35">
      <c r="A50" s="19">
        <v>48</v>
      </c>
      <c r="B50" s="19" t="s">
        <v>940</v>
      </c>
      <c r="C50" s="19" t="s">
        <v>956</v>
      </c>
      <c r="D50" s="19" t="s">
        <v>64</v>
      </c>
      <c r="E50" s="19" t="s">
        <v>218</v>
      </c>
      <c r="F50" s="19" t="s">
        <v>41</v>
      </c>
      <c r="G50" s="19" t="s">
        <v>1004</v>
      </c>
      <c r="H50" s="28" t="s">
        <v>1078</v>
      </c>
      <c r="I50" s="19">
        <v>1</v>
      </c>
      <c r="J50" s="19">
        <v>0</v>
      </c>
    </row>
    <row r="51" spans="1:10" ht="26.25" customHeight="1" x14ac:dyDescent="0.35">
      <c r="A51" s="19">
        <v>49</v>
      </c>
      <c r="B51" s="19" t="s">
        <v>940</v>
      </c>
      <c r="C51" s="19" t="s">
        <v>956</v>
      </c>
      <c r="D51" s="19" t="s">
        <v>64</v>
      </c>
      <c r="E51" s="19" t="s">
        <v>209</v>
      </c>
      <c r="F51" s="19" t="s">
        <v>41</v>
      </c>
      <c r="G51" s="19" t="s">
        <v>1031</v>
      </c>
      <c r="H51" s="28" t="s">
        <v>1098</v>
      </c>
      <c r="I51" s="19">
        <v>1</v>
      </c>
      <c r="J51" s="19">
        <v>0</v>
      </c>
    </row>
    <row r="52" spans="1:10" ht="15" customHeight="1" x14ac:dyDescent="0.35">
      <c r="A52" s="19">
        <v>50</v>
      </c>
      <c r="B52" s="19" t="s">
        <v>940</v>
      </c>
      <c r="C52" s="19" t="s">
        <v>962</v>
      </c>
      <c r="D52" s="19" t="s">
        <v>22</v>
      </c>
      <c r="E52" s="19" t="s">
        <v>92</v>
      </c>
      <c r="F52" s="19" t="s">
        <v>15</v>
      </c>
      <c r="G52" s="19" t="s">
        <v>1033</v>
      </c>
      <c r="H52" s="28" t="s">
        <v>1099</v>
      </c>
      <c r="I52" s="19">
        <v>1</v>
      </c>
      <c r="J52" s="19">
        <v>1</v>
      </c>
    </row>
    <row r="53" spans="1:10" ht="26.25" customHeight="1" x14ac:dyDescent="0.35">
      <c r="A53" s="19">
        <v>51</v>
      </c>
      <c r="B53" s="19" t="s">
        <v>940</v>
      </c>
      <c r="C53" s="19" t="s">
        <v>956</v>
      </c>
      <c r="D53" s="19" t="s">
        <v>95</v>
      </c>
      <c r="E53" s="19" t="s">
        <v>231</v>
      </c>
      <c r="F53" s="19" t="s">
        <v>102</v>
      </c>
      <c r="G53" s="19" t="s">
        <v>1005</v>
      </c>
      <c r="H53" s="19" t="s">
        <v>1005</v>
      </c>
      <c r="I53" s="19">
        <v>1</v>
      </c>
      <c r="J53" s="19">
        <v>0</v>
      </c>
    </row>
    <row r="54" spans="1:10" ht="15" customHeight="1" x14ac:dyDescent="0.35">
      <c r="A54" s="19">
        <v>52</v>
      </c>
      <c r="B54" s="19" t="s">
        <v>940</v>
      </c>
      <c r="C54" s="19" t="s">
        <v>956</v>
      </c>
      <c r="D54" s="19" t="s">
        <v>38</v>
      </c>
      <c r="E54" s="19" t="s">
        <v>14</v>
      </c>
      <c r="F54" s="19" t="s">
        <v>102</v>
      </c>
      <c r="G54" s="19" t="s">
        <v>1013</v>
      </c>
      <c r="H54" s="28" t="s">
        <v>1078</v>
      </c>
      <c r="I54" s="19">
        <v>1</v>
      </c>
      <c r="J54" s="19">
        <v>1</v>
      </c>
    </row>
    <row r="55" spans="1:10" ht="15" customHeight="1" x14ac:dyDescent="0.35">
      <c r="A55" s="19">
        <v>53</v>
      </c>
      <c r="B55" s="19" t="s">
        <v>940</v>
      </c>
      <c r="C55" s="19" t="s">
        <v>956</v>
      </c>
      <c r="D55" s="19" t="s">
        <v>64</v>
      </c>
      <c r="E55" s="19" t="s">
        <v>98</v>
      </c>
      <c r="F55" s="19" t="s">
        <v>41</v>
      </c>
      <c r="G55" s="19" t="s">
        <v>1002</v>
      </c>
      <c r="H55" s="28" t="s">
        <v>1077</v>
      </c>
      <c r="I55" s="19">
        <v>1</v>
      </c>
      <c r="J55" s="19">
        <v>1</v>
      </c>
    </row>
    <row r="56" spans="1:10" ht="26.25" customHeight="1" x14ac:dyDescent="0.35">
      <c r="A56" s="19">
        <v>54</v>
      </c>
      <c r="B56" s="19" t="s">
        <v>940</v>
      </c>
      <c r="C56" s="19" t="s">
        <v>956</v>
      </c>
      <c r="D56" s="19" t="s">
        <v>64</v>
      </c>
      <c r="E56" s="19" t="s">
        <v>98</v>
      </c>
      <c r="F56" s="19" t="s">
        <v>41</v>
      </c>
      <c r="G56" s="19" t="s">
        <v>1017</v>
      </c>
      <c r="H56" s="19" t="s">
        <v>1005</v>
      </c>
      <c r="I56" s="19">
        <v>1</v>
      </c>
      <c r="J56" s="19">
        <v>1</v>
      </c>
    </row>
    <row r="57" spans="1:10" ht="26.25" customHeight="1" x14ac:dyDescent="0.35">
      <c r="A57" s="19">
        <v>55</v>
      </c>
      <c r="B57" s="19" t="s">
        <v>940</v>
      </c>
      <c r="C57" s="19" t="s">
        <v>956</v>
      </c>
      <c r="D57" s="19" t="s">
        <v>95</v>
      </c>
      <c r="E57" s="19" t="s">
        <v>209</v>
      </c>
      <c r="F57" s="19" t="s">
        <v>15</v>
      </c>
      <c r="G57" s="19" t="s">
        <v>1005</v>
      </c>
      <c r="H57" s="28" t="s">
        <v>1077</v>
      </c>
      <c r="I57" s="19">
        <v>1</v>
      </c>
      <c r="J57" s="19">
        <v>0</v>
      </c>
    </row>
    <row r="58" spans="1:10" ht="15" customHeight="1" x14ac:dyDescent="0.35">
      <c r="A58" s="19">
        <v>56</v>
      </c>
      <c r="B58" s="19" t="s">
        <v>940</v>
      </c>
      <c r="C58" s="19" t="s">
        <v>956</v>
      </c>
      <c r="D58" s="19" t="s">
        <v>22</v>
      </c>
      <c r="E58" s="19" t="s">
        <v>14</v>
      </c>
      <c r="F58" s="19" t="s">
        <v>41</v>
      </c>
      <c r="G58" s="19" t="s">
        <v>1004</v>
      </c>
      <c r="H58" s="28" t="s">
        <v>1078</v>
      </c>
      <c r="I58" s="19">
        <v>1</v>
      </c>
      <c r="J58" s="19">
        <v>1</v>
      </c>
    </row>
    <row r="59" spans="1:10" ht="15" customHeight="1" x14ac:dyDescent="0.35">
      <c r="A59" s="19">
        <v>57</v>
      </c>
      <c r="B59" s="19" t="s">
        <v>940</v>
      </c>
      <c r="C59" s="19" t="s">
        <v>956</v>
      </c>
      <c r="D59" s="19" t="s">
        <v>38</v>
      </c>
      <c r="E59" s="19" t="s">
        <v>254</v>
      </c>
      <c r="F59" s="19" t="s">
        <v>102</v>
      </c>
      <c r="G59" s="19" t="s">
        <v>1013</v>
      </c>
      <c r="H59" s="28" t="s">
        <v>1078</v>
      </c>
      <c r="I59" s="19">
        <v>1</v>
      </c>
      <c r="J59" s="19">
        <v>0</v>
      </c>
    </row>
    <row r="60" spans="1:10" ht="15" customHeight="1" x14ac:dyDescent="0.35">
      <c r="A60" s="19">
        <v>58</v>
      </c>
      <c r="B60" s="19" t="s">
        <v>940</v>
      </c>
      <c r="C60" s="19" t="s">
        <v>960</v>
      </c>
      <c r="D60" s="19" t="s">
        <v>38</v>
      </c>
      <c r="E60" s="19" t="s">
        <v>260</v>
      </c>
      <c r="F60" s="19" t="s">
        <v>15</v>
      </c>
      <c r="G60" s="19" t="s">
        <v>1014</v>
      </c>
      <c r="H60" s="28" t="s">
        <v>1079</v>
      </c>
      <c r="I60" s="19">
        <v>1</v>
      </c>
      <c r="J60" s="19">
        <v>0</v>
      </c>
    </row>
    <row r="61" spans="1:10" ht="15" customHeight="1" x14ac:dyDescent="0.35">
      <c r="A61" s="19">
        <v>59</v>
      </c>
      <c r="B61" s="19" t="s">
        <v>940</v>
      </c>
      <c r="C61" s="19" t="s">
        <v>960</v>
      </c>
      <c r="D61" s="19" t="s">
        <v>64</v>
      </c>
      <c r="E61" s="19" t="s">
        <v>14</v>
      </c>
      <c r="F61" s="19" t="s">
        <v>15</v>
      </c>
      <c r="G61" s="19" t="s">
        <v>1014</v>
      </c>
      <c r="H61" s="28" t="s">
        <v>1078</v>
      </c>
      <c r="I61" s="19">
        <v>1</v>
      </c>
      <c r="J61" s="19">
        <v>1</v>
      </c>
    </row>
    <row r="62" spans="1:10" ht="15" customHeight="1" x14ac:dyDescent="0.35">
      <c r="A62" s="19">
        <v>60</v>
      </c>
      <c r="B62" s="19" t="s">
        <v>940</v>
      </c>
      <c r="C62" s="19" t="s">
        <v>960</v>
      </c>
      <c r="D62" s="19" t="s">
        <v>22</v>
      </c>
      <c r="E62" s="19" t="s">
        <v>92</v>
      </c>
      <c r="F62" s="19" t="s">
        <v>102</v>
      </c>
      <c r="G62" s="19" t="s">
        <v>1015</v>
      </c>
      <c r="H62" s="28" t="s">
        <v>1077</v>
      </c>
      <c r="I62" s="19">
        <v>1</v>
      </c>
      <c r="J62" s="19">
        <v>1</v>
      </c>
    </row>
    <row r="63" spans="1:10" ht="15" customHeight="1" x14ac:dyDescent="0.35">
      <c r="A63" s="19">
        <v>61</v>
      </c>
      <c r="B63" s="19" t="s">
        <v>940</v>
      </c>
      <c r="C63" s="19" t="s">
        <v>960</v>
      </c>
      <c r="D63" s="19" t="s">
        <v>38</v>
      </c>
      <c r="E63" s="19" t="s">
        <v>92</v>
      </c>
      <c r="F63" s="19" t="s">
        <v>15</v>
      </c>
      <c r="G63" s="19" t="s">
        <v>1004</v>
      </c>
      <c r="H63" s="28" t="s">
        <v>1078</v>
      </c>
      <c r="I63" s="19">
        <v>1</v>
      </c>
      <c r="J63" s="19">
        <v>1</v>
      </c>
    </row>
    <row r="64" spans="1:10" ht="26.25" customHeight="1" x14ac:dyDescent="0.35">
      <c r="A64" s="19">
        <v>62</v>
      </c>
      <c r="B64" s="19" t="s">
        <v>940</v>
      </c>
      <c r="C64" s="19" t="s">
        <v>960</v>
      </c>
      <c r="D64" s="19" t="s">
        <v>22</v>
      </c>
      <c r="E64" s="19" t="s">
        <v>209</v>
      </c>
      <c r="F64" s="19" t="s">
        <v>15</v>
      </c>
      <c r="G64" s="19" t="s">
        <v>1008</v>
      </c>
      <c r="H64" s="28" t="s">
        <v>1082</v>
      </c>
      <c r="I64" s="19">
        <v>1</v>
      </c>
      <c r="J64" s="19">
        <v>0</v>
      </c>
    </row>
    <row r="65" spans="1:10" ht="15" customHeight="1" x14ac:dyDescent="0.35">
      <c r="A65" s="19">
        <v>63</v>
      </c>
      <c r="B65" s="19" t="s">
        <v>940</v>
      </c>
      <c r="C65" s="19" t="s">
        <v>960</v>
      </c>
      <c r="D65" s="19" t="s">
        <v>22</v>
      </c>
      <c r="E65" s="19" t="s">
        <v>14</v>
      </c>
      <c r="F65" s="19" t="s">
        <v>15</v>
      </c>
      <c r="G65" s="19" t="s">
        <v>1002</v>
      </c>
      <c r="H65" s="28" t="s">
        <v>1078</v>
      </c>
      <c r="I65" s="19">
        <v>1</v>
      </c>
      <c r="J65" s="19">
        <v>1</v>
      </c>
    </row>
    <row r="66" spans="1:10" ht="15" customHeight="1" x14ac:dyDescent="0.35">
      <c r="A66" s="19">
        <v>64</v>
      </c>
      <c r="B66" s="19" t="s">
        <v>940</v>
      </c>
      <c r="C66" s="19" t="s">
        <v>960</v>
      </c>
      <c r="D66" s="19" t="s">
        <v>38</v>
      </c>
      <c r="E66" s="19" t="s">
        <v>260</v>
      </c>
      <c r="F66" s="19" t="s">
        <v>102</v>
      </c>
      <c r="G66" s="19" t="s">
        <v>1002</v>
      </c>
      <c r="H66" s="28" t="s">
        <v>1077</v>
      </c>
      <c r="I66" s="19">
        <v>1</v>
      </c>
      <c r="J66" s="19">
        <v>0</v>
      </c>
    </row>
    <row r="67" spans="1:10" ht="15" customHeight="1" x14ac:dyDescent="0.35">
      <c r="A67" s="19">
        <v>65</v>
      </c>
      <c r="B67" s="19" t="s">
        <v>940</v>
      </c>
      <c r="C67" s="19" t="s">
        <v>957</v>
      </c>
      <c r="D67" s="19" t="s">
        <v>38</v>
      </c>
      <c r="E67" s="19" t="s">
        <v>14</v>
      </c>
      <c r="F67" s="19" t="s">
        <v>102</v>
      </c>
      <c r="G67" s="19" t="s">
        <v>1013</v>
      </c>
      <c r="H67" s="28" t="s">
        <v>1079</v>
      </c>
      <c r="I67" s="19">
        <v>1</v>
      </c>
      <c r="J67" s="19">
        <v>1</v>
      </c>
    </row>
    <row r="68" spans="1:10" ht="15" customHeight="1" x14ac:dyDescent="0.35">
      <c r="A68" s="19">
        <v>66</v>
      </c>
      <c r="B68" s="19" t="s">
        <v>940</v>
      </c>
      <c r="C68" s="19" t="s">
        <v>957</v>
      </c>
      <c r="D68" s="19" t="s">
        <v>38</v>
      </c>
      <c r="E68" s="19" t="s">
        <v>14</v>
      </c>
      <c r="F68" s="19" t="s">
        <v>15</v>
      </c>
      <c r="G68" s="19" t="s">
        <v>1018</v>
      </c>
      <c r="H68" s="28" t="s">
        <v>1078</v>
      </c>
      <c r="I68" s="19">
        <v>1</v>
      </c>
      <c r="J68" s="19">
        <v>1</v>
      </c>
    </row>
    <row r="69" spans="1:10" ht="15" customHeight="1" x14ac:dyDescent="0.35">
      <c r="A69" s="19">
        <v>67</v>
      </c>
      <c r="B69" s="19" t="s">
        <v>940</v>
      </c>
      <c r="C69" s="19" t="s">
        <v>957</v>
      </c>
      <c r="D69" s="19" t="s">
        <v>38</v>
      </c>
      <c r="E69" s="19" t="s">
        <v>254</v>
      </c>
      <c r="F69" s="19" t="s">
        <v>15</v>
      </c>
      <c r="G69" s="19" t="s">
        <v>1021</v>
      </c>
      <c r="H69" s="28" t="s">
        <v>1086</v>
      </c>
      <c r="I69" s="19">
        <v>1</v>
      </c>
      <c r="J69" s="19">
        <v>0</v>
      </c>
    </row>
    <row r="70" spans="1:10" ht="15" customHeight="1" x14ac:dyDescent="0.35">
      <c r="A70" s="19">
        <v>68</v>
      </c>
      <c r="B70" s="19" t="s">
        <v>940</v>
      </c>
      <c r="C70" s="19" t="s">
        <v>957</v>
      </c>
      <c r="D70" s="19" t="s">
        <v>64</v>
      </c>
      <c r="E70" s="19" t="s">
        <v>14</v>
      </c>
      <c r="F70" s="19" t="s">
        <v>15</v>
      </c>
      <c r="G70" s="19" t="s">
        <v>1020</v>
      </c>
      <c r="H70" s="28" t="s">
        <v>1085</v>
      </c>
      <c r="I70" s="19">
        <v>1</v>
      </c>
      <c r="J70" s="19">
        <v>1</v>
      </c>
    </row>
    <row r="71" spans="1:10" ht="15" customHeight="1" x14ac:dyDescent="0.35">
      <c r="A71" s="19">
        <v>69</v>
      </c>
      <c r="B71" s="19" t="s">
        <v>940</v>
      </c>
      <c r="C71" s="19" t="s">
        <v>957</v>
      </c>
      <c r="D71" s="19" t="s">
        <v>64</v>
      </c>
      <c r="E71" s="19" t="s">
        <v>14</v>
      </c>
      <c r="F71" s="19" t="s">
        <v>15</v>
      </c>
      <c r="G71" s="19" t="s">
        <v>1017</v>
      </c>
      <c r="H71" s="28" t="s">
        <v>1084</v>
      </c>
      <c r="I71" s="19">
        <v>1</v>
      </c>
      <c r="J71" s="19">
        <v>1</v>
      </c>
    </row>
    <row r="72" spans="1:10" ht="15" customHeight="1" x14ac:dyDescent="0.35">
      <c r="A72" s="19">
        <v>70</v>
      </c>
      <c r="B72" s="19" t="s">
        <v>940</v>
      </c>
      <c r="C72" s="19" t="s">
        <v>957</v>
      </c>
      <c r="D72" s="19" t="s">
        <v>64</v>
      </c>
      <c r="E72" s="19" t="s">
        <v>14</v>
      </c>
      <c r="F72" s="19" t="s">
        <v>15</v>
      </c>
      <c r="G72" s="19" t="s">
        <v>1023</v>
      </c>
      <c r="H72" s="28" t="s">
        <v>1145</v>
      </c>
      <c r="I72" s="19">
        <v>1</v>
      </c>
      <c r="J72" s="19">
        <v>1</v>
      </c>
    </row>
    <row r="73" spans="1:10" ht="15" customHeight="1" x14ac:dyDescent="0.35">
      <c r="A73" s="19">
        <v>71</v>
      </c>
      <c r="B73" s="19" t="s">
        <v>940</v>
      </c>
      <c r="C73" s="19" t="s">
        <v>957</v>
      </c>
      <c r="D73" s="19" t="s">
        <v>95</v>
      </c>
      <c r="E73" s="19" t="s">
        <v>14</v>
      </c>
      <c r="F73" s="19" t="s">
        <v>102</v>
      </c>
      <c r="G73" s="19" t="s">
        <v>1017</v>
      </c>
      <c r="H73" s="28" t="s">
        <v>1084</v>
      </c>
      <c r="I73" s="19">
        <v>1</v>
      </c>
      <c r="J73" s="19">
        <v>1</v>
      </c>
    </row>
    <row r="74" spans="1:10" ht="15" customHeight="1" x14ac:dyDescent="0.35">
      <c r="A74" s="19">
        <v>72</v>
      </c>
      <c r="B74" s="19" t="s">
        <v>940</v>
      </c>
      <c r="C74" s="19" t="s">
        <v>957</v>
      </c>
      <c r="D74" s="19" t="s">
        <v>22</v>
      </c>
      <c r="E74" s="19" t="s">
        <v>87</v>
      </c>
      <c r="F74" s="19" t="s">
        <v>41</v>
      </c>
      <c r="G74" s="19" t="s">
        <v>1022</v>
      </c>
      <c r="H74" s="28" t="s">
        <v>1077</v>
      </c>
      <c r="I74" s="19">
        <v>1</v>
      </c>
      <c r="J74" s="19">
        <v>1</v>
      </c>
    </row>
    <row r="75" spans="1:10" ht="15" customHeight="1" x14ac:dyDescent="0.35">
      <c r="A75" s="19">
        <v>73</v>
      </c>
      <c r="B75" s="19" t="s">
        <v>940</v>
      </c>
      <c r="C75" s="19" t="s">
        <v>957</v>
      </c>
      <c r="D75" s="19" t="s">
        <v>95</v>
      </c>
      <c r="E75" s="19" t="s">
        <v>92</v>
      </c>
      <c r="F75" s="19" t="s">
        <v>41</v>
      </c>
      <c r="G75" s="19" t="s">
        <v>1018</v>
      </c>
      <c r="H75" s="28" t="s">
        <v>1078</v>
      </c>
      <c r="I75" s="19">
        <v>1</v>
      </c>
      <c r="J75" s="19">
        <v>1</v>
      </c>
    </row>
    <row r="76" spans="1:10" ht="26.25" customHeight="1" x14ac:dyDescent="0.35">
      <c r="A76" s="19">
        <v>74</v>
      </c>
      <c r="B76" s="19" t="s">
        <v>940</v>
      </c>
      <c r="C76" s="19" t="s">
        <v>957</v>
      </c>
      <c r="D76" s="19" t="s">
        <v>64</v>
      </c>
      <c r="E76" s="19" t="s">
        <v>92</v>
      </c>
      <c r="F76" s="19" t="s">
        <v>41</v>
      </c>
      <c r="G76" s="19" t="s">
        <v>1005</v>
      </c>
      <c r="H76" s="19" t="s">
        <v>1005</v>
      </c>
      <c r="I76" s="19">
        <v>1</v>
      </c>
      <c r="J76" s="19">
        <v>1</v>
      </c>
    </row>
    <row r="77" spans="1:10" ht="15" customHeight="1" x14ac:dyDescent="0.35">
      <c r="A77" s="19">
        <v>75</v>
      </c>
      <c r="B77" s="19" t="s">
        <v>940</v>
      </c>
      <c r="C77" s="19" t="s">
        <v>957</v>
      </c>
      <c r="D77" s="19" t="s">
        <v>95</v>
      </c>
      <c r="E77" s="19" t="s">
        <v>324</v>
      </c>
      <c r="F77" s="19" t="s">
        <v>41</v>
      </c>
      <c r="G77" s="19" t="s">
        <v>1019</v>
      </c>
      <c r="H77" s="28" t="s">
        <v>1078</v>
      </c>
      <c r="I77" s="19">
        <v>1</v>
      </c>
      <c r="J77" s="19">
        <v>0</v>
      </c>
    </row>
    <row r="78" spans="1:10" ht="15" customHeight="1" x14ac:dyDescent="0.35">
      <c r="A78" s="19">
        <v>76</v>
      </c>
      <c r="B78" s="19" t="s">
        <v>940</v>
      </c>
      <c r="C78" s="19" t="s">
        <v>957</v>
      </c>
      <c r="D78" s="19" t="s">
        <v>22</v>
      </c>
      <c r="E78" s="19" t="s">
        <v>324</v>
      </c>
      <c r="F78" s="19" t="s">
        <v>41</v>
      </c>
      <c r="G78" s="19" t="s">
        <v>1019</v>
      </c>
      <c r="H78" s="28" t="s">
        <v>1078</v>
      </c>
      <c r="I78" s="19">
        <v>1</v>
      </c>
      <c r="J78" s="19">
        <v>0</v>
      </c>
    </row>
    <row r="79" spans="1:10" ht="26.25" customHeight="1" x14ac:dyDescent="0.35">
      <c r="A79" s="19">
        <v>77</v>
      </c>
      <c r="B79" s="19" t="s">
        <v>940</v>
      </c>
      <c r="C79" s="19" t="s">
        <v>957</v>
      </c>
      <c r="D79" s="19" t="s">
        <v>64</v>
      </c>
      <c r="E79" s="19" t="s">
        <v>98</v>
      </c>
      <c r="F79" s="19" t="s">
        <v>41</v>
      </c>
      <c r="G79" s="19" t="s">
        <v>1002</v>
      </c>
      <c r="H79" s="19" t="s">
        <v>1005</v>
      </c>
      <c r="I79" s="19">
        <v>1</v>
      </c>
      <c r="J79" s="19">
        <v>1</v>
      </c>
    </row>
    <row r="80" spans="1:10" ht="26.25" customHeight="1" x14ac:dyDescent="0.35">
      <c r="A80" s="19">
        <v>78</v>
      </c>
      <c r="B80" s="19" t="s">
        <v>940</v>
      </c>
      <c r="C80" s="19" t="s">
        <v>957</v>
      </c>
      <c r="D80" s="19" t="s">
        <v>22</v>
      </c>
      <c r="E80" s="19" t="s">
        <v>334</v>
      </c>
      <c r="F80" s="19" t="s">
        <v>41</v>
      </c>
      <c r="G80" s="19" t="s">
        <v>1005</v>
      </c>
      <c r="H80" s="19" t="s">
        <v>1005</v>
      </c>
      <c r="I80" s="19">
        <v>1</v>
      </c>
      <c r="J80" s="19">
        <v>0</v>
      </c>
    </row>
    <row r="81" spans="1:10" ht="15" customHeight="1" x14ac:dyDescent="0.35">
      <c r="A81" s="19">
        <v>79</v>
      </c>
      <c r="B81" s="19" t="s">
        <v>940</v>
      </c>
      <c r="C81" s="19" t="s">
        <v>957</v>
      </c>
      <c r="D81" s="19" t="s">
        <v>38</v>
      </c>
      <c r="E81" s="19" t="s">
        <v>254</v>
      </c>
      <c r="F81" s="19" t="s">
        <v>41</v>
      </c>
      <c r="G81" s="19" t="s">
        <v>1002</v>
      </c>
      <c r="H81" s="28" t="s">
        <v>1077</v>
      </c>
      <c r="I81" s="19">
        <v>1</v>
      </c>
      <c r="J81" s="19">
        <v>0</v>
      </c>
    </row>
    <row r="82" spans="1:10" ht="15" customHeight="1" x14ac:dyDescent="0.35">
      <c r="A82" s="19">
        <v>80</v>
      </c>
      <c r="B82" s="19" t="s">
        <v>940</v>
      </c>
      <c r="C82" s="19" t="s">
        <v>957</v>
      </c>
      <c r="D82" s="19" t="s">
        <v>38</v>
      </c>
      <c r="E82" s="19" t="s">
        <v>342</v>
      </c>
      <c r="F82" s="19" t="s">
        <v>41</v>
      </c>
      <c r="G82" s="19" t="s">
        <v>1002</v>
      </c>
      <c r="H82" s="28" t="s">
        <v>1077</v>
      </c>
      <c r="I82" s="19">
        <v>1</v>
      </c>
      <c r="J82" s="19">
        <v>0</v>
      </c>
    </row>
    <row r="83" spans="1:10" ht="15" customHeight="1" x14ac:dyDescent="0.35">
      <c r="A83" s="19">
        <v>81</v>
      </c>
      <c r="B83" s="19" t="s">
        <v>940</v>
      </c>
      <c r="C83" s="19" t="s">
        <v>957</v>
      </c>
      <c r="D83" s="19" t="s">
        <v>38</v>
      </c>
      <c r="E83" s="19" t="s">
        <v>260</v>
      </c>
      <c r="F83" s="19" t="s">
        <v>41</v>
      </c>
      <c r="G83" s="19" t="s">
        <v>1013</v>
      </c>
      <c r="H83" s="28" t="s">
        <v>1077</v>
      </c>
      <c r="I83" s="19">
        <v>1</v>
      </c>
      <c r="J83" s="19">
        <v>0</v>
      </c>
    </row>
    <row r="84" spans="1:10" ht="15" customHeight="1" x14ac:dyDescent="0.35">
      <c r="A84" s="19">
        <v>82</v>
      </c>
      <c r="B84" s="19" t="s">
        <v>940</v>
      </c>
      <c r="C84" s="19" t="s">
        <v>965</v>
      </c>
      <c r="D84" s="19" t="s">
        <v>38</v>
      </c>
      <c r="E84" s="19" t="s">
        <v>352</v>
      </c>
      <c r="F84" s="19" t="s">
        <v>15</v>
      </c>
      <c r="G84" s="19" t="s">
        <v>1017</v>
      </c>
      <c r="H84" s="28" t="s">
        <v>1094</v>
      </c>
      <c r="I84" s="19">
        <v>1</v>
      </c>
      <c r="J84" s="19">
        <v>0</v>
      </c>
    </row>
    <row r="85" spans="1:10" ht="15" customHeight="1" x14ac:dyDescent="0.35">
      <c r="A85" s="19">
        <v>83</v>
      </c>
      <c r="B85" s="19" t="s">
        <v>940</v>
      </c>
      <c r="C85" s="19" t="s">
        <v>965</v>
      </c>
      <c r="D85" s="19" t="s">
        <v>38</v>
      </c>
      <c r="E85" s="19" t="s">
        <v>352</v>
      </c>
      <c r="F85" s="19" t="s">
        <v>41</v>
      </c>
      <c r="G85" s="19" t="s">
        <v>1017</v>
      </c>
      <c r="H85" s="28" t="s">
        <v>1084</v>
      </c>
      <c r="I85" s="19">
        <v>1</v>
      </c>
      <c r="J85" s="19">
        <v>0</v>
      </c>
    </row>
    <row r="86" spans="1:10" ht="15" customHeight="1" x14ac:dyDescent="0.35">
      <c r="A86" s="19">
        <v>84</v>
      </c>
      <c r="B86" s="19" t="s">
        <v>940</v>
      </c>
      <c r="C86" s="19" t="s">
        <v>958</v>
      </c>
      <c r="D86" s="19" t="s">
        <v>64</v>
      </c>
      <c r="E86" s="19" t="s">
        <v>14</v>
      </c>
      <c r="F86" s="19" t="s">
        <v>15</v>
      </c>
      <c r="G86" s="19" t="s">
        <v>1009</v>
      </c>
      <c r="H86" s="28" t="s">
        <v>1079</v>
      </c>
      <c r="I86" s="19">
        <v>1</v>
      </c>
      <c r="J86" s="19">
        <v>1</v>
      </c>
    </row>
    <row r="87" spans="1:10" ht="26.25" customHeight="1" x14ac:dyDescent="0.35">
      <c r="A87" s="19">
        <v>85</v>
      </c>
      <c r="B87" s="19" t="s">
        <v>940</v>
      </c>
      <c r="C87" s="19" t="s">
        <v>958</v>
      </c>
      <c r="D87" s="19" t="s">
        <v>95</v>
      </c>
      <c r="E87" s="19" t="s">
        <v>87</v>
      </c>
      <c r="F87" s="19" t="s">
        <v>15</v>
      </c>
      <c r="G87" s="19" t="s">
        <v>1005</v>
      </c>
      <c r="H87" s="28" t="s">
        <v>1078</v>
      </c>
      <c r="I87" s="19">
        <v>1</v>
      </c>
      <c r="J87" s="19">
        <v>1</v>
      </c>
    </row>
    <row r="88" spans="1:10" ht="15" customHeight="1" x14ac:dyDescent="0.35">
      <c r="A88" s="19">
        <v>86</v>
      </c>
      <c r="B88" s="19" t="s">
        <v>940</v>
      </c>
      <c r="C88" s="19" t="s">
        <v>958</v>
      </c>
      <c r="D88" s="19" t="s">
        <v>95</v>
      </c>
      <c r="E88" s="19" t="s">
        <v>87</v>
      </c>
      <c r="F88" s="19" t="s">
        <v>15</v>
      </c>
      <c r="G88" s="19" t="s">
        <v>1006</v>
      </c>
      <c r="H88" s="28" t="s">
        <v>1081</v>
      </c>
      <c r="I88" s="19">
        <v>1</v>
      </c>
      <c r="J88" s="19">
        <v>1</v>
      </c>
    </row>
    <row r="89" spans="1:10" ht="15" customHeight="1" x14ac:dyDescent="0.35">
      <c r="A89" s="19">
        <v>87</v>
      </c>
      <c r="B89" s="19" t="s">
        <v>940</v>
      </c>
      <c r="C89" s="19" t="s">
        <v>958</v>
      </c>
      <c r="D89" s="19" t="s">
        <v>22</v>
      </c>
      <c r="E89" s="19" t="s">
        <v>87</v>
      </c>
      <c r="F89" s="19" t="s">
        <v>15</v>
      </c>
      <c r="G89" s="19" t="s">
        <v>1011</v>
      </c>
      <c r="H89" s="28" t="s">
        <v>1078</v>
      </c>
      <c r="I89" s="19">
        <v>1</v>
      </c>
      <c r="J89" s="19">
        <v>1</v>
      </c>
    </row>
    <row r="90" spans="1:10" ht="15" customHeight="1" x14ac:dyDescent="0.35">
      <c r="A90" s="19">
        <v>88</v>
      </c>
      <c r="B90" s="19" t="s">
        <v>940</v>
      </c>
      <c r="C90" s="19" t="s">
        <v>958</v>
      </c>
      <c r="D90" s="19" t="s">
        <v>38</v>
      </c>
      <c r="E90" s="19" t="s">
        <v>87</v>
      </c>
      <c r="F90" s="19" t="s">
        <v>15</v>
      </c>
      <c r="G90" s="19" t="s">
        <v>1010</v>
      </c>
      <c r="H90" s="28" t="s">
        <v>1080</v>
      </c>
      <c r="I90" s="19">
        <v>1</v>
      </c>
      <c r="J90" s="19">
        <v>1</v>
      </c>
    </row>
    <row r="91" spans="1:10" ht="15" customHeight="1" x14ac:dyDescent="0.35">
      <c r="A91" s="19">
        <v>89</v>
      </c>
      <c r="B91" s="19" t="s">
        <v>940</v>
      </c>
      <c r="C91" s="19" t="s">
        <v>958</v>
      </c>
      <c r="D91" s="19" t="s">
        <v>38</v>
      </c>
      <c r="E91" s="19" t="s">
        <v>87</v>
      </c>
      <c r="F91" s="19" t="s">
        <v>41</v>
      </c>
      <c r="G91" s="19" t="s">
        <v>1008</v>
      </c>
      <c r="H91" s="28" t="s">
        <v>1082</v>
      </c>
      <c r="I91" s="19">
        <v>1</v>
      </c>
      <c r="J91" s="19">
        <v>1</v>
      </c>
    </row>
    <row r="92" spans="1:10" ht="15" customHeight="1" x14ac:dyDescent="0.35">
      <c r="A92" s="19">
        <v>90</v>
      </c>
      <c r="B92" s="19" t="s">
        <v>940</v>
      </c>
      <c r="C92" s="19" t="s">
        <v>958</v>
      </c>
      <c r="D92" s="19" t="s">
        <v>64</v>
      </c>
      <c r="E92" s="19" t="s">
        <v>87</v>
      </c>
      <c r="F92" s="19" t="s">
        <v>15</v>
      </c>
      <c r="G92" s="19" t="s">
        <v>1012</v>
      </c>
      <c r="H92" s="28" t="s">
        <v>1078</v>
      </c>
      <c r="I92" s="19">
        <v>1</v>
      </c>
      <c r="J92" s="19">
        <v>1</v>
      </c>
    </row>
    <row r="93" spans="1:10" ht="15" customHeight="1" x14ac:dyDescent="0.35">
      <c r="A93" s="19">
        <v>91</v>
      </c>
      <c r="B93" s="19" t="s">
        <v>940</v>
      </c>
      <c r="C93" s="19" t="s">
        <v>958</v>
      </c>
      <c r="D93" s="19" t="s">
        <v>64</v>
      </c>
      <c r="E93" s="19" t="s">
        <v>87</v>
      </c>
      <c r="F93" s="19" t="s">
        <v>15</v>
      </c>
      <c r="G93" s="19" t="s">
        <v>1007</v>
      </c>
      <c r="H93" s="28" t="s">
        <v>1076</v>
      </c>
      <c r="I93" s="19">
        <v>1</v>
      </c>
      <c r="J93" s="19">
        <v>1</v>
      </c>
    </row>
    <row r="94" spans="1:10" ht="15" customHeight="1" x14ac:dyDescent="0.35">
      <c r="A94" s="19">
        <v>92</v>
      </c>
      <c r="B94" s="19" t="s">
        <v>940</v>
      </c>
      <c r="C94" s="19" t="s">
        <v>958</v>
      </c>
      <c r="D94" s="19" t="s">
        <v>64</v>
      </c>
      <c r="E94" s="19" t="s">
        <v>87</v>
      </c>
      <c r="F94" s="19" t="s">
        <v>102</v>
      </c>
      <c r="G94" s="19" t="s">
        <v>1013</v>
      </c>
      <c r="H94" s="28" t="s">
        <v>1078</v>
      </c>
      <c r="I94" s="19">
        <v>1</v>
      </c>
      <c r="J94" s="19">
        <v>1</v>
      </c>
    </row>
    <row r="95" spans="1:10" ht="15" customHeight="1" x14ac:dyDescent="0.35">
      <c r="A95" s="19">
        <v>93</v>
      </c>
      <c r="B95" s="19" t="s">
        <v>940</v>
      </c>
      <c r="C95" s="19" t="s">
        <v>958</v>
      </c>
      <c r="D95" s="19" t="s">
        <v>64</v>
      </c>
      <c r="E95" s="19" t="s">
        <v>87</v>
      </c>
      <c r="F95" s="19" t="s">
        <v>102</v>
      </c>
      <c r="G95" s="19" t="s">
        <v>1004</v>
      </c>
      <c r="H95" s="28" t="s">
        <v>1078</v>
      </c>
      <c r="I95" s="19">
        <v>1</v>
      </c>
      <c r="J95" s="19">
        <v>1</v>
      </c>
    </row>
    <row r="96" spans="1:10" ht="15" customHeight="1" x14ac:dyDescent="0.35">
      <c r="A96" s="19">
        <v>94</v>
      </c>
      <c r="B96" s="19" t="s">
        <v>940</v>
      </c>
      <c r="C96" s="19" t="s">
        <v>958</v>
      </c>
      <c r="D96" s="19" t="s">
        <v>95</v>
      </c>
      <c r="E96" s="19" t="s">
        <v>92</v>
      </c>
      <c r="F96" s="19" t="s">
        <v>102</v>
      </c>
      <c r="G96" s="19" t="s">
        <v>1004</v>
      </c>
      <c r="H96" s="28" t="s">
        <v>1078</v>
      </c>
      <c r="I96" s="19">
        <v>1</v>
      </c>
      <c r="J96" s="19">
        <v>1</v>
      </c>
    </row>
    <row r="97" spans="1:10" ht="15" customHeight="1" x14ac:dyDescent="0.35">
      <c r="A97" s="19">
        <v>95</v>
      </c>
      <c r="B97" s="19" t="s">
        <v>940</v>
      </c>
      <c r="C97" s="19" t="s">
        <v>958</v>
      </c>
      <c r="D97" s="19" t="s">
        <v>95</v>
      </c>
      <c r="E97" s="19" t="s">
        <v>92</v>
      </c>
      <c r="F97" s="19" t="s">
        <v>15</v>
      </c>
      <c r="G97" s="19" t="s">
        <v>1004</v>
      </c>
      <c r="H97" s="28" t="s">
        <v>1079</v>
      </c>
      <c r="I97" s="19">
        <v>1</v>
      </c>
      <c r="J97" s="19">
        <v>1</v>
      </c>
    </row>
    <row r="98" spans="1:10" ht="15" customHeight="1" x14ac:dyDescent="0.35">
      <c r="A98" s="19">
        <v>96</v>
      </c>
      <c r="B98" s="19" t="s">
        <v>940</v>
      </c>
      <c r="C98" s="19" t="s">
        <v>959</v>
      </c>
      <c r="D98" s="19" t="s">
        <v>22</v>
      </c>
      <c r="E98" s="19" t="s">
        <v>87</v>
      </c>
      <c r="F98" s="19" t="s">
        <v>102</v>
      </c>
      <c r="G98" s="19" t="s">
        <v>1013</v>
      </c>
      <c r="H98" s="28" t="s">
        <v>1078</v>
      </c>
      <c r="I98" s="19">
        <v>1</v>
      </c>
      <c r="J98" s="19">
        <v>1</v>
      </c>
    </row>
    <row r="99" spans="1:10" ht="15" customHeight="1" x14ac:dyDescent="0.35">
      <c r="A99" s="19">
        <v>97</v>
      </c>
      <c r="B99" s="19" t="s">
        <v>940</v>
      </c>
      <c r="C99" s="19" t="s">
        <v>959</v>
      </c>
      <c r="D99" s="19" t="s">
        <v>38</v>
      </c>
      <c r="E99" s="19" t="s">
        <v>87</v>
      </c>
      <c r="F99" s="19" t="s">
        <v>102</v>
      </c>
      <c r="G99" s="19" t="s">
        <v>1022</v>
      </c>
      <c r="H99" s="28" t="s">
        <v>1077</v>
      </c>
      <c r="I99" s="19">
        <v>1</v>
      </c>
      <c r="J99" s="19">
        <v>1</v>
      </c>
    </row>
    <row r="100" spans="1:10" ht="15" customHeight="1" x14ac:dyDescent="0.35">
      <c r="A100" s="19">
        <v>98</v>
      </c>
      <c r="B100" s="19" t="s">
        <v>940</v>
      </c>
      <c r="C100" s="19" t="s">
        <v>959</v>
      </c>
      <c r="D100" s="19" t="s">
        <v>38</v>
      </c>
      <c r="E100" s="19" t="s">
        <v>87</v>
      </c>
      <c r="F100" s="19" t="s">
        <v>15</v>
      </c>
      <c r="G100" s="19" t="s">
        <v>1017</v>
      </c>
      <c r="H100" s="28" t="s">
        <v>1093</v>
      </c>
      <c r="I100" s="19">
        <v>1</v>
      </c>
      <c r="J100" s="19">
        <v>1</v>
      </c>
    </row>
    <row r="101" spans="1:10" ht="15" customHeight="1" x14ac:dyDescent="0.35">
      <c r="A101" s="19">
        <v>99</v>
      </c>
      <c r="B101" s="19" t="s">
        <v>940</v>
      </c>
      <c r="C101" s="19" t="s">
        <v>959</v>
      </c>
      <c r="D101" s="19" t="s">
        <v>38</v>
      </c>
      <c r="E101" s="19" t="s">
        <v>87</v>
      </c>
      <c r="F101" s="19" t="s">
        <v>102</v>
      </c>
      <c r="G101" s="19" t="s">
        <v>1027</v>
      </c>
      <c r="H101" s="28" t="s">
        <v>1077</v>
      </c>
      <c r="I101" s="19">
        <v>1</v>
      </c>
      <c r="J101" s="19">
        <v>1</v>
      </c>
    </row>
    <row r="102" spans="1:10" ht="15" customHeight="1" x14ac:dyDescent="0.35">
      <c r="A102" s="19">
        <v>100</v>
      </c>
      <c r="B102" s="19" t="s">
        <v>940</v>
      </c>
      <c r="C102" s="19" t="s">
        <v>959</v>
      </c>
      <c r="D102" s="19" t="s">
        <v>64</v>
      </c>
      <c r="E102" s="19" t="s">
        <v>87</v>
      </c>
      <c r="F102" s="19" t="s">
        <v>41</v>
      </c>
      <c r="G102" s="19" t="s">
        <v>1004</v>
      </c>
      <c r="H102" s="28" t="s">
        <v>1078</v>
      </c>
      <c r="I102" s="19">
        <v>1</v>
      </c>
      <c r="J102" s="19">
        <v>1</v>
      </c>
    </row>
    <row r="103" spans="1:10" ht="15" customHeight="1" x14ac:dyDescent="0.35">
      <c r="A103" s="19">
        <v>101</v>
      </c>
      <c r="B103" s="19" t="s">
        <v>940</v>
      </c>
      <c r="C103" s="19" t="s">
        <v>959</v>
      </c>
      <c r="D103" s="19" t="s">
        <v>64</v>
      </c>
      <c r="E103" s="19" t="s">
        <v>87</v>
      </c>
      <c r="F103" s="19" t="s">
        <v>41</v>
      </c>
      <c r="G103" s="19" t="s">
        <v>1012</v>
      </c>
      <c r="H103" s="28" t="s">
        <v>1078</v>
      </c>
      <c r="I103" s="19">
        <v>1</v>
      </c>
      <c r="J103" s="19">
        <v>1</v>
      </c>
    </row>
    <row r="104" spans="1:10" ht="15" customHeight="1" x14ac:dyDescent="0.35">
      <c r="A104" s="19">
        <v>102</v>
      </c>
      <c r="B104" s="19" t="s">
        <v>940</v>
      </c>
      <c r="C104" s="19" t="s">
        <v>959</v>
      </c>
      <c r="D104" s="19" t="s">
        <v>64</v>
      </c>
      <c r="E104" s="19" t="s">
        <v>87</v>
      </c>
      <c r="F104" s="19" t="s">
        <v>102</v>
      </c>
      <c r="G104" s="19" t="s">
        <v>1013</v>
      </c>
      <c r="H104" s="28" t="s">
        <v>1146</v>
      </c>
      <c r="I104" s="19">
        <v>1</v>
      </c>
      <c r="J104" s="19">
        <v>1</v>
      </c>
    </row>
    <row r="105" spans="1:10" ht="15" customHeight="1" x14ac:dyDescent="0.35">
      <c r="A105" s="19">
        <v>103</v>
      </c>
      <c r="B105" s="19" t="s">
        <v>940</v>
      </c>
      <c r="C105" s="19" t="s">
        <v>959</v>
      </c>
      <c r="D105" s="19" t="s">
        <v>64</v>
      </c>
      <c r="E105" s="19" t="s">
        <v>87</v>
      </c>
      <c r="F105" s="19" t="s">
        <v>41</v>
      </c>
      <c r="G105" s="19" t="s">
        <v>1013</v>
      </c>
      <c r="H105" s="28" t="s">
        <v>1077</v>
      </c>
      <c r="I105" s="19">
        <v>1</v>
      </c>
      <c r="J105" s="19">
        <v>1</v>
      </c>
    </row>
    <row r="106" spans="1:10" ht="15" customHeight="1" x14ac:dyDescent="0.35">
      <c r="A106" s="19">
        <v>104</v>
      </c>
      <c r="B106" s="19" t="s">
        <v>940</v>
      </c>
      <c r="C106" s="19" t="s">
        <v>959</v>
      </c>
      <c r="D106" s="19" t="s">
        <v>64</v>
      </c>
      <c r="E106" s="19" t="s">
        <v>87</v>
      </c>
      <c r="F106" s="19" t="s">
        <v>41</v>
      </c>
      <c r="G106" s="19" t="s">
        <v>1004</v>
      </c>
      <c r="H106" s="28" t="s">
        <v>1078</v>
      </c>
      <c r="I106" s="19">
        <v>1</v>
      </c>
      <c r="J106" s="19">
        <v>1</v>
      </c>
    </row>
    <row r="107" spans="1:10" ht="15" customHeight="1" x14ac:dyDescent="0.35">
      <c r="A107" s="19">
        <v>105</v>
      </c>
      <c r="B107" s="19" t="s">
        <v>941</v>
      </c>
      <c r="C107" s="19" t="s">
        <v>970</v>
      </c>
      <c r="D107" s="19" t="s">
        <v>11</v>
      </c>
      <c r="E107" s="19" t="s">
        <v>442</v>
      </c>
      <c r="F107" s="19" t="s">
        <v>15</v>
      </c>
      <c r="G107" s="19" t="s">
        <v>1038</v>
      </c>
      <c r="H107" s="28" t="s">
        <v>1147</v>
      </c>
      <c r="I107" s="19">
        <v>1</v>
      </c>
      <c r="J107" s="19">
        <v>0</v>
      </c>
    </row>
    <row r="108" spans="1:10" ht="26.25" customHeight="1" x14ac:dyDescent="0.35">
      <c r="A108" s="19">
        <v>106</v>
      </c>
      <c r="B108" s="19" t="s">
        <v>941</v>
      </c>
      <c r="C108" s="19" t="s">
        <v>972</v>
      </c>
      <c r="D108" s="19" t="s">
        <v>11</v>
      </c>
      <c r="E108" s="19" t="s">
        <v>448</v>
      </c>
      <c r="F108" s="19" t="s">
        <v>15</v>
      </c>
      <c r="G108" s="19" t="s">
        <v>1005</v>
      </c>
      <c r="H108" s="19" t="s">
        <v>1005</v>
      </c>
      <c r="I108" s="19">
        <v>1</v>
      </c>
      <c r="J108" s="19">
        <v>0</v>
      </c>
    </row>
    <row r="109" spans="1:10" ht="15" customHeight="1" x14ac:dyDescent="0.35">
      <c r="A109" s="19">
        <v>107</v>
      </c>
      <c r="B109" s="19" t="s">
        <v>941</v>
      </c>
      <c r="C109" s="19" t="s">
        <v>970</v>
      </c>
      <c r="D109" s="19" t="s">
        <v>11</v>
      </c>
      <c r="E109" s="19" t="s">
        <v>448</v>
      </c>
      <c r="F109" s="19" t="s">
        <v>15</v>
      </c>
      <c r="G109" s="19" t="s">
        <v>1030</v>
      </c>
      <c r="H109" s="28" t="s">
        <v>1078</v>
      </c>
      <c r="I109" s="19">
        <v>1</v>
      </c>
      <c r="J109" s="19">
        <v>0</v>
      </c>
    </row>
    <row r="110" spans="1:10" ht="15" customHeight="1" x14ac:dyDescent="0.35">
      <c r="A110" s="19">
        <v>108</v>
      </c>
      <c r="B110" s="19" t="s">
        <v>941</v>
      </c>
      <c r="C110" s="19" t="s">
        <v>972</v>
      </c>
      <c r="D110" s="19" t="s">
        <v>11</v>
      </c>
      <c r="E110" s="19" t="s">
        <v>14</v>
      </c>
      <c r="F110" s="19" t="s">
        <v>15</v>
      </c>
      <c r="G110" s="19" t="s">
        <v>1003</v>
      </c>
      <c r="H110" s="28" t="s">
        <v>1107</v>
      </c>
      <c r="I110" s="19">
        <v>1</v>
      </c>
      <c r="J110" s="19">
        <v>1</v>
      </c>
    </row>
    <row r="111" spans="1:10" ht="15" customHeight="1" x14ac:dyDescent="0.35">
      <c r="A111" s="19">
        <v>109</v>
      </c>
      <c r="B111" s="19" t="s">
        <v>941</v>
      </c>
      <c r="C111" s="19" t="s">
        <v>974</v>
      </c>
      <c r="D111" s="19" t="s">
        <v>95</v>
      </c>
      <c r="E111" s="19" t="s">
        <v>14</v>
      </c>
      <c r="F111" s="19" t="s">
        <v>15</v>
      </c>
      <c r="G111" s="19" t="s">
        <v>1047</v>
      </c>
      <c r="H111" s="28" t="s">
        <v>1100</v>
      </c>
      <c r="I111" s="19">
        <v>1</v>
      </c>
      <c r="J111" s="19">
        <v>1</v>
      </c>
    </row>
    <row r="112" spans="1:10" ht="15" customHeight="1" x14ac:dyDescent="0.35">
      <c r="A112" s="19">
        <v>110</v>
      </c>
      <c r="B112" s="19" t="s">
        <v>941</v>
      </c>
      <c r="C112" s="19" t="s">
        <v>970</v>
      </c>
      <c r="D112" s="19" t="s">
        <v>95</v>
      </c>
      <c r="E112" s="19" t="s">
        <v>14</v>
      </c>
      <c r="F112" s="19" t="s">
        <v>15</v>
      </c>
      <c r="G112" s="19" t="s">
        <v>1039</v>
      </c>
      <c r="H112" s="28" t="s">
        <v>1104</v>
      </c>
      <c r="I112" s="19">
        <v>1</v>
      </c>
      <c r="J112" s="19">
        <v>1</v>
      </c>
    </row>
    <row r="113" spans="1:10" ht="15" customHeight="1" x14ac:dyDescent="0.35">
      <c r="A113" s="19">
        <v>111</v>
      </c>
      <c r="B113" s="19" t="s">
        <v>941</v>
      </c>
      <c r="C113" s="19" t="s">
        <v>970</v>
      </c>
      <c r="D113" s="19" t="s">
        <v>95</v>
      </c>
      <c r="E113" s="19" t="s">
        <v>14</v>
      </c>
      <c r="F113" s="19" t="s">
        <v>15</v>
      </c>
      <c r="G113" s="19" t="s">
        <v>1040</v>
      </c>
      <c r="H113" s="28" t="s">
        <v>1102</v>
      </c>
      <c r="I113" s="19">
        <v>1</v>
      </c>
      <c r="J113" s="19">
        <v>1</v>
      </c>
    </row>
    <row r="114" spans="1:10" ht="15" customHeight="1" x14ac:dyDescent="0.35">
      <c r="A114" s="19">
        <v>112</v>
      </c>
      <c r="B114" s="19" t="s">
        <v>941</v>
      </c>
      <c r="C114" s="19" t="s">
        <v>970</v>
      </c>
      <c r="D114" s="19" t="s">
        <v>95</v>
      </c>
      <c r="E114" s="19" t="s">
        <v>14</v>
      </c>
      <c r="F114" s="19" t="s">
        <v>15</v>
      </c>
      <c r="G114" s="19" t="s">
        <v>1043</v>
      </c>
      <c r="H114" s="28" t="s">
        <v>1079</v>
      </c>
      <c r="I114" s="19">
        <v>1</v>
      </c>
      <c r="J114" s="19">
        <v>1</v>
      </c>
    </row>
    <row r="115" spans="1:10" ht="15" customHeight="1" x14ac:dyDescent="0.35">
      <c r="A115" s="19">
        <v>113</v>
      </c>
      <c r="B115" s="19" t="s">
        <v>941</v>
      </c>
      <c r="C115" s="19" t="s">
        <v>973</v>
      </c>
      <c r="D115" s="19" t="s">
        <v>95</v>
      </c>
      <c r="E115" s="19" t="s">
        <v>14</v>
      </c>
      <c r="F115" s="19" t="s">
        <v>15</v>
      </c>
      <c r="G115" s="19" t="s">
        <v>1040</v>
      </c>
      <c r="H115" s="28" t="s">
        <v>1148</v>
      </c>
      <c r="I115" s="19">
        <v>1</v>
      </c>
      <c r="J115" s="19">
        <v>1</v>
      </c>
    </row>
    <row r="116" spans="1:10" ht="15" customHeight="1" x14ac:dyDescent="0.35">
      <c r="A116" s="19">
        <v>114</v>
      </c>
      <c r="B116" s="19" t="s">
        <v>941</v>
      </c>
      <c r="C116" s="19" t="s">
        <v>974</v>
      </c>
      <c r="D116" s="19" t="s">
        <v>95</v>
      </c>
      <c r="E116" s="19" t="s">
        <v>14</v>
      </c>
      <c r="F116" s="19" t="s">
        <v>15</v>
      </c>
      <c r="G116" s="19" t="s">
        <v>1040</v>
      </c>
      <c r="H116" s="28" t="s">
        <v>1102</v>
      </c>
      <c r="I116" s="19">
        <v>1</v>
      </c>
      <c r="J116" s="19">
        <v>1</v>
      </c>
    </row>
    <row r="117" spans="1:10" ht="15" customHeight="1" x14ac:dyDescent="0.35">
      <c r="A117" s="19">
        <v>115</v>
      </c>
      <c r="B117" s="19" t="s">
        <v>941</v>
      </c>
      <c r="C117" s="19" t="s">
        <v>970</v>
      </c>
      <c r="D117" s="19" t="s">
        <v>38</v>
      </c>
      <c r="E117" s="19" t="s">
        <v>14</v>
      </c>
      <c r="F117" s="19" t="s">
        <v>15</v>
      </c>
      <c r="G117" s="19" t="s">
        <v>1040</v>
      </c>
      <c r="H117" s="28" t="s">
        <v>1077</v>
      </c>
      <c r="I117" s="19">
        <v>1</v>
      </c>
      <c r="J117" s="19">
        <v>1</v>
      </c>
    </row>
    <row r="118" spans="1:10" ht="15" customHeight="1" x14ac:dyDescent="0.35">
      <c r="A118" s="19">
        <v>116</v>
      </c>
      <c r="B118" s="19" t="s">
        <v>941</v>
      </c>
      <c r="C118" s="19" t="s">
        <v>970</v>
      </c>
      <c r="D118" s="19" t="s">
        <v>38</v>
      </c>
      <c r="E118" s="19" t="s">
        <v>14</v>
      </c>
      <c r="F118" s="19" t="s">
        <v>15</v>
      </c>
      <c r="G118" s="19" t="s">
        <v>1013</v>
      </c>
      <c r="H118" s="28" t="s">
        <v>1079</v>
      </c>
      <c r="I118" s="19">
        <v>1</v>
      </c>
      <c r="J118" s="19">
        <v>1</v>
      </c>
    </row>
    <row r="119" spans="1:10" ht="26.25" customHeight="1" x14ac:dyDescent="0.35">
      <c r="A119" s="19">
        <v>117</v>
      </c>
      <c r="B119" s="19" t="s">
        <v>941</v>
      </c>
      <c r="C119" s="19" t="s">
        <v>972</v>
      </c>
      <c r="D119" s="19" t="s">
        <v>38</v>
      </c>
      <c r="E119" s="19" t="s">
        <v>14</v>
      </c>
      <c r="F119" s="19" t="s">
        <v>15</v>
      </c>
      <c r="G119" s="19" t="s">
        <v>1005</v>
      </c>
      <c r="H119" s="19" t="s">
        <v>1005</v>
      </c>
      <c r="I119" s="19">
        <v>1</v>
      </c>
      <c r="J119" s="19">
        <v>1</v>
      </c>
    </row>
    <row r="120" spans="1:10" ht="26.25" customHeight="1" x14ac:dyDescent="0.35">
      <c r="A120" s="19">
        <v>118</v>
      </c>
      <c r="B120" s="19" t="s">
        <v>941</v>
      </c>
      <c r="C120" s="19" t="s">
        <v>970</v>
      </c>
      <c r="D120" s="19" t="s">
        <v>38</v>
      </c>
      <c r="E120" s="19" t="s">
        <v>14</v>
      </c>
      <c r="F120" s="19" t="s">
        <v>15</v>
      </c>
      <c r="G120" s="19" t="s">
        <v>1005</v>
      </c>
      <c r="H120" s="28" t="s">
        <v>1147</v>
      </c>
      <c r="I120" s="19">
        <v>1</v>
      </c>
      <c r="J120" s="19">
        <v>1</v>
      </c>
    </row>
    <row r="121" spans="1:10" ht="15" customHeight="1" x14ac:dyDescent="0.35">
      <c r="A121" s="19">
        <v>119</v>
      </c>
      <c r="B121" s="19" t="s">
        <v>941</v>
      </c>
      <c r="C121" s="19" t="s">
        <v>975</v>
      </c>
      <c r="D121" s="19" t="s">
        <v>38</v>
      </c>
      <c r="E121" s="19" t="s">
        <v>14</v>
      </c>
      <c r="F121" s="19" t="s">
        <v>15</v>
      </c>
      <c r="G121" s="19" t="s">
        <v>1048</v>
      </c>
      <c r="H121" s="29" t="s">
        <v>1149</v>
      </c>
      <c r="I121" s="19">
        <v>1</v>
      </c>
      <c r="J121" s="19">
        <v>1</v>
      </c>
    </row>
    <row r="122" spans="1:10" ht="15" customHeight="1" x14ac:dyDescent="0.35">
      <c r="A122" s="19">
        <v>120</v>
      </c>
      <c r="B122" s="19" t="s">
        <v>941</v>
      </c>
      <c r="C122" s="19" t="s">
        <v>970</v>
      </c>
      <c r="D122" s="19" t="s">
        <v>64</v>
      </c>
      <c r="E122" s="19" t="s">
        <v>14</v>
      </c>
      <c r="F122" s="19" t="s">
        <v>15</v>
      </c>
      <c r="G122" s="19" t="s">
        <v>1038</v>
      </c>
      <c r="H122" s="28" t="s">
        <v>1080</v>
      </c>
      <c r="I122" s="19">
        <v>1</v>
      </c>
      <c r="J122" s="19">
        <v>1</v>
      </c>
    </row>
    <row r="123" spans="1:10" ht="26.25" customHeight="1" x14ac:dyDescent="0.35">
      <c r="A123" s="19">
        <v>121</v>
      </c>
      <c r="B123" s="19" t="s">
        <v>941</v>
      </c>
      <c r="C123" s="19" t="s">
        <v>970</v>
      </c>
      <c r="D123" s="19" t="s">
        <v>64</v>
      </c>
      <c r="E123" s="19" t="s">
        <v>14</v>
      </c>
      <c r="F123" s="19" t="s">
        <v>15</v>
      </c>
      <c r="G123" s="19" t="s">
        <v>1038</v>
      </c>
      <c r="H123" s="19" t="s">
        <v>1005</v>
      </c>
      <c r="I123" s="19">
        <v>1</v>
      </c>
      <c r="J123" s="19">
        <v>1</v>
      </c>
    </row>
    <row r="124" spans="1:10" ht="26.25" customHeight="1" x14ac:dyDescent="0.35">
      <c r="A124" s="19">
        <v>122</v>
      </c>
      <c r="B124" s="19" t="s">
        <v>941</v>
      </c>
      <c r="C124" s="19" t="s">
        <v>973</v>
      </c>
      <c r="D124" s="19" t="s">
        <v>64</v>
      </c>
      <c r="E124" s="19" t="s">
        <v>14</v>
      </c>
      <c r="F124" s="19" t="s">
        <v>15</v>
      </c>
      <c r="G124" s="19" t="s">
        <v>1040</v>
      </c>
      <c r="H124" s="19" t="s">
        <v>1005</v>
      </c>
      <c r="I124" s="19">
        <v>1</v>
      </c>
      <c r="J124" s="19">
        <v>1</v>
      </c>
    </row>
    <row r="125" spans="1:10" ht="15" customHeight="1" x14ac:dyDescent="0.35">
      <c r="A125" s="19">
        <v>123</v>
      </c>
      <c r="B125" s="19" t="s">
        <v>941</v>
      </c>
      <c r="C125" s="19" t="s">
        <v>970</v>
      </c>
      <c r="D125" s="19" t="s">
        <v>64</v>
      </c>
      <c r="E125" s="19" t="s">
        <v>14</v>
      </c>
      <c r="F125" s="19" t="s">
        <v>15</v>
      </c>
      <c r="G125" s="19" t="s">
        <v>1042</v>
      </c>
      <c r="H125" s="28" t="s">
        <v>1088</v>
      </c>
      <c r="I125" s="19">
        <v>1</v>
      </c>
      <c r="J125" s="19">
        <v>1</v>
      </c>
    </row>
    <row r="126" spans="1:10" ht="15" customHeight="1" x14ac:dyDescent="0.35">
      <c r="A126" s="19">
        <v>124</v>
      </c>
      <c r="B126" s="19" t="s">
        <v>941</v>
      </c>
      <c r="C126" s="19" t="s">
        <v>970</v>
      </c>
      <c r="D126" s="19" t="s">
        <v>64</v>
      </c>
      <c r="E126" s="19" t="s">
        <v>14</v>
      </c>
      <c r="F126" s="19" t="s">
        <v>15</v>
      </c>
      <c r="G126" s="19" t="s">
        <v>1017</v>
      </c>
      <c r="H126" s="28" t="s">
        <v>1144</v>
      </c>
      <c r="I126" s="19">
        <v>1</v>
      </c>
      <c r="J126" s="19">
        <v>1</v>
      </c>
    </row>
    <row r="127" spans="1:10" ht="26.25" customHeight="1" x14ac:dyDescent="0.35">
      <c r="A127" s="19">
        <v>125</v>
      </c>
      <c r="B127" s="19" t="s">
        <v>941</v>
      </c>
      <c r="C127" s="19" t="s">
        <v>970</v>
      </c>
      <c r="D127" s="19" t="s">
        <v>64</v>
      </c>
      <c r="E127" s="19" t="s">
        <v>14</v>
      </c>
      <c r="F127" s="19" t="s">
        <v>15</v>
      </c>
      <c r="G127" s="19" t="s">
        <v>1005</v>
      </c>
      <c r="H127" s="28" t="s">
        <v>1147</v>
      </c>
      <c r="I127" s="19">
        <v>1</v>
      </c>
      <c r="J127" s="19">
        <v>1</v>
      </c>
    </row>
    <row r="128" spans="1:10" ht="15" customHeight="1" x14ac:dyDescent="0.35">
      <c r="A128" s="19">
        <v>126</v>
      </c>
      <c r="B128" s="19" t="s">
        <v>941</v>
      </c>
      <c r="C128" s="19" t="s">
        <v>970</v>
      </c>
      <c r="D128" s="19" t="s">
        <v>64</v>
      </c>
      <c r="E128" s="19" t="s">
        <v>92</v>
      </c>
      <c r="F128" s="19" t="s">
        <v>15</v>
      </c>
      <c r="G128" s="19" t="s">
        <v>1041</v>
      </c>
      <c r="H128" s="28" t="s">
        <v>1079</v>
      </c>
      <c r="I128" s="19">
        <v>1</v>
      </c>
      <c r="J128" s="19">
        <v>1</v>
      </c>
    </row>
    <row r="129" spans="1:10" ht="15" customHeight="1" x14ac:dyDescent="0.35">
      <c r="A129" s="19">
        <v>127</v>
      </c>
      <c r="B129" s="19" t="s">
        <v>941</v>
      </c>
      <c r="C129" s="19" t="s">
        <v>970</v>
      </c>
      <c r="D129" s="19" t="s">
        <v>22</v>
      </c>
      <c r="E129" s="19" t="s">
        <v>535</v>
      </c>
      <c r="F129" s="19" t="s">
        <v>15</v>
      </c>
      <c r="G129" s="19" t="s">
        <v>1038</v>
      </c>
      <c r="H129" s="28" t="s">
        <v>1150</v>
      </c>
      <c r="I129" s="19">
        <v>1</v>
      </c>
      <c r="J129" s="19">
        <v>0</v>
      </c>
    </row>
    <row r="130" spans="1:10" ht="15" customHeight="1" x14ac:dyDescent="0.35">
      <c r="A130" s="19">
        <v>128</v>
      </c>
      <c r="B130" s="19" t="s">
        <v>941</v>
      </c>
      <c r="C130" s="19" t="s">
        <v>970</v>
      </c>
      <c r="D130" s="19" t="s">
        <v>22</v>
      </c>
      <c r="E130" s="19" t="s">
        <v>92</v>
      </c>
      <c r="F130" s="19" t="s">
        <v>15</v>
      </c>
      <c r="G130" s="19" t="s">
        <v>1039</v>
      </c>
      <c r="H130" s="28" t="s">
        <v>1147</v>
      </c>
      <c r="I130" s="19">
        <v>1</v>
      </c>
      <c r="J130" s="19">
        <v>1</v>
      </c>
    </row>
    <row r="131" spans="1:10" ht="15" customHeight="1" x14ac:dyDescent="0.35">
      <c r="A131" s="19">
        <v>128</v>
      </c>
      <c r="B131" s="19" t="s">
        <v>941</v>
      </c>
      <c r="C131" s="19" t="s">
        <v>970</v>
      </c>
      <c r="D131" s="19" t="s">
        <v>22</v>
      </c>
      <c r="E131" s="19" t="s">
        <v>14</v>
      </c>
      <c r="F131" s="19" t="s">
        <v>15</v>
      </c>
      <c r="G131" s="19" t="s">
        <v>1039</v>
      </c>
      <c r="H131" s="28" t="s">
        <v>1147</v>
      </c>
      <c r="I131" s="19">
        <v>0</v>
      </c>
      <c r="J131" s="19">
        <v>1</v>
      </c>
    </row>
    <row r="132" spans="1:10" ht="15" customHeight="1" x14ac:dyDescent="0.35">
      <c r="A132" s="19">
        <v>129</v>
      </c>
      <c r="B132" s="19" t="s">
        <v>941</v>
      </c>
      <c r="C132" s="19" t="s">
        <v>970</v>
      </c>
      <c r="D132" s="19" t="s">
        <v>64</v>
      </c>
      <c r="E132" s="19" t="s">
        <v>544</v>
      </c>
      <c r="F132" s="19" t="s">
        <v>15</v>
      </c>
      <c r="G132" s="19" t="s">
        <v>1012</v>
      </c>
      <c r="H132" s="28" t="s">
        <v>1078</v>
      </c>
      <c r="I132" s="19">
        <v>1</v>
      </c>
      <c r="J132" s="19">
        <v>0</v>
      </c>
    </row>
    <row r="133" spans="1:10" ht="15" customHeight="1" x14ac:dyDescent="0.35">
      <c r="A133" s="19">
        <v>130</v>
      </c>
      <c r="B133" s="19" t="s">
        <v>941</v>
      </c>
      <c r="C133" s="19" t="s">
        <v>973</v>
      </c>
      <c r="D133" s="19" t="s">
        <v>64</v>
      </c>
      <c r="E133" s="19" t="s">
        <v>14</v>
      </c>
      <c r="F133" s="19" t="s">
        <v>15</v>
      </c>
      <c r="G133" s="19" t="s">
        <v>1040</v>
      </c>
      <c r="H133" s="28" t="s">
        <v>1077</v>
      </c>
      <c r="I133" s="19">
        <v>1</v>
      </c>
      <c r="J133" s="19">
        <v>1</v>
      </c>
    </row>
    <row r="134" spans="1:10" ht="15" customHeight="1" x14ac:dyDescent="0.35">
      <c r="A134" s="19">
        <v>131</v>
      </c>
      <c r="B134" s="19" t="s">
        <v>941</v>
      </c>
      <c r="C134" s="19" t="s">
        <v>971</v>
      </c>
      <c r="D134" s="19" t="s">
        <v>64</v>
      </c>
      <c r="E134" s="19" t="s">
        <v>14</v>
      </c>
      <c r="F134" s="19" t="s">
        <v>15</v>
      </c>
      <c r="G134" s="19" t="s">
        <v>1042</v>
      </c>
      <c r="H134" s="28" t="s">
        <v>1147</v>
      </c>
      <c r="I134" s="19">
        <v>1</v>
      </c>
      <c r="J134" s="19">
        <v>1</v>
      </c>
    </row>
    <row r="135" spans="1:10" ht="15" customHeight="1" x14ac:dyDescent="0.35">
      <c r="A135" s="19">
        <v>132</v>
      </c>
      <c r="B135" s="19" t="s">
        <v>941</v>
      </c>
      <c r="C135" s="19" t="s">
        <v>971</v>
      </c>
      <c r="D135" s="19" t="s">
        <v>64</v>
      </c>
      <c r="E135" s="19" t="s">
        <v>14</v>
      </c>
      <c r="F135" s="19" t="s">
        <v>15</v>
      </c>
      <c r="G135" s="19" t="s">
        <v>1038</v>
      </c>
      <c r="H135" s="28" t="s">
        <v>1110</v>
      </c>
      <c r="I135" s="19">
        <v>1</v>
      </c>
      <c r="J135" s="19">
        <v>1</v>
      </c>
    </row>
    <row r="136" spans="1:10" ht="15" customHeight="1" x14ac:dyDescent="0.35">
      <c r="A136" s="19">
        <v>133</v>
      </c>
      <c r="B136" s="19" t="s">
        <v>941</v>
      </c>
      <c r="C136" s="19" t="s">
        <v>971</v>
      </c>
      <c r="D136" s="19" t="s">
        <v>64</v>
      </c>
      <c r="E136" s="19" t="s">
        <v>14</v>
      </c>
      <c r="F136" s="19" t="s">
        <v>41</v>
      </c>
      <c r="G136" s="19" t="s">
        <v>1046</v>
      </c>
      <c r="H136" s="28" t="s">
        <v>1109</v>
      </c>
      <c r="I136" s="19">
        <v>1</v>
      </c>
      <c r="J136" s="19">
        <v>1</v>
      </c>
    </row>
    <row r="137" spans="1:10" ht="15" customHeight="1" x14ac:dyDescent="0.35">
      <c r="A137" s="19">
        <v>134</v>
      </c>
      <c r="B137" s="19" t="s">
        <v>941</v>
      </c>
      <c r="C137" s="19" t="s">
        <v>971</v>
      </c>
      <c r="D137" s="19" t="s">
        <v>64</v>
      </c>
      <c r="E137" s="19" t="s">
        <v>14</v>
      </c>
      <c r="F137" s="19" t="s">
        <v>41</v>
      </c>
      <c r="G137" s="19" t="s">
        <v>1045</v>
      </c>
      <c r="H137" s="28" t="s">
        <v>1108</v>
      </c>
      <c r="I137" s="19">
        <v>1</v>
      </c>
      <c r="J137" s="19">
        <v>1</v>
      </c>
    </row>
    <row r="138" spans="1:10" ht="15" customHeight="1" x14ac:dyDescent="0.35">
      <c r="A138" s="19">
        <v>135</v>
      </c>
      <c r="B138" s="19" t="s">
        <v>941</v>
      </c>
      <c r="C138" s="19" t="s">
        <v>971</v>
      </c>
      <c r="D138" s="19" t="s">
        <v>95</v>
      </c>
      <c r="E138" s="19" t="s">
        <v>92</v>
      </c>
      <c r="F138" s="19" t="s">
        <v>41</v>
      </c>
      <c r="G138" s="19" t="s">
        <v>1044</v>
      </c>
      <c r="H138" s="28" t="s">
        <v>1151</v>
      </c>
      <c r="I138" s="19">
        <v>1</v>
      </c>
      <c r="J138" s="19">
        <v>1</v>
      </c>
    </row>
    <row r="139" spans="1:10" ht="26.25" customHeight="1" x14ac:dyDescent="0.35">
      <c r="A139" s="19">
        <v>136</v>
      </c>
      <c r="B139" s="19" t="s">
        <v>942</v>
      </c>
      <c r="C139" s="19" t="s">
        <v>979</v>
      </c>
      <c r="D139" s="19" t="s">
        <v>64</v>
      </c>
      <c r="E139" s="19" t="s">
        <v>14</v>
      </c>
      <c r="F139" s="19" t="s">
        <v>15</v>
      </c>
      <c r="G139" s="19" t="s">
        <v>1040</v>
      </c>
      <c r="H139" s="28" t="s">
        <v>1113</v>
      </c>
      <c r="I139" s="19">
        <v>1</v>
      </c>
      <c r="J139" s="19">
        <v>1</v>
      </c>
    </row>
    <row r="140" spans="1:10" ht="26.25" customHeight="1" x14ac:dyDescent="0.35">
      <c r="A140" s="19">
        <v>137</v>
      </c>
      <c r="B140" s="19" t="s">
        <v>942</v>
      </c>
      <c r="C140" s="19" t="s">
        <v>979</v>
      </c>
      <c r="D140" s="19" t="s">
        <v>11</v>
      </c>
      <c r="E140" s="19" t="s">
        <v>448</v>
      </c>
      <c r="F140" s="19" t="s">
        <v>15</v>
      </c>
      <c r="G140" s="19" t="s">
        <v>1040</v>
      </c>
      <c r="H140" s="28" t="s">
        <v>1113</v>
      </c>
      <c r="I140" s="19">
        <v>1</v>
      </c>
      <c r="J140" s="19">
        <v>0</v>
      </c>
    </row>
    <row r="141" spans="1:10" ht="26.25" customHeight="1" x14ac:dyDescent="0.35">
      <c r="A141" s="19">
        <v>138</v>
      </c>
      <c r="B141" s="19" t="s">
        <v>942</v>
      </c>
      <c r="C141" s="19" t="s">
        <v>979</v>
      </c>
      <c r="D141" s="19" t="s">
        <v>95</v>
      </c>
      <c r="E141" s="19" t="s">
        <v>14</v>
      </c>
      <c r="F141" s="19" t="s">
        <v>15</v>
      </c>
      <c r="G141" s="19" t="s">
        <v>1040</v>
      </c>
      <c r="H141" s="28" t="s">
        <v>1102</v>
      </c>
      <c r="I141" s="19">
        <v>1</v>
      </c>
      <c r="J141" s="19">
        <v>1</v>
      </c>
    </row>
    <row r="142" spans="1:10" ht="26.25" customHeight="1" x14ac:dyDescent="0.35">
      <c r="A142" s="19">
        <v>139</v>
      </c>
      <c r="B142" s="19" t="s">
        <v>942</v>
      </c>
      <c r="C142" s="19" t="s">
        <v>979</v>
      </c>
      <c r="D142" s="19" t="s">
        <v>38</v>
      </c>
      <c r="E142" s="19" t="s">
        <v>14</v>
      </c>
      <c r="F142" s="19" t="s">
        <v>15</v>
      </c>
      <c r="G142" s="19" t="s">
        <v>1040</v>
      </c>
      <c r="H142" s="28" t="s">
        <v>1113</v>
      </c>
      <c r="I142" s="19">
        <v>1</v>
      </c>
      <c r="J142" s="19">
        <v>1</v>
      </c>
    </row>
    <row r="143" spans="1:10" ht="26.25" customHeight="1" x14ac:dyDescent="0.35">
      <c r="A143" s="19">
        <v>140</v>
      </c>
      <c r="B143" s="19" t="s">
        <v>942</v>
      </c>
      <c r="C143" s="19" t="s">
        <v>979</v>
      </c>
      <c r="D143" s="19" t="s">
        <v>38</v>
      </c>
      <c r="E143" s="19" t="s">
        <v>14</v>
      </c>
      <c r="F143" s="19" t="s">
        <v>15</v>
      </c>
      <c r="G143" s="19" t="s">
        <v>1040</v>
      </c>
      <c r="H143" s="28" t="s">
        <v>1077</v>
      </c>
      <c r="I143" s="19">
        <v>1</v>
      </c>
      <c r="J143" s="19">
        <v>1</v>
      </c>
    </row>
    <row r="144" spans="1:10" ht="26.25" customHeight="1" x14ac:dyDescent="0.35">
      <c r="A144" s="19">
        <v>141</v>
      </c>
      <c r="B144" s="19" t="s">
        <v>942</v>
      </c>
      <c r="C144" s="19" t="s">
        <v>979</v>
      </c>
      <c r="D144" s="19" t="s">
        <v>38</v>
      </c>
      <c r="E144" s="19" t="s">
        <v>14</v>
      </c>
      <c r="F144" s="19" t="s">
        <v>102</v>
      </c>
      <c r="G144" s="19" t="s">
        <v>1040</v>
      </c>
      <c r="H144" s="28" t="s">
        <v>1077</v>
      </c>
      <c r="I144" s="19">
        <v>1</v>
      </c>
      <c r="J144" s="19">
        <v>1</v>
      </c>
    </row>
    <row r="145" spans="1:10" ht="26.25" customHeight="1" x14ac:dyDescent="0.35">
      <c r="A145" s="19">
        <v>142</v>
      </c>
      <c r="B145" s="19" t="s">
        <v>942</v>
      </c>
      <c r="C145" s="19" t="s">
        <v>979</v>
      </c>
      <c r="D145" s="19" t="s">
        <v>64</v>
      </c>
      <c r="E145" s="19" t="s">
        <v>14</v>
      </c>
      <c r="F145" s="19" t="s">
        <v>102</v>
      </c>
      <c r="G145" s="19" t="s">
        <v>1040</v>
      </c>
      <c r="H145" s="28" t="s">
        <v>1113</v>
      </c>
      <c r="I145" s="19">
        <v>1</v>
      </c>
      <c r="J145" s="19">
        <v>1</v>
      </c>
    </row>
    <row r="146" spans="1:10" ht="26.25" customHeight="1" x14ac:dyDescent="0.35">
      <c r="A146" s="19">
        <v>143</v>
      </c>
      <c r="B146" s="19" t="s">
        <v>942</v>
      </c>
      <c r="C146" s="19" t="s">
        <v>979</v>
      </c>
      <c r="D146" s="19" t="s">
        <v>95</v>
      </c>
      <c r="E146" s="19" t="s">
        <v>601</v>
      </c>
      <c r="F146" s="19" t="s">
        <v>15</v>
      </c>
      <c r="G146" s="19" t="s">
        <v>1050</v>
      </c>
      <c r="H146" s="28" t="s">
        <v>1152</v>
      </c>
      <c r="I146" s="19">
        <v>1</v>
      </c>
      <c r="J146" s="19">
        <v>0</v>
      </c>
    </row>
    <row r="147" spans="1:10" ht="26.25" customHeight="1" x14ac:dyDescent="0.35">
      <c r="A147" s="19">
        <v>144</v>
      </c>
      <c r="B147" s="19" t="s">
        <v>942</v>
      </c>
      <c r="C147" s="19" t="s">
        <v>979</v>
      </c>
      <c r="D147" s="19" t="s">
        <v>38</v>
      </c>
      <c r="E147" s="19" t="s">
        <v>254</v>
      </c>
      <c r="F147" s="19" t="s">
        <v>15</v>
      </c>
      <c r="G147" s="19" t="s">
        <v>1040</v>
      </c>
      <c r="H147" s="28" t="s">
        <v>1077</v>
      </c>
      <c r="I147" s="19">
        <v>1</v>
      </c>
      <c r="J147" s="19">
        <v>0</v>
      </c>
    </row>
    <row r="148" spans="1:10" ht="26.25" customHeight="1" x14ac:dyDescent="0.35">
      <c r="A148" s="19">
        <v>145</v>
      </c>
      <c r="B148" s="19" t="s">
        <v>942</v>
      </c>
      <c r="C148" s="19" t="s">
        <v>980</v>
      </c>
      <c r="D148" s="19" t="s">
        <v>38</v>
      </c>
      <c r="E148" s="19" t="s">
        <v>342</v>
      </c>
      <c r="F148" s="19" t="s">
        <v>15</v>
      </c>
      <c r="G148" s="19" t="s">
        <v>1049</v>
      </c>
      <c r="H148" s="19" t="s">
        <v>1005</v>
      </c>
      <c r="I148" s="19">
        <v>1</v>
      </c>
      <c r="J148" s="19">
        <v>0</v>
      </c>
    </row>
    <row r="149" spans="1:10" ht="15" customHeight="1" x14ac:dyDescent="0.35">
      <c r="A149" s="19">
        <v>146</v>
      </c>
      <c r="B149" s="19" t="s">
        <v>942</v>
      </c>
      <c r="C149" s="19" t="s">
        <v>983</v>
      </c>
      <c r="D149" s="19" t="s">
        <v>95</v>
      </c>
      <c r="E149" s="19" t="s">
        <v>14</v>
      </c>
      <c r="F149" s="19" t="s">
        <v>15</v>
      </c>
      <c r="G149" s="19" t="s">
        <v>1040</v>
      </c>
      <c r="H149" s="28" t="s">
        <v>1078</v>
      </c>
      <c r="I149" s="19">
        <v>1</v>
      </c>
      <c r="J149" s="19">
        <v>1</v>
      </c>
    </row>
    <row r="150" spans="1:10" ht="15" customHeight="1" x14ac:dyDescent="0.35">
      <c r="A150" s="19">
        <v>147</v>
      </c>
      <c r="B150" s="19" t="s">
        <v>942</v>
      </c>
      <c r="C150" s="19" t="s">
        <v>984</v>
      </c>
      <c r="D150" s="19" t="s">
        <v>38</v>
      </c>
      <c r="E150" s="19" t="s">
        <v>14</v>
      </c>
      <c r="F150" s="19" t="s">
        <v>15</v>
      </c>
      <c r="G150" s="19" t="s">
        <v>1040</v>
      </c>
      <c r="H150" s="28" t="s">
        <v>1077</v>
      </c>
      <c r="I150" s="19">
        <v>1</v>
      </c>
      <c r="J150" s="19">
        <v>1</v>
      </c>
    </row>
    <row r="151" spans="1:10" ht="15" customHeight="1" x14ac:dyDescent="0.35">
      <c r="A151" s="19">
        <v>148</v>
      </c>
      <c r="B151" s="19" t="s">
        <v>942</v>
      </c>
      <c r="C151" s="19" t="s">
        <v>983</v>
      </c>
      <c r="D151" s="19" t="s">
        <v>38</v>
      </c>
      <c r="E151" s="19" t="s">
        <v>14</v>
      </c>
      <c r="F151" s="19" t="s">
        <v>41</v>
      </c>
      <c r="G151" s="19" t="s">
        <v>1040</v>
      </c>
      <c r="H151" s="28" t="s">
        <v>1077</v>
      </c>
      <c r="I151" s="19">
        <v>1</v>
      </c>
      <c r="J151" s="19">
        <v>1</v>
      </c>
    </row>
    <row r="152" spans="1:10" ht="15" customHeight="1" x14ac:dyDescent="0.35">
      <c r="A152" s="19">
        <v>149</v>
      </c>
      <c r="B152" s="19" t="s">
        <v>942</v>
      </c>
      <c r="C152" s="19" t="s">
        <v>983</v>
      </c>
      <c r="D152" s="19" t="s">
        <v>64</v>
      </c>
      <c r="E152" s="19" t="s">
        <v>14</v>
      </c>
      <c r="F152" s="19" t="s">
        <v>15</v>
      </c>
      <c r="G152" s="19" t="s">
        <v>1040</v>
      </c>
      <c r="H152" s="28" t="s">
        <v>1113</v>
      </c>
      <c r="I152" s="19">
        <v>1</v>
      </c>
      <c r="J152" s="19">
        <v>1</v>
      </c>
    </row>
    <row r="153" spans="1:10" ht="15" customHeight="1" x14ac:dyDescent="0.35">
      <c r="A153" s="19">
        <v>150</v>
      </c>
      <c r="B153" s="19" t="s">
        <v>942</v>
      </c>
      <c r="C153" s="19" t="s">
        <v>985</v>
      </c>
      <c r="D153" s="19" t="s">
        <v>22</v>
      </c>
      <c r="E153" s="19" t="s">
        <v>14</v>
      </c>
      <c r="F153" s="19" t="s">
        <v>102</v>
      </c>
      <c r="G153" s="19" t="s">
        <v>1040</v>
      </c>
      <c r="H153" s="28" t="s">
        <v>1113</v>
      </c>
      <c r="I153" s="19">
        <v>1</v>
      </c>
      <c r="J153" s="19">
        <v>1</v>
      </c>
    </row>
    <row r="154" spans="1:10" ht="15" customHeight="1" x14ac:dyDescent="0.35">
      <c r="A154" s="19">
        <v>151</v>
      </c>
      <c r="B154" s="19" t="s">
        <v>942</v>
      </c>
      <c r="C154" s="19" t="s">
        <v>986</v>
      </c>
      <c r="D154" s="19" t="s">
        <v>38</v>
      </c>
      <c r="E154" s="19" t="s">
        <v>14</v>
      </c>
      <c r="F154" s="19" t="s">
        <v>41</v>
      </c>
      <c r="G154" s="19" t="s">
        <v>1040</v>
      </c>
      <c r="H154" s="28" t="s">
        <v>1077</v>
      </c>
      <c r="I154" s="19">
        <v>1</v>
      </c>
      <c r="J154" s="19">
        <v>1</v>
      </c>
    </row>
    <row r="155" spans="1:10" ht="15" customHeight="1" x14ac:dyDescent="0.35">
      <c r="A155" s="19">
        <v>152</v>
      </c>
      <c r="B155" s="19" t="s">
        <v>942</v>
      </c>
      <c r="C155" s="19" t="s">
        <v>987</v>
      </c>
      <c r="D155" s="19" t="s">
        <v>11</v>
      </c>
      <c r="E155" s="19" t="s">
        <v>14</v>
      </c>
      <c r="F155" s="19" t="s">
        <v>15</v>
      </c>
      <c r="G155" s="19" t="s">
        <v>1040</v>
      </c>
      <c r="H155" s="28" t="s">
        <v>1102</v>
      </c>
      <c r="I155" s="19">
        <v>1</v>
      </c>
      <c r="J155" s="19">
        <v>1</v>
      </c>
    </row>
    <row r="156" spans="1:10" ht="15" customHeight="1" x14ac:dyDescent="0.35">
      <c r="A156" s="19">
        <v>153</v>
      </c>
      <c r="B156" s="19" t="s">
        <v>942</v>
      </c>
      <c r="C156" s="19" t="s">
        <v>981</v>
      </c>
      <c r="D156" s="19" t="s">
        <v>64</v>
      </c>
      <c r="E156" s="19" t="s">
        <v>14</v>
      </c>
      <c r="F156" s="19" t="s">
        <v>102</v>
      </c>
      <c r="G156" s="19" t="s">
        <v>1040</v>
      </c>
      <c r="H156" s="28" t="s">
        <v>1113</v>
      </c>
      <c r="I156" s="19">
        <v>1</v>
      </c>
      <c r="J156" s="19">
        <v>1</v>
      </c>
    </row>
    <row r="157" spans="1:10" ht="15" customHeight="1" x14ac:dyDescent="0.35">
      <c r="A157" s="19">
        <v>154</v>
      </c>
      <c r="B157" s="19" t="s">
        <v>942</v>
      </c>
      <c r="C157" s="19" t="s">
        <v>981</v>
      </c>
      <c r="D157" s="19" t="s">
        <v>95</v>
      </c>
      <c r="E157" s="19" t="s">
        <v>14</v>
      </c>
      <c r="F157" s="19" t="s">
        <v>15</v>
      </c>
      <c r="G157" s="19" t="s">
        <v>1040</v>
      </c>
      <c r="H157" s="28" t="s">
        <v>1102</v>
      </c>
      <c r="I157" s="19">
        <v>1</v>
      </c>
      <c r="J157" s="19">
        <v>1</v>
      </c>
    </row>
    <row r="158" spans="1:10" ht="15" customHeight="1" x14ac:dyDescent="0.35">
      <c r="A158" s="19">
        <v>155</v>
      </c>
      <c r="B158" s="19" t="s">
        <v>942</v>
      </c>
      <c r="C158" s="19" t="s">
        <v>981</v>
      </c>
      <c r="D158" s="19" t="s">
        <v>95</v>
      </c>
      <c r="E158" s="19" t="s">
        <v>14</v>
      </c>
      <c r="F158" s="19" t="s">
        <v>15</v>
      </c>
      <c r="G158" s="19" t="s">
        <v>1040</v>
      </c>
      <c r="H158" s="28" t="s">
        <v>1102</v>
      </c>
      <c r="I158" s="19">
        <v>1</v>
      </c>
      <c r="J158" s="19">
        <v>1</v>
      </c>
    </row>
    <row r="159" spans="1:10" ht="15" customHeight="1" x14ac:dyDescent="0.35">
      <c r="A159" s="19">
        <v>156</v>
      </c>
      <c r="B159" s="19" t="s">
        <v>942</v>
      </c>
      <c r="C159" s="19" t="s">
        <v>981</v>
      </c>
      <c r="D159" s="19" t="s">
        <v>22</v>
      </c>
      <c r="E159" s="19" t="s">
        <v>14</v>
      </c>
      <c r="F159" s="19" t="s">
        <v>15</v>
      </c>
      <c r="G159" s="19" t="s">
        <v>1053</v>
      </c>
      <c r="H159" s="28" t="s">
        <v>1078</v>
      </c>
      <c r="I159" s="19">
        <v>1</v>
      </c>
      <c r="J159" s="19">
        <v>1</v>
      </c>
    </row>
    <row r="160" spans="1:10" ht="15" customHeight="1" x14ac:dyDescent="0.35">
      <c r="A160" s="19">
        <v>157</v>
      </c>
      <c r="B160" s="19" t="s">
        <v>942</v>
      </c>
      <c r="C160" s="19" t="s">
        <v>981</v>
      </c>
      <c r="D160" s="19" t="s">
        <v>22</v>
      </c>
      <c r="E160" s="19" t="s">
        <v>14</v>
      </c>
      <c r="F160" s="19" t="s">
        <v>41</v>
      </c>
      <c r="G160" s="19" t="s">
        <v>1040</v>
      </c>
      <c r="H160" s="28" t="s">
        <v>1102</v>
      </c>
      <c r="I160" s="19">
        <v>1</v>
      </c>
      <c r="J160" s="19">
        <v>1</v>
      </c>
    </row>
    <row r="161" spans="1:10" ht="15" customHeight="1" x14ac:dyDescent="0.35">
      <c r="A161" s="19">
        <v>158</v>
      </c>
      <c r="B161" s="19" t="s">
        <v>942</v>
      </c>
      <c r="C161" s="19" t="s">
        <v>981</v>
      </c>
      <c r="D161" s="19" t="s">
        <v>64</v>
      </c>
      <c r="E161" s="19" t="s">
        <v>14</v>
      </c>
      <c r="F161" s="19" t="s">
        <v>15</v>
      </c>
      <c r="G161" s="19" t="s">
        <v>1051</v>
      </c>
      <c r="H161" s="28" t="s">
        <v>1077</v>
      </c>
      <c r="I161" s="19">
        <v>1</v>
      </c>
      <c r="J161" s="19">
        <v>1</v>
      </c>
    </row>
    <row r="162" spans="1:10" ht="26.25" customHeight="1" x14ac:dyDescent="0.35">
      <c r="A162" s="19">
        <v>159</v>
      </c>
      <c r="B162" s="19" t="s">
        <v>942</v>
      </c>
      <c r="C162" s="19" t="s">
        <v>981</v>
      </c>
      <c r="D162" s="19" t="s">
        <v>64</v>
      </c>
      <c r="E162" s="19" t="s">
        <v>92</v>
      </c>
      <c r="F162" s="19" t="s">
        <v>15</v>
      </c>
      <c r="G162" s="19" t="s">
        <v>1052</v>
      </c>
      <c r="H162" s="19" t="s">
        <v>1005</v>
      </c>
      <c r="I162" s="19">
        <v>1</v>
      </c>
      <c r="J162" s="19">
        <v>1</v>
      </c>
    </row>
    <row r="163" spans="1:10" ht="26.25" customHeight="1" x14ac:dyDescent="0.35">
      <c r="A163" s="19">
        <v>160</v>
      </c>
      <c r="B163" s="19" t="s">
        <v>942</v>
      </c>
      <c r="C163" s="19" t="s">
        <v>988</v>
      </c>
      <c r="D163" s="19" t="s">
        <v>22</v>
      </c>
      <c r="E163" s="19" t="s">
        <v>14</v>
      </c>
      <c r="F163" s="19" t="s">
        <v>15</v>
      </c>
      <c r="G163" s="19" t="s">
        <v>1005</v>
      </c>
      <c r="H163" s="19" t="s">
        <v>1005</v>
      </c>
      <c r="I163" s="19">
        <v>1</v>
      </c>
      <c r="J163" s="19">
        <v>1</v>
      </c>
    </row>
    <row r="164" spans="1:10" ht="15" customHeight="1" x14ac:dyDescent="0.35">
      <c r="A164" s="19">
        <v>161</v>
      </c>
      <c r="B164" s="19" t="s">
        <v>942</v>
      </c>
      <c r="C164" s="19" t="s">
        <v>677</v>
      </c>
      <c r="D164" s="19" t="s">
        <v>11</v>
      </c>
      <c r="E164" s="19" t="s">
        <v>14</v>
      </c>
      <c r="F164" s="19" t="s">
        <v>15</v>
      </c>
      <c r="G164" s="19" t="s">
        <v>1040</v>
      </c>
      <c r="H164" s="28" t="s">
        <v>1102</v>
      </c>
      <c r="I164" s="19">
        <v>1</v>
      </c>
      <c r="J164" s="19">
        <v>1</v>
      </c>
    </row>
    <row r="165" spans="1:10" ht="15" customHeight="1" x14ac:dyDescent="0.35">
      <c r="A165" s="19">
        <v>162</v>
      </c>
      <c r="B165" s="19" t="s">
        <v>942</v>
      </c>
      <c r="C165" s="19" t="s">
        <v>677</v>
      </c>
      <c r="D165" s="19" t="s">
        <v>95</v>
      </c>
      <c r="E165" s="19" t="s">
        <v>14</v>
      </c>
      <c r="F165" s="19" t="s">
        <v>15</v>
      </c>
      <c r="G165" s="19" t="s">
        <v>1040</v>
      </c>
      <c r="H165" s="28" t="s">
        <v>1107</v>
      </c>
      <c r="I165" s="19">
        <v>1</v>
      </c>
      <c r="J165" s="19">
        <v>1</v>
      </c>
    </row>
    <row r="166" spans="1:10" ht="26.25" customHeight="1" x14ac:dyDescent="0.35">
      <c r="A166" s="19">
        <v>163</v>
      </c>
      <c r="B166" s="19" t="s">
        <v>942</v>
      </c>
      <c r="C166" s="19" t="s">
        <v>982</v>
      </c>
      <c r="D166" s="19" t="s">
        <v>38</v>
      </c>
      <c r="E166" s="19" t="s">
        <v>14</v>
      </c>
      <c r="F166" s="19" t="s">
        <v>15</v>
      </c>
      <c r="G166" s="19" t="s">
        <v>1005</v>
      </c>
      <c r="H166" s="28" t="s">
        <v>1147</v>
      </c>
      <c r="I166" s="19">
        <v>1</v>
      </c>
      <c r="J166" s="19">
        <v>1</v>
      </c>
    </row>
    <row r="167" spans="1:10" ht="15" customHeight="1" x14ac:dyDescent="0.35">
      <c r="A167" s="19">
        <v>164</v>
      </c>
      <c r="B167" s="19" t="s">
        <v>942</v>
      </c>
      <c r="C167" s="19" t="s">
        <v>982</v>
      </c>
      <c r="D167" s="19" t="s">
        <v>38</v>
      </c>
      <c r="E167" s="19" t="s">
        <v>14</v>
      </c>
      <c r="F167" s="19" t="s">
        <v>15</v>
      </c>
      <c r="G167" s="19" t="s">
        <v>1054</v>
      </c>
      <c r="H167" s="28" t="s">
        <v>1107</v>
      </c>
      <c r="I167" s="19">
        <v>1</v>
      </c>
      <c r="J167" s="19">
        <v>1</v>
      </c>
    </row>
    <row r="168" spans="1:10" ht="15" customHeight="1" x14ac:dyDescent="0.35">
      <c r="A168" s="19">
        <v>165</v>
      </c>
      <c r="B168" s="19" t="s">
        <v>942</v>
      </c>
      <c r="C168" s="19" t="s">
        <v>982</v>
      </c>
      <c r="D168" s="19" t="s">
        <v>64</v>
      </c>
      <c r="E168" s="19" t="s">
        <v>14</v>
      </c>
      <c r="F168" s="19" t="s">
        <v>41</v>
      </c>
      <c r="G168" s="19" t="s">
        <v>1040</v>
      </c>
      <c r="H168" s="28" t="s">
        <v>1077</v>
      </c>
      <c r="I168" s="19">
        <v>1</v>
      </c>
      <c r="J168" s="19">
        <v>1</v>
      </c>
    </row>
    <row r="169" spans="1:10" ht="15" customHeight="1" x14ac:dyDescent="0.35">
      <c r="A169" s="19">
        <v>166</v>
      </c>
      <c r="B169" s="19" t="s">
        <v>942</v>
      </c>
      <c r="C169" s="19" t="s">
        <v>982</v>
      </c>
      <c r="D169" s="19" t="s">
        <v>38</v>
      </c>
      <c r="E169" s="19" t="s">
        <v>254</v>
      </c>
      <c r="F169" s="19" t="s">
        <v>102</v>
      </c>
      <c r="G169" s="19" t="s">
        <v>1040</v>
      </c>
      <c r="H169" s="28" t="s">
        <v>1077</v>
      </c>
      <c r="I169" s="19">
        <v>1</v>
      </c>
      <c r="J169" s="19">
        <v>0</v>
      </c>
    </row>
    <row r="170" spans="1:10" ht="15" customHeight="1" x14ac:dyDescent="0.35">
      <c r="A170" s="19">
        <v>167</v>
      </c>
      <c r="B170" s="19" t="s">
        <v>942</v>
      </c>
      <c r="C170" s="19" t="s">
        <v>980</v>
      </c>
      <c r="D170" s="19" t="s">
        <v>22</v>
      </c>
      <c r="E170" s="19" t="s">
        <v>14</v>
      </c>
      <c r="F170" s="19" t="s">
        <v>15</v>
      </c>
      <c r="G170" s="19" t="s">
        <v>1003</v>
      </c>
      <c r="H170" s="28" t="s">
        <v>1078</v>
      </c>
      <c r="I170" s="19">
        <v>1</v>
      </c>
      <c r="J170" s="19">
        <v>1</v>
      </c>
    </row>
    <row r="171" spans="1:10" ht="15" customHeight="1" x14ac:dyDescent="0.35">
      <c r="A171" s="19">
        <v>168</v>
      </c>
      <c r="B171" s="19" t="s">
        <v>942</v>
      </c>
      <c r="C171" s="19" t="s">
        <v>980</v>
      </c>
      <c r="D171" s="19" t="s">
        <v>38</v>
      </c>
      <c r="E171" s="19" t="s">
        <v>14</v>
      </c>
      <c r="F171" s="19" t="s">
        <v>15</v>
      </c>
      <c r="G171" s="19" t="s">
        <v>1040</v>
      </c>
      <c r="H171" s="28" t="s">
        <v>1077</v>
      </c>
      <c r="I171" s="19">
        <v>1</v>
      </c>
      <c r="J171" s="19">
        <v>1</v>
      </c>
    </row>
    <row r="172" spans="1:10" ht="15" customHeight="1" x14ac:dyDescent="0.35">
      <c r="A172" s="19">
        <v>169</v>
      </c>
      <c r="B172" s="19" t="s">
        <v>942</v>
      </c>
      <c r="C172" s="19" t="s">
        <v>980</v>
      </c>
      <c r="D172" s="19" t="s">
        <v>38</v>
      </c>
      <c r="E172" s="19" t="s">
        <v>14</v>
      </c>
      <c r="F172" s="19" t="s">
        <v>15</v>
      </c>
      <c r="G172" s="19" t="s">
        <v>1040</v>
      </c>
      <c r="H172" s="28" t="s">
        <v>1077</v>
      </c>
      <c r="I172" s="19">
        <v>1</v>
      </c>
      <c r="J172" s="19">
        <v>1</v>
      </c>
    </row>
    <row r="173" spans="1:10" ht="15" customHeight="1" x14ac:dyDescent="0.35">
      <c r="A173" s="19">
        <v>170</v>
      </c>
      <c r="B173" s="19" t="s">
        <v>942</v>
      </c>
      <c r="C173" s="19" t="s">
        <v>980</v>
      </c>
      <c r="D173" s="19" t="s">
        <v>38</v>
      </c>
      <c r="E173" s="19" t="s">
        <v>87</v>
      </c>
      <c r="F173" s="19" t="s">
        <v>102</v>
      </c>
      <c r="G173" s="19" t="s">
        <v>1040</v>
      </c>
      <c r="H173" s="28" t="s">
        <v>1107</v>
      </c>
      <c r="I173" s="19">
        <v>1</v>
      </c>
      <c r="J173" s="19">
        <v>1</v>
      </c>
    </row>
    <row r="174" spans="1:10" ht="15" customHeight="1" x14ac:dyDescent="0.35">
      <c r="A174" s="19">
        <v>171</v>
      </c>
      <c r="B174" s="19" t="s">
        <v>942</v>
      </c>
      <c r="C174" s="19" t="s">
        <v>980</v>
      </c>
      <c r="D174" s="19" t="s">
        <v>38</v>
      </c>
      <c r="E174" s="19" t="s">
        <v>14</v>
      </c>
      <c r="F174" s="19" t="s">
        <v>15</v>
      </c>
      <c r="G174" s="19" t="s">
        <v>1040</v>
      </c>
      <c r="H174" s="28" t="s">
        <v>1114</v>
      </c>
      <c r="I174" s="19">
        <v>1</v>
      </c>
      <c r="J174" s="19">
        <v>1</v>
      </c>
    </row>
    <row r="175" spans="1:10" ht="15" customHeight="1" x14ac:dyDescent="0.35">
      <c r="A175" s="19">
        <v>172</v>
      </c>
      <c r="B175" s="19" t="s">
        <v>942</v>
      </c>
      <c r="C175" s="19" t="s">
        <v>980</v>
      </c>
      <c r="D175" s="19" t="s">
        <v>64</v>
      </c>
      <c r="E175" s="19" t="s">
        <v>14</v>
      </c>
      <c r="F175" s="19" t="s">
        <v>15</v>
      </c>
      <c r="G175" s="19" t="s">
        <v>1040</v>
      </c>
      <c r="H175" s="28" t="s">
        <v>1113</v>
      </c>
      <c r="I175" s="19">
        <v>1</v>
      </c>
      <c r="J175" s="19">
        <v>1</v>
      </c>
    </row>
    <row r="176" spans="1:10" ht="15" customHeight="1" x14ac:dyDescent="0.35">
      <c r="A176" s="19">
        <v>173</v>
      </c>
      <c r="B176" s="19" t="s">
        <v>942</v>
      </c>
      <c r="C176" s="19" t="s">
        <v>980</v>
      </c>
      <c r="D176" s="19" t="s">
        <v>38</v>
      </c>
      <c r="E176" s="19" t="s">
        <v>87</v>
      </c>
      <c r="F176" s="19" t="s">
        <v>102</v>
      </c>
      <c r="G176" s="19" t="s">
        <v>1040</v>
      </c>
      <c r="H176" s="28" t="s">
        <v>1078</v>
      </c>
      <c r="I176" s="19">
        <v>1</v>
      </c>
      <c r="J176" s="19">
        <v>1</v>
      </c>
    </row>
    <row r="177" spans="1:10" ht="15" customHeight="1" x14ac:dyDescent="0.35">
      <c r="A177" s="19">
        <v>174</v>
      </c>
      <c r="B177" s="19" t="s">
        <v>942</v>
      </c>
      <c r="C177" s="19" t="s">
        <v>984</v>
      </c>
      <c r="D177" s="19" t="s">
        <v>38</v>
      </c>
      <c r="E177" s="19" t="s">
        <v>14</v>
      </c>
      <c r="F177" s="19" t="s">
        <v>41</v>
      </c>
      <c r="G177" s="19" t="s">
        <v>1040</v>
      </c>
      <c r="H177" s="28" t="s">
        <v>1107</v>
      </c>
      <c r="I177" s="19">
        <v>1</v>
      </c>
      <c r="J177" s="19">
        <v>1</v>
      </c>
    </row>
    <row r="178" spans="1:10" ht="15" customHeight="1" x14ac:dyDescent="0.35">
      <c r="A178" s="19">
        <v>175</v>
      </c>
      <c r="B178" s="19" t="s">
        <v>943</v>
      </c>
      <c r="C178" s="19" t="s">
        <v>770</v>
      </c>
      <c r="D178" s="19" t="s">
        <v>38</v>
      </c>
      <c r="E178" s="19" t="s">
        <v>98</v>
      </c>
      <c r="F178" s="19" t="s">
        <v>102</v>
      </c>
      <c r="G178" s="19" t="s">
        <v>1058</v>
      </c>
      <c r="H178" s="28" t="s">
        <v>1113</v>
      </c>
      <c r="I178" s="19">
        <v>1</v>
      </c>
      <c r="J178" s="19">
        <v>1</v>
      </c>
    </row>
    <row r="179" spans="1:10" ht="15" customHeight="1" x14ac:dyDescent="0.35">
      <c r="A179" s="19">
        <v>176</v>
      </c>
      <c r="B179" s="19" t="s">
        <v>943</v>
      </c>
      <c r="C179" s="19" t="s">
        <v>770</v>
      </c>
      <c r="D179" s="19" t="s">
        <v>38</v>
      </c>
      <c r="E179" s="19" t="s">
        <v>98</v>
      </c>
      <c r="F179" s="19" t="s">
        <v>15</v>
      </c>
      <c r="G179" s="19" t="s">
        <v>1058</v>
      </c>
      <c r="H179" s="28" t="s">
        <v>1102</v>
      </c>
      <c r="I179" s="19">
        <v>1</v>
      </c>
      <c r="J179" s="19">
        <v>1</v>
      </c>
    </row>
    <row r="180" spans="1:10" ht="15" customHeight="1" x14ac:dyDescent="0.35">
      <c r="A180" s="19">
        <v>177</v>
      </c>
      <c r="B180" s="19" t="s">
        <v>943</v>
      </c>
      <c r="C180" s="19" t="s">
        <v>770</v>
      </c>
      <c r="D180" s="19" t="s">
        <v>64</v>
      </c>
      <c r="E180" s="19" t="s">
        <v>98</v>
      </c>
      <c r="F180" s="19" t="s">
        <v>15</v>
      </c>
      <c r="G180" s="19" t="s">
        <v>1058</v>
      </c>
      <c r="H180" s="28" t="s">
        <v>1125</v>
      </c>
      <c r="I180" s="19">
        <v>1</v>
      </c>
      <c r="J180" s="19">
        <v>1</v>
      </c>
    </row>
    <row r="181" spans="1:10" ht="15" customHeight="1" x14ac:dyDescent="0.35">
      <c r="A181" s="19">
        <v>178</v>
      </c>
      <c r="B181" s="19" t="s">
        <v>943</v>
      </c>
      <c r="C181" s="19" t="s">
        <v>996</v>
      </c>
      <c r="D181" s="19" t="s">
        <v>64</v>
      </c>
      <c r="E181" s="19" t="s">
        <v>92</v>
      </c>
      <c r="F181" s="19" t="s">
        <v>41</v>
      </c>
      <c r="G181" s="19" t="s">
        <v>1068</v>
      </c>
      <c r="H181" s="28" t="s">
        <v>1153</v>
      </c>
      <c r="I181" s="19">
        <v>1</v>
      </c>
      <c r="J181" s="19">
        <v>1</v>
      </c>
    </row>
    <row r="182" spans="1:10" ht="26.25" customHeight="1" x14ac:dyDescent="0.35">
      <c r="A182" s="19">
        <v>179</v>
      </c>
      <c r="B182" s="19" t="s">
        <v>943</v>
      </c>
      <c r="C182" s="19" t="s">
        <v>770</v>
      </c>
      <c r="D182" s="19" t="s">
        <v>38</v>
      </c>
      <c r="E182" s="19" t="s">
        <v>98</v>
      </c>
      <c r="F182" s="19" t="s">
        <v>102</v>
      </c>
      <c r="G182" s="19" t="s">
        <v>1055</v>
      </c>
      <c r="H182" s="19" t="s">
        <v>1005</v>
      </c>
      <c r="I182" s="19">
        <v>1</v>
      </c>
      <c r="J182" s="19">
        <v>1</v>
      </c>
    </row>
    <row r="183" spans="1:10" ht="15" customHeight="1" x14ac:dyDescent="0.35">
      <c r="A183" s="19">
        <v>180</v>
      </c>
      <c r="B183" s="19" t="s">
        <v>943</v>
      </c>
      <c r="C183" s="19" t="s">
        <v>770</v>
      </c>
      <c r="D183" s="19" t="s">
        <v>95</v>
      </c>
      <c r="E183" s="19" t="s">
        <v>14</v>
      </c>
      <c r="F183" s="19" t="s">
        <v>15</v>
      </c>
      <c r="G183" s="19" t="s">
        <v>1059</v>
      </c>
      <c r="H183" s="28" t="s">
        <v>1113</v>
      </c>
      <c r="I183" s="19">
        <v>1</v>
      </c>
      <c r="J183" s="19">
        <v>1</v>
      </c>
    </row>
    <row r="184" spans="1:10" ht="15" customHeight="1" x14ac:dyDescent="0.35">
      <c r="A184" s="19">
        <v>181</v>
      </c>
      <c r="B184" s="19" t="s">
        <v>943</v>
      </c>
      <c r="C184" s="19" t="s">
        <v>770</v>
      </c>
      <c r="D184" s="19" t="s">
        <v>22</v>
      </c>
      <c r="E184" s="19" t="s">
        <v>14</v>
      </c>
      <c r="F184" s="19" t="s">
        <v>15</v>
      </c>
      <c r="G184" s="19" t="s">
        <v>1064</v>
      </c>
      <c r="H184" s="28" t="s">
        <v>1154</v>
      </c>
      <c r="I184" s="19">
        <v>1</v>
      </c>
      <c r="J184" s="19">
        <v>1</v>
      </c>
    </row>
    <row r="185" spans="1:10" ht="15" customHeight="1" x14ac:dyDescent="0.35">
      <c r="A185" s="19">
        <v>182</v>
      </c>
      <c r="B185" s="19" t="s">
        <v>943</v>
      </c>
      <c r="C185" s="19" t="s">
        <v>770</v>
      </c>
      <c r="D185" s="19" t="s">
        <v>38</v>
      </c>
      <c r="E185" s="19" t="s">
        <v>756</v>
      </c>
      <c r="F185" s="19" t="s">
        <v>15</v>
      </c>
      <c r="G185" s="19" t="s">
        <v>1058</v>
      </c>
      <c r="H185" s="28" t="s">
        <v>1102</v>
      </c>
      <c r="I185" s="19">
        <v>1</v>
      </c>
      <c r="J185" s="19">
        <v>0</v>
      </c>
    </row>
    <row r="186" spans="1:10" ht="15" customHeight="1" x14ac:dyDescent="0.35">
      <c r="A186" s="19">
        <v>183</v>
      </c>
      <c r="B186" s="19" t="s">
        <v>943</v>
      </c>
      <c r="C186" s="19" t="s">
        <v>770</v>
      </c>
      <c r="D186" s="19" t="s">
        <v>38</v>
      </c>
      <c r="E186" s="19" t="s">
        <v>14</v>
      </c>
      <c r="F186" s="19" t="s">
        <v>41</v>
      </c>
      <c r="G186" s="19" t="s">
        <v>1067</v>
      </c>
      <c r="H186" s="28" t="s">
        <v>1117</v>
      </c>
      <c r="I186" s="19">
        <v>1</v>
      </c>
      <c r="J186" s="19">
        <v>1</v>
      </c>
    </row>
    <row r="187" spans="1:10" ht="15" customHeight="1" x14ac:dyDescent="0.35">
      <c r="A187" s="19">
        <v>184</v>
      </c>
      <c r="B187" s="19" t="s">
        <v>943</v>
      </c>
      <c r="C187" s="19" t="s">
        <v>770</v>
      </c>
      <c r="D187" s="19" t="s">
        <v>38</v>
      </c>
      <c r="E187" s="19" t="s">
        <v>14</v>
      </c>
      <c r="F187" s="19" t="s">
        <v>41</v>
      </c>
      <c r="G187" s="19" t="s">
        <v>1058</v>
      </c>
      <c r="H187" s="28" t="s">
        <v>1107</v>
      </c>
      <c r="I187" s="19">
        <v>1</v>
      </c>
      <c r="J187" s="19">
        <v>1</v>
      </c>
    </row>
    <row r="188" spans="1:10" ht="15" customHeight="1" x14ac:dyDescent="0.35">
      <c r="A188" s="19">
        <v>185</v>
      </c>
      <c r="B188" s="19" t="s">
        <v>943</v>
      </c>
      <c r="C188" s="19" t="s">
        <v>770</v>
      </c>
      <c r="D188" s="19" t="s">
        <v>38</v>
      </c>
      <c r="E188" s="19" t="s">
        <v>14</v>
      </c>
      <c r="F188" s="19" t="s">
        <v>41</v>
      </c>
      <c r="G188" s="19" t="s">
        <v>1058</v>
      </c>
      <c r="H188" s="28" t="s">
        <v>1113</v>
      </c>
      <c r="I188" s="19">
        <v>1</v>
      </c>
      <c r="J188" s="19">
        <v>1</v>
      </c>
    </row>
    <row r="189" spans="1:10" ht="15" customHeight="1" x14ac:dyDescent="0.35">
      <c r="A189" s="19">
        <v>186</v>
      </c>
      <c r="B189" s="19" t="s">
        <v>943</v>
      </c>
      <c r="C189" s="19" t="s">
        <v>770</v>
      </c>
      <c r="D189" s="19" t="s">
        <v>38</v>
      </c>
      <c r="E189" s="19" t="s">
        <v>98</v>
      </c>
      <c r="F189" s="19" t="s">
        <v>41</v>
      </c>
      <c r="G189" s="19" t="s">
        <v>1062</v>
      </c>
      <c r="H189" s="28" t="s">
        <v>1126</v>
      </c>
      <c r="I189" s="19">
        <v>1</v>
      </c>
      <c r="J189" s="19">
        <v>1</v>
      </c>
    </row>
    <row r="190" spans="1:10" ht="15" customHeight="1" x14ac:dyDescent="0.35">
      <c r="A190" s="19">
        <v>187</v>
      </c>
      <c r="B190" s="19" t="s">
        <v>943</v>
      </c>
      <c r="C190" s="19" t="s">
        <v>770</v>
      </c>
      <c r="D190" s="19" t="s">
        <v>38</v>
      </c>
      <c r="E190" s="19" t="s">
        <v>98</v>
      </c>
      <c r="F190" s="19" t="s">
        <v>41</v>
      </c>
      <c r="G190" s="19" t="s">
        <v>1063</v>
      </c>
      <c r="H190" s="28" t="s">
        <v>1155</v>
      </c>
      <c r="I190" s="19">
        <v>1</v>
      </c>
      <c r="J190" s="19">
        <v>1</v>
      </c>
    </row>
    <row r="191" spans="1:10" ht="15" customHeight="1" x14ac:dyDescent="0.35">
      <c r="A191" s="19">
        <v>188</v>
      </c>
      <c r="B191" s="19" t="s">
        <v>943</v>
      </c>
      <c r="C191" s="19" t="s">
        <v>770</v>
      </c>
      <c r="D191" s="19" t="s">
        <v>38</v>
      </c>
      <c r="E191" s="19" t="s">
        <v>98</v>
      </c>
      <c r="F191" s="19" t="s">
        <v>41</v>
      </c>
      <c r="G191" s="19" t="s">
        <v>1063</v>
      </c>
      <c r="H191" s="28" t="s">
        <v>1155</v>
      </c>
      <c r="I191" s="19">
        <v>1</v>
      </c>
      <c r="J191" s="19">
        <v>1</v>
      </c>
    </row>
    <row r="192" spans="1:10" ht="26.25" customHeight="1" x14ac:dyDescent="0.35">
      <c r="A192" s="19">
        <v>189</v>
      </c>
      <c r="B192" s="19" t="s">
        <v>943</v>
      </c>
      <c r="C192" s="19" t="s">
        <v>770</v>
      </c>
      <c r="D192" s="19" t="s">
        <v>38</v>
      </c>
      <c r="E192" s="19" t="s">
        <v>98</v>
      </c>
      <c r="F192" s="19" t="s">
        <v>15</v>
      </c>
      <c r="G192" s="19" t="s">
        <v>1062</v>
      </c>
      <c r="H192" s="19" t="s">
        <v>1005</v>
      </c>
      <c r="I192" s="19">
        <v>1</v>
      </c>
      <c r="J192" s="19">
        <v>1</v>
      </c>
    </row>
    <row r="193" spans="1:10" ht="15" customHeight="1" x14ac:dyDescent="0.35">
      <c r="A193" s="19">
        <v>190</v>
      </c>
      <c r="B193" s="19" t="s">
        <v>943</v>
      </c>
      <c r="C193" s="19" t="s">
        <v>770</v>
      </c>
      <c r="D193" s="19" t="s">
        <v>38</v>
      </c>
      <c r="E193" s="19" t="s">
        <v>98</v>
      </c>
      <c r="F193" s="19" t="s">
        <v>15</v>
      </c>
      <c r="G193" s="19" t="s">
        <v>1059</v>
      </c>
      <c r="H193" s="28" t="s">
        <v>1129</v>
      </c>
      <c r="I193" s="19">
        <v>1</v>
      </c>
      <c r="J193" s="19">
        <v>1</v>
      </c>
    </row>
    <row r="194" spans="1:10" ht="15" customHeight="1" x14ac:dyDescent="0.35">
      <c r="A194" s="19">
        <v>191</v>
      </c>
      <c r="B194" s="19" t="s">
        <v>943</v>
      </c>
      <c r="C194" s="19" t="s">
        <v>770</v>
      </c>
      <c r="D194" s="19" t="s">
        <v>64</v>
      </c>
      <c r="E194" s="19" t="s">
        <v>87</v>
      </c>
      <c r="F194" s="19" t="s">
        <v>102</v>
      </c>
      <c r="G194" s="19" t="s">
        <v>1058</v>
      </c>
      <c r="H194" s="28" t="s">
        <v>1125</v>
      </c>
      <c r="I194" s="19">
        <v>1</v>
      </c>
      <c r="J194" s="19">
        <v>1</v>
      </c>
    </row>
    <row r="195" spans="1:10" ht="15" customHeight="1" x14ac:dyDescent="0.35">
      <c r="A195" s="19">
        <v>192</v>
      </c>
      <c r="B195" s="19" t="s">
        <v>943</v>
      </c>
      <c r="C195" s="19" t="s">
        <v>770</v>
      </c>
      <c r="D195" s="19" t="s">
        <v>38</v>
      </c>
      <c r="E195" s="19" t="s">
        <v>14</v>
      </c>
      <c r="F195" s="19" t="s">
        <v>102</v>
      </c>
      <c r="G195" s="19" t="s">
        <v>1055</v>
      </c>
      <c r="H195" s="28" t="s">
        <v>1156</v>
      </c>
      <c r="I195" s="19">
        <v>1</v>
      </c>
      <c r="J195" s="19">
        <v>1</v>
      </c>
    </row>
    <row r="196" spans="1:10" ht="15" customHeight="1" x14ac:dyDescent="0.35">
      <c r="A196" s="19">
        <v>193</v>
      </c>
      <c r="B196" s="19" t="s">
        <v>943</v>
      </c>
      <c r="C196" s="19" t="s">
        <v>992</v>
      </c>
      <c r="D196" s="19" t="s">
        <v>64</v>
      </c>
      <c r="E196" s="19" t="s">
        <v>14</v>
      </c>
      <c r="F196" s="19" t="s">
        <v>15</v>
      </c>
      <c r="G196" s="19" t="s">
        <v>1058</v>
      </c>
      <c r="H196" s="28" t="s">
        <v>1157</v>
      </c>
      <c r="I196" s="19">
        <v>1</v>
      </c>
      <c r="J196" s="19">
        <v>1</v>
      </c>
    </row>
    <row r="197" spans="1:10" ht="15" customHeight="1" x14ac:dyDescent="0.35">
      <c r="A197" s="19">
        <v>194</v>
      </c>
      <c r="B197" s="19" t="s">
        <v>943</v>
      </c>
      <c r="C197" s="19" t="s">
        <v>770</v>
      </c>
      <c r="D197" s="19" t="s">
        <v>22</v>
      </c>
      <c r="E197" s="19" t="s">
        <v>98</v>
      </c>
      <c r="F197" s="19" t="s">
        <v>41</v>
      </c>
      <c r="G197" s="19" t="s">
        <v>1062</v>
      </c>
      <c r="H197" s="28" t="s">
        <v>1158</v>
      </c>
      <c r="I197" s="19">
        <v>1</v>
      </c>
      <c r="J197" s="19">
        <v>1</v>
      </c>
    </row>
    <row r="198" spans="1:10" ht="15" customHeight="1" x14ac:dyDescent="0.35">
      <c r="A198" s="19">
        <v>195</v>
      </c>
      <c r="B198" s="19" t="s">
        <v>943</v>
      </c>
      <c r="C198" s="19" t="s">
        <v>770</v>
      </c>
      <c r="D198" s="19" t="s">
        <v>38</v>
      </c>
      <c r="E198" s="19" t="s">
        <v>98</v>
      </c>
      <c r="F198" s="19" t="s">
        <v>15</v>
      </c>
      <c r="G198" s="19" t="s">
        <v>1058</v>
      </c>
      <c r="H198" s="28" t="s">
        <v>1121</v>
      </c>
      <c r="I198" s="19">
        <v>1</v>
      </c>
      <c r="J198" s="19">
        <v>1</v>
      </c>
    </row>
    <row r="199" spans="1:10" ht="15" customHeight="1" x14ac:dyDescent="0.35">
      <c r="A199" s="19">
        <v>196</v>
      </c>
      <c r="B199" s="19" t="s">
        <v>943</v>
      </c>
      <c r="C199" s="19" t="s">
        <v>770</v>
      </c>
      <c r="D199" s="19" t="s">
        <v>38</v>
      </c>
      <c r="E199" s="19" t="s">
        <v>87</v>
      </c>
      <c r="F199" s="19" t="s">
        <v>102</v>
      </c>
      <c r="G199" s="19" t="s">
        <v>1058</v>
      </c>
      <c r="H199" s="28" t="s">
        <v>1113</v>
      </c>
      <c r="I199" s="19">
        <v>1</v>
      </c>
      <c r="J199" s="19">
        <v>1</v>
      </c>
    </row>
    <row r="200" spans="1:10" ht="15" customHeight="1" x14ac:dyDescent="0.35">
      <c r="A200" s="19">
        <v>197</v>
      </c>
      <c r="B200" s="19" t="s">
        <v>943</v>
      </c>
      <c r="C200" s="19" t="s">
        <v>770</v>
      </c>
      <c r="D200" s="19" t="s">
        <v>38</v>
      </c>
      <c r="E200" s="19" t="s">
        <v>98</v>
      </c>
      <c r="F200" s="19" t="s">
        <v>102</v>
      </c>
      <c r="G200" s="19" t="s">
        <v>1058</v>
      </c>
      <c r="H200" s="28" t="s">
        <v>1113</v>
      </c>
      <c r="I200" s="19">
        <v>1</v>
      </c>
      <c r="J200" s="19">
        <v>1</v>
      </c>
    </row>
    <row r="201" spans="1:10" ht="15" customHeight="1" x14ac:dyDescent="0.35">
      <c r="A201" s="19">
        <v>198</v>
      </c>
      <c r="B201" s="19" t="s">
        <v>943</v>
      </c>
      <c r="C201" s="19" t="s">
        <v>770</v>
      </c>
      <c r="D201" s="19" t="s">
        <v>38</v>
      </c>
      <c r="E201" s="19" t="s">
        <v>98</v>
      </c>
      <c r="F201" s="19" t="s">
        <v>102</v>
      </c>
      <c r="G201" s="19" t="s">
        <v>1058</v>
      </c>
      <c r="H201" s="28" t="s">
        <v>1102</v>
      </c>
      <c r="I201" s="19">
        <v>1</v>
      </c>
      <c r="J201" s="19">
        <v>1</v>
      </c>
    </row>
    <row r="202" spans="1:10" ht="15" customHeight="1" x14ac:dyDescent="0.35">
      <c r="A202" s="19">
        <v>199</v>
      </c>
      <c r="B202" s="19" t="s">
        <v>943</v>
      </c>
      <c r="C202" s="19" t="s">
        <v>770</v>
      </c>
      <c r="D202" s="19" t="s">
        <v>64</v>
      </c>
      <c r="E202" s="19" t="s">
        <v>98</v>
      </c>
      <c r="F202" s="19" t="s">
        <v>41</v>
      </c>
      <c r="G202" s="19" t="s">
        <v>1062</v>
      </c>
      <c r="H202" s="28" t="s">
        <v>1159</v>
      </c>
      <c r="I202" s="19">
        <v>1</v>
      </c>
      <c r="J202" s="19">
        <v>1</v>
      </c>
    </row>
    <row r="203" spans="1:10" ht="26.25" customHeight="1" x14ac:dyDescent="0.35">
      <c r="A203" s="19">
        <v>200</v>
      </c>
      <c r="B203" s="19" t="s">
        <v>943</v>
      </c>
      <c r="C203" s="19" t="s">
        <v>770</v>
      </c>
      <c r="D203" s="19" t="s">
        <v>64</v>
      </c>
      <c r="E203" s="19" t="s">
        <v>98</v>
      </c>
      <c r="F203" s="19" t="s">
        <v>41</v>
      </c>
      <c r="G203" s="19" t="s">
        <v>1062</v>
      </c>
      <c r="H203" s="19" t="s">
        <v>1005</v>
      </c>
      <c r="I203" s="19">
        <v>1</v>
      </c>
      <c r="J203" s="19">
        <v>1</v>
      </c>
    </row>
    <row r="204" spans="1:10" ht="15" customHeight="1" x14ac:dyDescent="0.35">
      <c r="A204" s="19">
        <v>201</v>
      </c>
      <c r="B204" s="19" t="s">
        <v>943</v>
      </c>
      <c r="C204" s="19" t="s">
        <v>770</v>
      </c>
      <c r="D204" s="19" t="s">
        <v>64</v>
      </c>
      <c r="E204" s="19" t="s">
        <v>98</v>
      </c>
      <c r="F204" s="19" t="s">
        <v>41</v>
      </c>
      <c r="G204" s="19" t="s">
        <v>1058</v>
      </c>
      <c r="H204" s="28" t="s">
        <v>1113</v>
      </c>
      <c r="I204" s="19">
        <v>1</v>
      </c>
      <c r="J204" s="19">
        <v>1</v>
      </c>
    </row>
    <row r="205" spans="1:10" ht="26.25" customHeight="1" x14ac:dyDescent="0.35">
      <c r="A205" s="19">
        <v>202</v>
      </c>
      <c r="B205" s="19" t="s">
        <v>943</v>
      </c>
      <c r="C205" s="19" t="s">
        <v>770</v>
      </c>
      <c r="D205" s="19" t="s">
        <v>64</v>
      </c>
      <c r="E205" s="19" t="s">
        <v>98</v>
      </c>
      <c r="F205" s="19" t="s">
        <v>102</v>
      </c>
      <c r="G205" s="19" t="s">
        <v>1066</v>
      </c>
      <c r="H205" s="19" t="s">
        <v>1005</v>
      </c>
      <c r="I205" s="19">
        <v>1</v>
      </c>
      <c r="J205" s="19">
        <v>1</v>
      </c>
    </row>
    <row r="206" spans="1:10" ht="15" customHeight="1" x14ac:dyDescent="0.35">
      <c r="A206" s="19">
        <v>203</v>
      </c>
      <c r="B206" s="19" t="s">
        <v>943</v>
      </c>
      <c r="C206" s="19" t="s">
        <v>770</v>
      </c>
      <c r="D206" s="19" t="s">
        <v>64</v>
      </c>
      <c r="E206" s="19" t="s">
        <v>98</v>
      </c>
      <c r="F206" s="19" t="s">
        <v>102</v>
      </c>
      <c r="G206" s="19" t="s">
        <v>1065</v>
      </c>
      <c r="H206" s="28" t="s">
        <v>1113</v>
      </c>
      <c r="I206" s="19">
        <v>1</v>
      </c>
      <c r="J206" s="19">
        <v>1</v>
      </c>
    </row>
    <row r="207" spans="1:10" ht="15" customHeight="1" x14ac:dyDescent="0.35">
      <c r="A207" s="19">
        <v>204</v>
      </c>
      <c r="B207" s="19" t="s">
        <v>943</v>
      </c>
      <c r="C207" s="19" t="s">
        <v>992</v>
      </c>
      <c r="D207" s="19" t="s">
        <v>38</v>
      </c>
      <c r="E207" s="19" t="s">
        <v>87</v>
      </c>
      <c r="F207" s="19" t="s">
        <v>15</v>
      </c>
      <c r="G207" s="19" t="s">
        <v>1062</v>
      </c>
      <c r="H207" s="28" t="s">
        <v>1122</v>
      </c>
      <c r="I207" s="19">
        <v>1</v>
      </c>
      <c r="J207" s="19">
        <v>1</v>
      </c>
    </row>
    <row r="208" spans="1:10" ht="26.25" customHeight="1" x14ac:dyDescent="0.35">
      <c r="A208" s="19">
        <v>205</v>
      </c>
      <c r="B208" s="19" t="s">
        <v>943</v>
      </c>
      <c r="C208" s="19" t="s">
        <v>992</v>
      </c>
      <c r="D208" s="19" t="s">
        <v>11</v>
      </c>
      <c r="E208" s="19" t="s">
        <v>209</v>
      </c>
      <c r="F208" s="19" t="s">
        <v>15</v>
      </c>
      <c r="G208" s="19" t="s">
        <v>1069</v>
      </c>
      <c r="H208" s="19" t="s">
        <v>1005</v>
      </c>
      <c r="I208" s="19">
        <v>1</v>
      </c>
      <c r="J208" s="19">
        <v>0</v>
      </c>
    </row>
    <row r="209" spans="1:10" ht="26.25" customHeight="1" x14ac:dyDescent="0.35">
      <c r="A209" s="19">
        <v>206</v>
      </c>
      <c r="B209" s="19" t="s">
        <v>943</v>
      </c>
      <c r="C209" s="19" t="s">
        <v>992</v>
      </c>
      <c r="D209" s="19" t="s">
        <v>11</v>
      </c>
      <c r="E209" s="19" t="s">
        <v>209</v>
      </c>
      <c r="F209" s="19" t="s">
        <v>15</v>
      </c>
      <c r="G209" s="19" t="s">
        <v>1005</v>
      </c>
      <c r="H209" s="19" t="s">
        <v>1005</v>
      </c>
      <c r="I209" s="19">
        <v>1</v>
      </c>
      <c r="J209" s="19">
        <v>0</v>
      </c>
    </row>
    <row r="210" spans="1:10" ht="26.25" customHeight="1" x14ac:dyDescent="0.35">
      <c r="A210" s="19">
        <v>207</v>
      </c>
      <c r="B210" s="19" t="s">
        <v>943</v>
      </c>
      <c r="C210" s="19" t="s">
        <v>992</v>
      </c>
      <c r="D210" s="19" t="s">
        <v>38</v>
      </c>
      <c r="E210" s="19" t="s">
        <v>209</v>
      </c>
      <c r="F210" s="19" t="s">
        <v>15</v>
      </c>
      <c r="G210" s="19" t="s">
        <v>1058</v>
      </c>
      <c r="H210" s="28" t="s">
        <v>1107</v>
      </c>
      <c r="I210" s="19">
        <v>1</v>
      </c>
      <c r="J210" s="19">
        <v>0</v>
      </c>
    </row>
    <row r="211" spans="1:10" ht="26.25" customHeight="1" x14ac:dyDescent="0.35">
      <c r="A211" s="19">
        <v>208</v>
      </c>
      <c r="B211" s="19" t="s">
        <v>943</v>
      </c>
      <c r="C211" s="19" t="s">
        <v>992</v>
      </c>
      <c r="D211" s="19" t="s">
        <v>38</v>
      </c>
      <c r="E211" s="19" t="s">
        <v>209</v>
      </c>
      <c r="F211" s="19" t="s">
        <v>15</v>
      </c>
      <c r="G211" s="19" t="s">
        <v>1017</v>
      </c>
      <c r="H211" s="28" t="s">
        <v>1094</v>
      </c>
      <c r="I211" s="19">
        <v>1</v>
      </c>
      <c r="J211" s="19">
        <v>0</v>
      </c>
    </row>
    <row r="212" spans="1:10" ht="15" customHeight="1" x14ac:dyDescent="0.35">
      <c r="A212" s="19">
        <v>209</v>
      </c>
      <c r="B212" s="19" t="s">
        <v>943</v>
      </c>
      <c r="C212" s="19" t="s">
        <v>992</v>
      </c>
      <c r="D212" s="19" t="s">
        <v>38</v>
      </c>
      <c r="E212" s="19" t="s">
        <v>14</v>
      </c>
      <c r="F212" s="19" t="s">
        <v>15</v>
      </c>
      <c r="G212" s="19" t="s">
        <v>1072</v>
      </c>
      <c r="H212" s="28" t="s">
        <v>1107</v>
      </c>
      <c r="I212" s="19">
        <v>1</v>
      </c>
      <c r="J212" s="19">
        <v>1</v>
      </c>
    </row>
    <row r="213" spans="1:10" ht="15" customHeight="1" x14ac:dyDescent="0.35">
      <c r="A213" s="19">
        <v>210</v>
      </c>
      <c r="B213" s="19" t="s">
        <v>943</v>
      </c>
      <c r="C213" s="19" t="s">
        <v>992</v>
      </c>
      <c r="D213" s="19" t="s">
        <v>38</v>
      </c>
      <c r="E213" s="19" t="s">
        <v>98</v>
      </c>
      <c r="F213" s="19" t="s">
        <v>41</v>
      </c>
      <c r="G213" s="19" t="s">
        <v>1070</v>
      </c>
      <c r="H213" s="28" t="s">
        <v>1133</v>
      </c>
      <c r="I213" s="19">
        <v>1</v>
      </c>
      <c r="J213" s="19">
        <v>1</v>
      </c>
    </row>
    <row r="214" spans="1:10" ht="15" customHeight="1" x14ac:dyDescent="0.35">
      <c r="A214" s="19">
        <v>211</v>
      </c>
      <c r="B214" s="19" t="s">
        <v>943</v>
      </c>
      <c r="C214" s="19" t="s">
        <v>992</v>
      </c>
      <c r="D214" s="19" t="s">
        <v>64</v>
      </c>
      <c r="E214" s="19" t="s">
        <v>98</v>
      </c>
      <c r="F214" s="19" t="s">
        <v>15</v>
      </c>
      <c r="G214" s="19" t="s">
        <v>1062</v>
      </c>
      <c r="H214" s="28" t="s">
        <v>1126</v>
      </c>
      <c r="I214" s="19">
        <v>1</v>
      </c>
      <c r="J214" s="19">
        <v>1</v>
      </c>
    </row>
    <row r="215" spans="1:10" ht="15" customHeight="1" x14ac:dyDescent="0.35">
      <c r="A215" s="19">
        <v>212</v>
      </c>
      <c r="B215" s="19" t="s">
        <v>943</v>
      </c>
      <c r="C215" s="19" t="s">
        <v>992</v>
      </c>
      <c r="D215" s="19" t="s">
        <v>64</v>
      </c>
      <c r="E215" s="19" t="s">
        <v>98</v>
      </c>
      <c r="F215" s="19" t="s">
        <v>41</v>
      </c>
      <c r="G215" s="19" t="s">
        <v>1071</v>
      </c>
      <c r="H215" s="28" t="s">
        <v>1155</v>
      </c>
      <c r="I215" s="19">
        <v>1</v>
      </c>
      <c r="J215" s="19">
        <v>1</v>
      </c>
    </row>
    <row r="216" spans="1:10" ht="15" customHeight="1" x14ac:dyDescent="0.35">
      <c r="A216" s="19">
        <v>213</v>
      </c>
      <c r="B216" s="19" t="s">
        <v>943</v>
      </c>
      <c r="C216" s="19" t="s">
        <v>992</v>
      </c>
      <c r="D216" s="19" t="s">
        <v>95</v>
      </c>
      <c r="E216" s="19" t="s">
        <v>865</v>
      </c>
      <c r="F216" s="19" t="s">
        <v>15</v>
      </c>
      <c r="G216" s="19" t="s">
        <v>1058</v>
      </c>
      <c r="H216" s="28" t="s">
        <v>1121</v>
      </c>
      <c r="I216" s="19">
        <v>1</v>
      </c>
      <c r="J216" s="19">
        <v>0</v>
      </c>
    </row>
    <row r="217" spans="1:10" ht="26.25" customHeight="1" x14ac:dyDescent="0.35">
      <c r="A217" s="19">
        <v>214</v>
      </c>
      <c r="B217" s="19" t="s">
        <v>943</v>
      </c>
      <c r="C217" s="19" t="s">
        <v>993</v>
      </c>
      <c r="D217" s="19" t="s">
        <v>11</v>
      </c>
      <c r="E217" s="19" t="s">
        <v>209</v>
      </c>
      <c r="F217" s="19" t="s">
        <v>15</v>
      </c>
      <c r="G217" s="19" t="s">
        <v>1058</v>
      </c>
      <c r="H217" s="28" t="s">
        <v>1136</v>
      </c>
      <c r="I217" s="19">
        <v>1</v>
      </c>
      <c r="J217" s="19">
        <v>0</v>
      </c>
    </row>
    <row r="218" spans="1:10" ht="26.25" customHeight="1" x14ac:dyDescent="0.35">
      <c r="A218" s="19">
        <v>215</v>
      </c>
      <c r="B218" s="19" t="s">
        <v>943</v>
      </c>
      <c r="C218" s="19" t="s">
        <v>993</v>
      </c>
      <c r="D218" s="19" t="s">
        <v>11</v>
      </c>
      <c r="E218" s="19" t="s">
        <v>209</v>
      </c>
      <c r="F218" s="19" t="s">
        <v>15</v>
      </c>
      <c r="G218" s="19" t="s">
        <v>1005</v>
      </c>
      <c r="H218" s="19" t="s">
        <v>1005</v>
      </c>
      <c r="I218" s="19">
        <v>1</v>
      </c>
      <c r="J218" s="19">
        <v>0</v>
      </c>
    </row>
    <row r="219" spans="1:10" ht="26.25" customHeight="1" x14ac:dyDescent="0.35">
      <c r="A219" s="19">
        <v>216</v>
      </c>
      <c r="B219" s="19" t="s">
        <v>943</v>
      </c>
      <c r="C219" s="19" t="s">
        <v>993</v>
      </c>
      <c r="D219" s="19" t="s">
        <v>11</v>
      </c>
      <c r="E219" s="19" t="s">
        <v>209</v>
      </c>
      <c r="F219" s="19" t="s">
        <v>102</v>
      </c>
      <c r="G219" s="19" t="s">
        <v>1058</v>
      </c>
      <c r="H219" s="28" t="s">
        <v>1136</v>
      </c>
      <c r="I219" s="19">
        <v>1</v>
      </c>
      <c r="J219" s="19">
        <v>0</v>
      </c>
    </row>
    <row r="220" spans="1:10" ht="26.25" customHeight="1" x14ac:dyDescent="0.35">
      <c r="A220" s="19">
        <v>217</v>
      </c>
      <c r="B220" s="19" t="s">
        <v>943</v>
      </c>
      <c r="C220" s="19" t="s">
        <v>993</v>
      </c>
      <c r="D220" s="19" t="s">
        <v>95</v>
      </c>
      <c r="E220" s="19" t="s">
        <v>209</v>
      </c>
      <c r="F220" s="19" t="s">
        <v>15</v>
      </c>
      <c r="G220" s="19" t="s">
        <v>1058</v>
      </c>
      <c r="H220" s="28" t="s">
        <v>1136</v>
      </c>
      <c r="I220" s="19">
        <v>1</v>
      </c>
      <c r="J220" s="19">
        <v>0</v>
      </c>
    </row>
    <row r="221" spans="1:10" ht="26.25" customHeight="1" x14ac:dyDescent="0.35">
      <c r="A221" s="19">
        <v>218</v>
      </c>
      <c r="B221" s="19" t="s">
        <v>943</v>
      </c>
      <c r="C221" s="19" t="s">
        <v>993</v>
      </c>
      <c r="D221" s="19" t="s">
        <v>38</v>
      </c>
      <c r="E221" s="19" t="s">
        <v>87</v>
      </c>
      <c r="F221" s="19" t="s">
        <v>102</v>
      </c>
      <c r="G221" s="19" t="s">
        <v>1058</v>
      </c>
      <c r="H221" s="19" t="s">
        <v>1005</v>
      </c>
      <c r="I221" s="19">
        <v>1</v>
      </c>
      <c r="J221" s="19">
        <v>1</v>
      </c>
    </row>
    <row r="222" spans="1:10" ht="15" customHeight="1" x14ac:dyDescent="0.35">
      <c r="A222" s="19">
        <v>219</v>
      </c>
      <c r="B222" s="19" t="s">
        <v>943</v>
      </c>
      <c r="C222" s="19" t="s">
        <v>993</v>
      </c>
      <c r="D222" s="19" t="s">
        <v>95</v>
      </c>
      <c r="E222" s="19" t="s">
        <v>98</v>
      </c>
      <c r="F222" s="19" t="s">
        <v>102</v>
      </c>
      <c r="G222" s="19" t="s">
        <v>1073</v>
      </c>
      <c r="H222" s="28" t="s">
        <v>1121</v>
      </c>
      <c r="I222" s="19">
        <v>1</v>
      </c>
      <c r="J222" s="19">
        <v>1</v>
      </c>
    </row>
    <row r="223" spans="1:10" ht="15" customHeight="1" x14ac:dyDescent="0.35">
      <c r="A223" s="19">
        <v>220</v>
      </c>
      <c r="B223" s="19" t="s">
        <v>943</v>
      </c>
      <c r="C223" s="19" t="s">
        <v>994</v>
      </c>
      <c r="D223" s="19" t="s">
        <v>38</v>
      </c>
      <c r="E223" s="19" t="s">
        <v>98</v>
      </c>
      <c r="F223" s="19" t="s">
        <v>41</v>
      </c>
      <c r="G223" s="19" t="s">
        <v>1058</v>
      </c>
      <c r="H223" s="28" t="s">
        <v>1155</v>
      </c>
      <c r="I223" s="19">
        <v>1</v>
      </c>
      <c r="J223" s="19">
        <v>1</v>
      </c>
    </row>
    <row r="224" spans="1:10" ht="15" customHeight="1" x14ac:dyDescent="0.35">
      <c r="A224" s="19">
        <v>221</v>
      </c>
      <c r="B224" s="19" t="s">
        <v>943</v>
      </c>
      <c r="C224" s="19" t="s">
        <v>994</v>
      </c>
      <c r="D224" s="19" t="s">
        <v>38</v>
      </c>
      <c r="E224" s="19" t="s">
        <v>98</v>
      </c>
      <c r="F224" s="19" t="s">
        <v>41</v>
      </c>
      <c r="G224" s="19" t="s">
        <v>1058</v>
      </c>
      <c r="H224" s="28" t="s">
        <v>1121</v>
      </c>
      <c r="I224" s="19">
        <v>1</v>
      </c>
      <c r="J224" s="19">
        <v>1</v>
      </c>
    </row>
    <row r="225" spans="1:10" ht="15" customHeight="1" x14ac:dyDescent="0.35">
      <c r="A225" s="19">
        <v>222</v>
      </c>
      <c r="B225" s="19" t="s">
        <v>943</v>
      </c>
      <c r="C225" s="19" t="s">
        <v>994</v>
      </c>
      <c r="D225" s="19" t="s">
        <v>95</v>
      </c>
      <c r="E225" s="19" t="s">
        <v>98</v>
      </c>
      <c r="F225" s="19" t="s">
        <v>41</v>
      </c>
      <c r="G225" s="19" t="s">
        <v>1061</v>
      </c>
      <c r="H225" s="28" t="s">
        <v>1123</v>
      </c>
      <c r="I225" s="19">
        <v>1</v>
      </c>
      <c r="J225" s="19">
        <v>1</v>
      </c>
    </row>
    <row r="226" spans="1:10" ht="26.25" customHeight="1" x14ac:dyDescent="0.35">
      <c r="A226" s="19">
        <v>223</v>
      </c>
      <c r="B226" s="19" t="s">
        <v>943</v>
      </c>
      <c r="C226" s="19" t="s">
        <v>994</v>
      </c>
      <c r="D226" s="19" t="s">
        <v>38</v>
      </c>
      <c r="E226" s="19" t="s">
        <v>900</v>
      </c>
      <c r="F226" s="19" t="s">
        <v>102</v>
      </c>
      <c r="G226" s="19" t="s">
        <v>1060</v>
      </c>
      <c r="H226" s="19" t="s">
        <v>1005</v>
      </c>
      <c r="I226" s="19">
        <v>1</v>
      </c>
      <c r="J226" s="19">
        <v>0</v>
      </c>
    </row>
    <row r="227" spans="1:10" ht="15" customHeight="1" x14ac:dyDescent="0.35">
      <c r="A227" s="19">
        <v>224</v>
      </c>
      <c r="B227" s="19" t="s">
        <v>943</v>
      </c>
      <c r="C227" s="19" t="s">
        <v>994</v>
      </c>
      <c r="D227" s="19" t="s">
        <v>38</v>
      </c>
      <c r="E227" s="19" t="s">
        <v>87</v>
      </c>
      <c r="F227" s="19" t="s">
        <v>102</v>
      </c>
      <c r="G227" s="19" t="s">
        <v>1059</v>
      </c>
      <c r="H227" s="28" t="s">
        <v>1122</v>
      </c>
      <c r="I227" s="19">
        <v>1</v>
      </c>
      <c r="J227" s="19">
        <v>1</v>
      </c>
    </row>
    <row r="228" spans="1:10" ht="26.25" customHeight="1" x14ac:dyDescent="0.35">
      <c r="A228" s="19">
        <v>225</v>
      </c>
      <c r="B228" s="19" t="s">
        <v>943</v>
      </c>
      <c r="C228" s="19" t="s">
        <v>995</v>
      </c>
      <c r="D228" s="19" t="s">
        <v>11</v>
      </c>
      <c r="E228" s="19" t="s">
        <v>209</v>
      </c>
      <c r="F228" s="19" t="s">
        <v>15</v>
      </c>
      <c r="G228" s="19" t="s">
        <v>1057</v>
      </c>
      <c r="H228" s="28" t="s">
        <v>1118</v>
      </c>
      <c r="I228" s="19">
        <v>1</v>
      </c>
      <c r="J228" s="19">
        <v>0</v>
      </c>
    </row>
    <row r="229" spans="1:10" ht="15" customHeight="1" x14ac:dyDescent="0.35">
      <c r="A229" s="19">
        <v>226</v>
      </c>
      <c r="B229" s="19" t="s">
        <v>943</v>
      </c>
      <c r="C229" s="19" t="s">
        <v>995</v>
      </c>
      <c r="D229" s="19" t="s">
        <v>38</v>
      </c>
      <c r="E229" s="19" t="s">
        <v>14</v>
      </c>
      <c r="F229" s="19" t="s">
        <v>41</v>
      </c>
      <c r="G229" s="19" t="s">
        <v>1055</v>
      </c>
      <c r="H229" s="28" t="s">
        <v>1160</v>
      </c>
      <c r="I229" s="19">
        <v>1</v>
      </c>
      <c r="J229" s="19">
        <v>1</v>
      </c>
    </row>
    <row r="230" spans="1:10" ht="15" customHeight="1" x14ac:dyDescent="0.35">
      <c r="A230" s="19">
        <v>227</v>
      </c>
      <c r="B230" s="19" t="s">
        <v>943</v>
      </c>
      <c r="C230" s="19" t="s">
        <v>995</v>
      </c>
      <c r="D230" s="19" t="s">
        <v>64</v>
      </c>
      <c r="E230" s="19" t="s">
        <v>98</v>
      </c>
      <c r="F230" s="19" t="s">
        <v>41</v>
      </c>
      <c r="G230" s="19" t="s">
        <v>1056</v>
      </c>
      <c r="H230" s="28" t="s">
        <v>1117</v>
      </c>
      <c r="I230" s="19">
        <v>1</v>
      </c>
      <c r="J230" s="19">
        <v>1</v>
      </c>
    </row>
    <row r="231" spans="1:10" ht="15" customHeight="1" x14ac:dyDescent="0.35">
      <c r="A231" s="19">
        <v>228</v>
      </c>
      <c r="B231" s="19" t="s">
        <v>943</v>
      </c>
      <c r="C231" s="19" t="s">
        <v>995</v>
      </c>
      <c r="D231" s="19" t="s">
        <v>38</v>
      </c>
      <c r="E231" s="19" t="s">
        <v>87</v>
      </c>
      <c r="F231" s="19" t="s">
        <v>15</v>
      </c>
      <c r="G231" s="19" t="s">
        <v>1055</v>
      </c>
      <c r="H231" s="28" t="s">
        <v>1161</v>
      </c>
      <c r="I231" s="19">
        <v>1</v>
      </c>
      <c r="J231" s="19">
        <v>1</v>
      </c>
    </row>
    <row r="232" spans="1:10" ht="15" customHeight="1" x14ac:dyDescent="0.35">
      <c r="A232" s="19">
        <v>229</v>
      </c>
      <c r="B232" s="19" t="s">
        <v>943</v>
      </c>
      <c r="C232" s="19" t="s">
        <v>995</v>
      </c>
      <c r="D232" s="19" t="s">
        <v>64</v>
      </c>
      <c r="E232" s="19" t="s">
        <v>87</v>
      </c>
      <c r="F232" s="19" t="s">
        <v>15</v>
      </c>
      <c r="G232" s="19" t="s">
        <v>1058</v>
      </c>
      <c r="H232" s="28" t="s">
        <v>1107</v>
      </c>
      <c r="I232" s="19">
        <v>1</v>
      </c>
      <c r="J232" s="19">
        <v>1</v>
      </c>
    </row>
    <row r="233" spans="1:10" ht="15" customHeight="1" x14ac:dyDescent="0.35">
      <c r="A233" s="19">
        <v>229</v>
      </c>
      <c r="B233" s="19" t="s">
        <v>943</v>
      </c>
      <c r="C233" s="19" t="s">
        <v>995</v>
      </c>
      <c r="D233" s="19" t="s">
        <v>64</v>
      </c>
      <c r="E233" s="19" t="s">
        <v>98</v>
      </c>
      <c r="F233" s="19" t="s">
        <v>15</v>
      </c>
      <c r="G233" s="19" t="s">
        <v>1058</v>
      </c>
      <c r="H233" s="28" t="s">
        <v>1107</v>
      </c>
      <c r="I233" s="19">
        <v>0</v>
      </c>
      <c r="J233" s="19">
        <v>1</v>
      </c>
    </row>
    <row r="234" spans="1:10" ht="26.25" customHeight="1" x14ac:dyDescent="0.35">
      <c r="A234" s="19">
        <v>230</v>
      </c>
      <c r="B234" s="19" t="s">
        <v>943</v>
      </c>
      <c r="C234" s="19" t="s">
        <v>927</v>
      </c>
      <c r="D234" s="19" t="s">
        <v>38</v>
      </c>
      <c r="E234" s="19" t="s">
        <v>98</v>
      </c>
      <c r="F234" s="19" t="s">
        <v>15</v>
      </c>
      <c r="G234" s="19" t="s">
        <v>1005</v>
      </c>
      <c r="H234" s="28" t="s">
        <v>1121</v>
      </c>
      <c r="I234" s="19">
        <v>1</v>
      </c>
      <c r="J234" s="19">
        <v>1</v>
      </c>
    </row>
    <row r="235" spans="1:10" ht="15" customHeight="1" x14ac:dyDescent="0.35">
      <c r="A235" s="19">
        <v>231</v>
      </c>
      <c r="B235" s="19" t="s">
        <v>943</v>
      </c>
      <c r="C235" s="19" t="s">
        <v>927</v>
      </c>
      <c r="D235" s="19" t="s">
        <v>38</v>
      </c>
      <c r="E235" s="19" t="s">
        <v>87</v>
      </c>
      <c r="F235" s="19" t="s">
        <v>102</v>
      </c>
      <c r="G235" s="19" t="s">
        <v>1074</v>
      </c>
      <c r="H235" s="28" t="s">
        <v>1137</v>
      </c>
      <c r="I235" s="19">
        <v>1</v>
      </c>
      <c r="J235" s="19">
        <v>1</v>
      </c>
    </row>
    <row r="236" spans="1:10" ht="14.25" customHeight="1" x14ac:dyDescent="0.35">
      <c r="A236" s="10"/>
      <c r="B236" s="10"/>
      <c r="C236" s="10"/>
      <c r="D236" s="10"/>
      <c r="E236" s="10"/>
      <c r="F236" s="10"/>
      <c r="G236" s="10"/>
      <c r="H236" s="10"/>
      <c r="I236" s="10"/>
      <c r="J236" s="10"/>
    </row>
    <row r="237" spans="1:10" ht="14.25" customHeight="1" x14ac:dyDescent="0.35">
      <c r="A237" s="10"/>
      <c r="B237" s="10"/>
      <c r="C237" s="10"/>
      <c r="D237" s="10"/>
      <c r="E237" s="10"/>
      <c r="F237" s="10"/>
      <c r="G237" s="10"/>
      <c r="H237" s="10"/>
      <c r="I237" s="10"/>
      <c r="J237" s="10"/>
    </row>
    <row r="238" spans="1:10" ht="14.25" customHeight="1" x14ac:dyDescent="0.35">
      <c r="A238" s="10"/>
      <c r="B238" s="10"/>
      <c r="C238" s="10"/>
      <c r="D238" s="10"/>
      <c r="E238" s="10"/>
      <c r="F238" s="10"/>
      <c r="G238" s="10"/>
      <c r="H238" s="10"/>
      <c r="I238" s="10"/>
      <c r="J238" s="10"/>
    </row>
    <row r="239" spans="1:10" ht="14.25" customHeight="1" x14ac:dyDescent="0.35">
      <c r="A239" s="10"/>
      <c r="B239" s="10"/>
      <c r="C239" s="10"/>
      <c r="D239" s="10"/>
      <c r="E239" s="10"/>
      <c r="F239" s="10"/>
      <c r="G239" s="10"/>
      <c r="H239" s="10"/>
      <c r="I239" s="10"/>
      <c r="J239" s="10"/>
    </row>
    <row r="240" spans="1:10" ht="14.25" customHeight="1" x14ac:dyDescent="0.35">
      <c r="A240" s="10"/>
      <c r="B240" s="10"/>
      <c r="C240" s="10"/>
      <c r="D240" s="10"/>
      <c r="E240" s="10"/>
      <c r="F240" s="10"/>
      <c r="G240" s="10"/>
      <c r="H240" s="10"/>
      <c r="I240" s="10"/>
      <c r="J240" s="10"/>
    </row>
    <row r="241" spans="1:10" ht="14.25" customHeight="1" x14ac:dyDescent="0.35">
      <c r="A241" s="10"/>
      <c r="B241" s="10"/>
      <c r="C241" s="10"/>
      <c r="D241" s="10"/>
      <c r="E241" s="10"/>
      <c r="F241" s="10"/>
      <c r="G241" s="10"/>
      <c r="H241" s="10"/>
      <c r="I241" s="10"/>
      <c r="J241" s="10"/>
    </row>
    <row r="242" spans="1:10" ht="14.25" customHeight="1" x14ac:dyDescent="0.35">
      <c r="A242" s="10"/>
      <c r="B242" s="10"/>
      <c r="C242" s="10"/>
      <c r="D242" s="10"/>
      <c r="E242" s="10"/>
      <c r="F242" s="10"/>
      <c r="G242" s="10"/>
      <c r="H242" s="10"/>
      <c r="I242" s="10"/>
      <c r="J242" s="10"/>
    </row>
    <row r="243" spans="1:10" ht="14.25" customHeight="1" x14ac:dyDescent="0.35">
      <c r="A243" s="10"/>
      <c r="B243" s="10"/>
      <c r="C243" s="10"/>
      <c r="D243" s="10"/>
      <c r="E243" s="10"/>
      <c r="F243" s="10"/>
      <c r="G243" s="10"/>
      <c r="H243" s="10"/>
      <c r="I243" s="10"/>
      <c r="J243" s="10"/>
    </row>
    <row r="244" spans="1:10" ht="14.25" customHeight="1" x14ac:dyDescent="0.35">
      <c r="A244" s="10"/>
      <c r="B244" s="10"/>
      <c r="C244" s="10"/>
      <c r="D244" s="10"/>
      <c r="E244" s="10"/>
      <c r="F244" s="10"/>
      <c r="G244" s="10"/>
      <c r="H244" s="10"/>
      <c r="I244" s="10"/>
      <c r="J244" s="10"/>
    </row>
    <row r="245" spans="1:10" ht="14.25" customHeight="1" x14ac:dyDescent="0.35">
      <c r="A245" s="10"/>
      <c r="B245" s="10"/>
      <c r="C245" s="10"/>
      <c r="D245" s="10"/>
      <c r="E245" s="10"/>
      <c r="F245" s="10"/>
      <c r="G245" s="10"/>
      <c r="H245" s="10"/>
      <c r="I245" s="10"/>
      <c r="J245" s="10"/>
    </row>
    <row r="246" spans="1:10" ht="14.25" customHeight="1" x14ac:dyDescent="0.35">
      <c r="A246" s="10"/>
      <c r="B246" s="10"/>
      <c r="C246" s="10"/>
      <c r="D246" s="10"/>
      <c r="E246" s="10"/>
      <c r="F246" s="10"/>
      <c r="G246" s="10"/>
      <c r="H246" s="10"/>
      <c r="I246" s="10"/>
      <c r="J246" s="10"/>
    </row>
    <row r="247" spans="1:10" ht="14.25" customHeight="1" x14ac:dyDescent="0.35">
      <c r="A247" s="10"/>
      <c r="B247" s="10"/>
      <c r="C247" s="10"/>
      <c r="D247" s="10"/>
      <c r="E247" s="10"/>
      <c r="F247" s="10"/>
      <c r="G247" s="10"/>
      <c r="H247" s="10"/>
      <c r="I247" s="10"/>
      <c r="J247" s="10"/>
    </row>
    <row r="248" spans="1:10" ht="14.25" customHeight="1" x14ac:dyDescent="0.35">
      <c r="A248" s="10"/>
      <c r="B248" s="10"/>
      <c r="C248" s="10"/>
      <c r="D248" s="10"/>
      <c r="E248" s="10"/>
      <c r="F248" s="10"/>
      <c r="G248" s="10"/>
      <c r="H248" s="10"/>
      <c r="I248" s="10"/>
      <c r="J248" s="10"/>
    </row>
    <row r="249" spans="1:10" ht="14.25" customHeight="1" x14ac:dyDescent="0.35">
      <c r="A249" s="10"/>
      <c r="B249" s="10"/>
      <c r="C249" s="10"/>
      <c r="D249" s="10"/>
      <c r="E249" s="10"/>
      <c r="F249" s="10"/>
      <c r="G249" s="10"/>
      <c r="H249" s="10"/>
      <c r="I249" s="10"/>
      <c r="J249" s="10"/>
    </row>
    <row r="250" spans="1:10" ht="14.25" customHeight="1" x14ac:dyDescent="0.35">
      <c r="A250" s="10"/>
      <c r="B250" s="10"/>
      <c r="C250" s="10"/>
      <c r="D250" s="10"/>
      <c r="E250" s="10"/>
      <c r="F250" s="10"/>
      <c r="G250" s="10"/>
      <c r="H250" s="10"/>
      <c r="I250" s="10"/>
      <c r="J250" s="10"/>
    </row>
    <row r="251" spans="1:10" ht="14.25" customHeight="1" x14ac:dyDescent="0.35">
      <c r="A251" s="10"/>
      <c r="B251" s="10"/>
      <c r="C251" s="10"/>
      <c r="D251" s="10"/>
      <c r="E251" s="10"/>
      <c r="F251" s="10"/>
      <c r="G251" s="10"/>
      <c r="H251" s="10"/>
      <c r="I251" s="10"/>
      <c r="J251" s="10"/>
    </row>
    <row r="252" spans="1:10" ht="14.25" customHeight="1" x14ac:dyDescent="0.35">
      <c r="A252" s="10"/>
      <c r="B252" s="10"/>
      <c r="C252" s="10"/>
      <c r="D252" s="10"/>
      <c r="E252" s="10"/>
      <c r="F252" s="10"/>
      <c r="G252" s="10"/>
      <c r="H252" s="10"/>
      <c r="I252" s="10"/>
      <c r="J252" s="10"/>
    </row>
    <row r="253" spans="1:10" ht="14.25" customHeight="1" x14ac:dyDescent="0.35">
      <c r="A253" s="10"/>
      <c r="B253" s="10"/>
      <c r="C253" s="10"/>
      <c r="D253" s="10"/>
      <c r="E253" s="10"/>
      <c r="F253" s="10"/>
      <c r="G253" s="10"/>
      <c r="H253" s="10"/>
      <c r="I253" s="10"/>
      <c r="J253" s="10"/>
    </row>
    <row r="254" spans="1:10" ht="14.25" customHeight="1" x14ac:dyDescent="0.35">
      <c r="A254" s="10"/>
      <c r="B254" s="10"/>
      <c r="C254" s="10"/>
      <c r="D254" s="10"/>
      <c r="E254" s="10"/>
      <c r="F254" s="10"/>
      <c r="G254" s="10"/>
      <c r="H254" s="10"/>
      <c r="I254" s="10"/>
      <c r="J254" s="10"/>
    </row>
    <row r="255" spans="1:10" ht="14.25" customHeight="1" x14ac:dyDescent="0.35">
      <c r="A255" s="10"/>
      <c r="B255" s="10"/>
      <c r="C255" s="10"/>
      <c r="D255" s="10"/>
      <c r="E255" s="10"/>
      <c r="F255" s="10"/>
      <c r="G255" s="10"/>
      <c r="H255" s="10"/>
      <c r="I255" s="10"/>
      <c r="J255" s="10"/>
    </row>
    <row r="256" spans="1:10" ht="14.25" customHeight="1" x14ac:dyDescent="0.35">
      <c r="A256" s="10"/>
      <c r="B256" s="10"/>
      <c r="C256" s="10"/>
      <c r="D256" s="10"/>
      <c r="E256" s="10"/>
      <c r="F256" s="10"/>
      <c r="G256" s="10"/>
      <c r="H256" s="10"/>
      <c r="I256" s="10"/>
      <c r="J256" s="10"/>
    </row>
    <row r="257" spans="1:10" ht="14.25" customHeight="1" x14ac:dyDescent="0.35">
      <c r="A257" s="10"/>
      <c r="B257" s="10"/>
      <c r="C257" s="10"/>
      <c r="D257" s="10"/>
      <c r="E257" s="10"/>
      <c r="F257" s="10"/>
      <c r="G257" s="10"/>
      <c r="H257" s="10"/>
      <c r="I257" s="10"/>
      <c r="J257" s="10"/>
    </row>
    <row r="258" spans="1:10" ht="14.25" customHeight="1" x14ac:dyDescent="0.35">
      <c r="A258" s="10"/>
      <c r="B258" s="10"/>
      <c r="C258" s="10"/>
      <c r="D258" s="10"/>
      <c r="E258" s="10"/>
      <c r="F258" s="10"/>
      <c r="G258" s="10"/>
      <c r="H258" s="10"/>
      <c r="I258" s="10"/>
      <c r="J258" s="10"/>
    </row>
    <row r="259" spans="1:10" ht="14.25" customHeight="1" x14ac:dyDescent="0.35">
      <c r="A259" s="10"/>
      <c r="B259" s="10"/>
      <c r="C259" s="10"/>
      <c r="D259" s="10"/>
      <c r="E259" s="10"/>
      <c r="F259" s="10"/>
      <c r="G259" s="10"/>
      <c r="H259" s="10"/>
      <c r="I259" s="10"/>
      <c r="J259" s="10"/>
    </row>
    <row r="260" spans="1:10" ht="14.25" customHeight="1" x14ac:dyDescent="0.35">
      <c r="A260" s="10"/>
      <c r="B260" s="10"/>
      <c r="C260" s="10"/>
      <c r="D260" s="10"/>
      <c r="E260" s="10"/>
      <c r="F260" s="10"/>
      <c r="G260" s="10"/>
      <c r="H260" s="10"/>
      <c r="I260" s="10"/>
      <c r="J260" s="10"/>
    </row>
    <row r="261" spans="1:10" ht="14.25" customHeight="1" x14ac:dyDescent="0.35">
      <c r="A261" s="10"/>
      <c r="B261" s="10"/>
      <c r="C261" s="10"/>
      <c r="D261" s="10"/>
      <c r="E261" s="10"/>
      <c r="F261" s="10"/>
      <c r="G261" s="10"/>
      <c r="H261" s="10"/>
      <c r="I261" s="10"/>
      <c r="J261" s="10"/>
    </row>
    <row r="262" spans="1:10" ht="14.25" customHeight="1" x14ac:dyDescent="0.35">
      <c r="A262" s="10"/>
      <c r="B262" s="10"/>
      <c r="C262" s="10"/>
      <c r="D262" s="10"/>
      <c r="E262" s="10"/>
      <c r="F262" s="10"/>
      <c r="G262" s="10"/>
      <c r="H262" s="10"/>
      <c r="I262" s="10"/>
      <c r="J262" s="10"/>
    </row>
    <row r="263" spans="1:10" ht="14.25" customHeight="1" x14ac:dyDescent="0.35">
      <c r="A263" s="10"/>
      <c r="B263" s="10"/>
      <c r="C263" s="10"/>
      <c r="D263" s="10"/>
      <c r="E263" s="10"/>
      <c r="F263" s="10"/>
      <c r="G263" s="10"/>
      <c r="H263" s="10"/>
      <c r="I263" s="10"/>
      <c r="J263" s="10"/>
    </row>
    <row r="264" spans="1:10" ht="14.25" customHeight="1" x14ac:dyDescent="0.35">
      <c r="A264" s="10"/>
      <c r="B264" s="10"/>
      <c r="C264" s="10"/>
      <c r="D264" s="10"/>
      <c r="E264" s="10"/>
      <c r="F264" s="10"/>
      <c r="G264" s="10"/>
      <c r="H264" s="10"/>
      <c r="I264" s="10"/>
      <c r="J264" s="10"/>
    </row>
    <row r="265" spans="1:10" ht="14.25" customHeight="1" x14ac:dyDescent="0.35">
      <c r="A265" s="10"/>
      <c r="B265" s="10"/>
      <c r="C265" s="10"/>
      <c r="D265" s="10"/>
      <c r="E265" s="10"/>
      <c r="F265" s="10"/>
      <c r="G265" s="10"/>
      <c r="H265" s="10"/>
      <c r="I265" s="10"/>
      <c r="J265" s="10"/>
    </row>
    <row r="266" spans="1:10" ht="14.25" customHeight="1" x14ac:dyDescent="0.35">
      <c r="A266" s="10"/>
      <c r="B266" s="10"/>
      <c r="C266" s="10"/>
      <c r="D266" s="10"/>
      <c r="E266" s="10"/>
      <c r="F266" s="10"/>
      <c r="G266" s="10"/>
      <c r="H266" s="10"/>
      <c r="I266" s="10"/>
      <c r="J266" s="10"/>
    </row>
    <row r="267" spans="1:10" ht="14.25" customHeight="1" x14ac:dyDescent="0.35">
      <c r="A267" s="10"/>
      <c r="B267" s="10"/>
      <c r="C267" s="10"/>
      <c r="D267" s="10"/>
      <c r="E267" s="10"/>
      <c r="F267" s="10"/>
      <c r="G267" s="10"/>
      <c r="H267" s="10"/>
      <c r="I267" s="10"/>
      <c r="J267" s="10"/>
    </row>
    <row r="268" spans="1:10" ht="14.25" customHeight="1" x14ac:dyDescent="0.35">
      <c r="A268" s="10"/>
      <c r="B268" s="10"/>
      <c r="C268" s="10"/>
      <c r="D268" s="10"/>
      <c r="E268" s="10"/>
      <c r="F268" s="10"/>
      <c r="G268" s="10"/>
      <c r="H268" s="10"/>
      <c r="I268" s="10"/>
      <c r="J268" s="10"/>
    </row>
    <row r="269" spans="1:10" ht="14.25" customHeight="1" x14ac:dyDescent="0.35">
      <c r="A269" s="10"/>
      <c r="B269" s="10"/>
      <c r="C269" s="10"/>
      <c r="D269" s="10"/>
      <c r="E269" s="10"/>
      <c r="F269" s="10"/>
      <c r="G269" s="10"/>
      <c r="H269" s="10"/>
      <c r="I269" s="10"/>
      <c r="J269" s="10"/>
    </row>
    <row r="270" spans="1:10" ht="14.25" customHeight="1" x14ac:dyDescent="0.35">
      <c r="A270" s="10"/>
      <c r="B270" s="10"/>
      <c r="C270" s="10"/>
      <c r="D270" s="10"/>
      <c r="E270" s="10"/>
      <c r="F270" s="10"/>
      <c r="G270" s="10"/>
      <c r="H270" s="10"/>
      <c r="I270" s="10"/>
      <c r="J270" s="10"/>
    </row>
    <row r="271" spans="1:10" ht="14.25" customHeight="1" x14ac:dyDescent="0.35">
      <c r="A271" s="10"/>
      <c r="B271" s="10"/>
      <c r="C271" s="10"/>
      <c r="D271" s="10"/>
      <c r="E271" s="10"/>
      <c r="F271" s="10"/>
      <c r="G271" s="10"/>
      <c r="H271" s="10"/>
      <c r="I271" s="10"/>
      <c r="J271" s="10"/>
    </row>
    <row r="272" spans="1:10" ht="14.25" customHeight="1" x14ac:dyDescent="0.35">
      <c r="A272" s="10"/>
      <c r="B272" s="10"/>
      <c r="C272" s="10"/>
      <c r="D272" s="10"/>
      <c r="E272" s="10"/>
      <c r="F272" s="10"/>
      <c r="G272" s="10"/>
      <c r="H272" s="10"/>
      <c r="I272" s="10"/>
      <c r="J272" s="10"/>
    </row>
    <row r="273" spans="1:10" ht="14.25" customHeight="1" x14ac:dyDescent="0.35">
      <c r="A273" s="10"/>
      <c r="B273" s="10"/>
      <c r="C273" s="10"/>
      <c r="D273" s="10"/>
      <c r="E273" s="10"/>
      <c r="F273" s="10"/>
      <c r="G273" s="10"/>
      <c r="H273" s="10"/>
      <c r="I273" s="10"/>
      <c r="J273" s="10"/>
    </row>
    <row r="274" spans="1:10" ht="14.25" customHeight="1" x14ac:dyDescent="0.35">
      <c r="A274" s="10"/>
      <c r="B274" s="10"/>
      <c r="C274" s="10"/>
      <c r="D274" s="10"/>
      <c r="E274" s="10"/>
      <c r="F274" s="10"/>
      <c r="G274" s="10"/>
      <c r="H274" s="10"/>
      <c r="I274" s="10"/>
      <c r="J274" s="10"/>
    </row>
    <row r="275" spans="1:10" ht="14.25" customHeight="1" x14ac:dyDescent="0.35">
      <c r="A275" s="10"/>
      <c r="B275" s="10"/>
      <c r="C275" s="10"/>
      <c r="D275" s="10"/>
      <c r="E275" s="10"/>
      <c r="F275" s="10"/>
      <c r="G275" s="10"/>
      <c r="H275" s="10"/>
      <c r="I275" s="10"/>
      <c r="J275" s="10"/>
    </row>
    <row r="276" spans="1:10" ht="14.25" customHeight="1" x14ac:dyDescent="0.35">
      <c r="A276" s="10"/>
      <c r="B276" s="10"/>
      <c r="C276" s="10"/>
      <c r="D276" s="10"/>
      <c r="E276" s="10"/>
      <c r="F276" s="10"/>
      <c r="G276" s="10"/>
      <c r="H276" s="10"/>
      <c r="I276" s="10"/>
      <c r="J276" s="10"/>
    </row>
    <row r="277" spans="1:10" ht="14.25" customHeight="1" x14ac:dyDescent="0.35">
      <c r="A277" s="10"/>
      <c r="B277" s="10"/>
      <c r="C277" s="10"/>
      <c r="D277" s="10"/>
      <c r="E277" s="10"/>
      <c r="F277" s="10"/>
      <c r="G277" s="10"/>
      <c r="H277" s="10"/>
      <c r="I277" s="10"/>
      <c r="J277" s="10"/>
    </row>
    <row r="278" spans="1:10" ht="14.25" customHeight="1" x14ac:dyDescent="0.35">
      <c r="A278" s="10"/>
      <c r="B278" s="10"/>
      <c r="C278" s="10"/>
      <c r="D278" s="10"/>
      <c r="E278" s="10"/>
      <c r="F278" s="10"/>
      <c r="G278" s="10"/>
      <c r="H278" s="10"/>
      <c r="I278" s="10"/>
      <c r="J278" s="10"/>
    </row>
    <row r="279" spans="1:10" ht="14.25" customHeight="1" x14ac:dyDescent="0.35">
      <c r="A279" s="10"/>
      <c r="B279" s="10"/>
      <c r="C279" s="10"/>
      <c r="D279" s="10"/>
      <c r="E279" s="10"/>
      <c r="F279" s="10"/>
      <c r="G279" s="10"/>
      <c r="H279" s="10"/>
      <c r="I279" s="10"/>
      <c r="J279" s="10"/>
    </row>
    <row r="280" spans="1:10" ht="14.25" customHeight="1" x14ac:dyDescent="0.35">
      <c r="A280" s="10"/>
      <c r="B280" s="10"/>
      <c r="C280" s="10"/>
      <c r="D280" s="10"/>
      <c r="E280" s="10"/>
      <c r="F280" s="10"/>
      <c r="G280" s="10"/>
      <c r="H280" s="10"/>
      <c r="I280" s="10"/>
      <c r="J280" s="10"/>
    </row>
    <row r="281" spans="1:10" ht="14.25" customHeight="1" x14ac:dyDescent="0.35">
      <c r="A281" s="10"/>
      <c r="B281" s="10"/>
      <c r="C281" s="10"/>
      <c r="D281" s="10"/>
      <c r="E281" s="10"/>
      <c r="F281" s="10"/>
      <c r="G281" s="10"/>
      <c r="H281" s="10"/>
      <c r="I281" s="10"/>
      <c r="J281" s="10"/>
    </row>
    <row r="282" spans="1:10" ht="14.25" customHeight="1" x14ac:dyDescent="0.35">
      <c r="A282" s="10"/>
      <c r="B282" s="10"/>
      <c r="C282" s="10"/>
      <c r="D282" s="10"/>
      <c r="E282" s="10"/>
      <c r="F282" s="10"/>
      <c r="G282" s="10"/>
      <c r="H282" s="10"/>
      <c r="I282" s="10"/>
      <c r="J282" s="10"/>
    </row>
    <row r="283" spans="1:10" ht="14.25" customHeight="1" x14ac:dyDescent="0.35">
      <c r="A283" s="10"/>
      <c r="B283" s="10"/>
      <c r="C283" s="10"/>
      <c r="D283" s="10"/>
      <c r="E283" s="10"/>
      <c r="F283" s="10"/>
      <c r="G283" s="10"/>
      <c r="H283" s="10"/>
      <c r="I283" s="10"/>
      <c r="J283" s="10"/>
    </row>
    <row r="284" spans="1:10" ht="14.25" customHeight="1" x14ac:dyDescent="0.35">
      <c r="A284" s="10"/>
      <c r="B284" s="10"/>
      <c r="C284" s="10"/>
      <c r="D284" s="10"/>
      <c r="E284" s="10"/>
      <c r="F284" s="10"/>
      <c r="G284" s="10"/>
      <c r="H284" s="10"/>
      <c r="I284" s="10"/>
      <c r="J284" s="10"/>
    </row>
    <row r="285" spans="1:10" ht="14.25" customHeight="1" x14ac:dyDescent="0.35">
      <c r="A285" s="10"/>
      <c r="B285" s="10"/>
      <c r="C285" s="10"/>
      <c r="D285" s="10"/>
      <c r="E285" s="10"/>
      <c r="F285" s="10"/>
      <c r="G285" s="10"/>
      <c r="H285" s="10"/>
      <c r="I285" s="10"/>
      <c r="J285" s="10"/>
    </row>
    <row r="286" spans="1:10" ht="14.25" customHeight="1" x14ac:dyDescent="0.35">
      <c r="A286" s="10"/>
      <c r="B286" s="10"/>
      <c r="C286" s="10"/>
      <c r="D286" s="10"/>
      <c r="E286" s="10"/>
      <c r="F286" s="10"/>
      <c r="G286" s="10"/>
      <c r="H286" s="10"/>
      <c r="I286" s="10"/>
      <c r="J286" s="10"/>
    </row>
    <row r="287" spans="1:10" ht="14.25" customHeight="1" x14ac:dyDescent="0.35">
      <c r="A287" s="10"/>
      <c r="B287" s="10"/>
      <c r="C287" s="10"/>
      <c r="D287" s="10"/>
      <c r="E287" s="10"/>
      <c r="F287" s="10"/>
      <c r="G287" s="10"/>
      <c r="H287" s="10"/>
      <c r="I287" s="10"/>
      <c r="J287" s="10"/>
    </row>
    <row r="288" spans="1:10" ht="14.25" customHeight="1" x14ac:dyDescent="0.35">
      <c r="A288" s="10"/>
      <c r="B288" s="10"/>
      <c r="C288" s="10"/>
      <c r="D288" s="10"/>
      <c r="E288" s="10"/>
      <c r="F288" s="10"/>
      <c r="G288" s="10"/>
      <c r="H288" s="10"/>
      <c r="I288" s="10"/>
      <c r="J288" s="10"/>
    </row>
    <row r="289" spans="1:10" ht="14.25" customHeight="1" x14ac:dyDescent="0.35">
      <c r="A289" s="10"/>
      <c r="B289" s="10"/>
      <c r="C289" s="10"/>
      <c r="D289" s="10"/>
      <c r="E289" s="10"/>
      <c r="F289" s="10"/>
      <c r="G289" s="10"/>
      <c r="H289" s="10"/>
      <c r="I289" s="10"/>
      <c r="J289" s="10"/>
    </row>
    <row r="290" spans="1:10" ht="14.25" customHeight="1" x14ac:dyDescent="0.35">
      <c r="A290" s="10"/>
      <c r="B290" s="10"/>
      <c r="C290" s="10"/>
      <c r="D290" s="10"/>
      <c r="E290" s="10"/>
      <c r="F290" s="10"/>
      <c r="G290" s="10"/>
      <c r="H290" s="10"/>
      <c r="I290" s="10"/>
      <c r="J290" s="10"/>
    </row>
    <row r="291" spans="1:10" ht="14.25" customHeight="1" x14ac:dyDescent="0.35">
      <c r="A291" s="10"/>
      <c r="B291" s="10"/>
      <c r="C291" s="10"/>
      <c r="D291" s="10"/>
      <c r="E291" s="10"/>
      <c r="F291" s="10"/>
      <c r="G291" s="10"/>
      <c r="H291" s="10"/>
      <c r="I291" s="10"/>
      <c r="J291" s="10"/>
    </row>
    <row r="292" spans="1:10" ht="14.25" customHeight="1" x14ac:dyDescent="0.35">
      <c r="A292" s="10"/>
      <c r="B292" s="10"/>
      <c r="C292" s="10"/>
      <c r="D292" s="10"/>
      <c r="E292" s="10"/>
      <c r="F292" s="10"/>
      <c r="G292" s="10"/>
      <c r="H292" s="10"/>
      <c r="I292" s="10"/>
      <c r="J292" s="10"/>
    </row>
    <row r="293" spans="1:10" ht="14.25" customHeight="1" x14ac:dyDescent="0.35">
      <c r="A293" s="10"/>
      <c r="B293" s="10"/>
      <c r="C293" s="10"/>
      <c r="D293" s="10"/>
      <c r="E293" s="10"/>
      <c r="F293" s="10"/>
      <c r="G293" s="10"/>
      <c r="H293" s="10"/>
      <c r="I293" s="10"/>
      <c r="J293" s="10"/>
    </row>
    <row r="294" spans="1:10" ht="14.25" customHeight="1" x14ac:dyDescent="0.35">
      <c r="A294" s="10"/>
      <c r="B294" s="10"/>
      <c r="C294" s="10"/>
      <c r="D294" s="10"/>
      <c r="E294" s="10"/>
      <c r="F294" s="10"/>
      <c r="G294" s="10"/>
      <c r="H294" s="10"/>
      <c r="I294" s="10"/>
      <c r="J294" s="10"/>
    </row>
    <row r="295" spans="1:10" ht="14.25" customHeight="1" x14ac:dyDescent="0.35">
      <c r="A295" s="10"/>
      <c r="B295" s="10"/>
      <c r="C295" s="10"/>
      <c r="D295" s="10"/>
      <c r="E295" s="10"/>
      <c r="F295" s="10"/>
      <c r="G295" s="10"/>
      <c r="H295" s="10"/>
      <c r="I295" s="10"/>
      <c r="J295" s="10"/>
    </row>
    <row r="296" spans="1:10" ht="14.25" customHeight="1" x14ac:dyDescent="0.35">
      <c r="A296" s="10"/>
      <c r="B296" s="10"/>
      <c r="C296" s="10"/>
      <c r="D296" s="10"/>
      <c r="E296" s="10"/>
      <c r="F296" s="10"/>
      <c r="G296" s="10"/>
      <c r="H296" s="10"/>
      <c r="I296" s="10"/>
      <c r="J296" s="10"/>
    </row>
    <row r="297" spans="1:10" ht="14.25" customHeight="1" x14ac:dyDescent="0.35">
      <c r="A297" s="10"/>
      <c r="B297" s="10"/>
      <c r="C297" s="10"/>
      <c r="D297" s="10"/>
      <c r="E297" s="10"/>
      <c r="F297" s="10"/>
      <c r="G297" s="10"/>
      <c r="H297" s="10"/>
      <c r="I297" s="10"/>
      <c r="J297" s="10"/>
    </row>
    <row r="298" spans="1:10" ht="14.25" customHeight="1" x14ac:dyDescent="0.35">
      <c r="A298" s="10"/>
      <c r="B298" s="10"/>
      <c r="C298" s="10"/>
      <c r="D298" s="10"/>
      <c r="E298" s="10"/>
      <c r="F298" s="10"/>
      <c r="G298" s="10"/>
      <c r="H298" s="10"/>
      <c r="I298" s="10"/>
      <c r="J298" s="10"/>
    </row>
    <row r="299" spans="1:10" ht="14.25" customHeight="1" x14ac:dyDescent="0.35">
      <c r="A299" s="10"/>
      <c r="B299" s="10"/>
      <c r="C299" s="10"/>
      <c r="D299" s="10"/>
      <c r="E299" s="10"/>
      <c r="F299" s="10"/>
      <c r="G299" s="10"/>
      <c r="H299" s="10"/>
      <c r="I299" s="10"/>
      <c r="J299" s="10"/>
    </row>
    <row r="300" spans="1:10" ht="14.25" customHeight="1" x14ac:dyDescent="0.35">
      <c r="A300" s="10"/>
      <c r="B300" s="10"/>
      <c r="C300" s="10"/>
      <c r="D300" s="10"/>
      <c r="E300" s="10"/>
      <c r="F300" s="10"/>
      <c r="G300" s="10"/>
      <c r="H300" s="10"/>
      <c r="I300" s="10"/>
      <c r="J300" s="10"/>
    </row>
    <row r="301" spans="1:10" ht="14.25" customHeight="1" x14ac:dyDescent="0.35">
      <c r="A301" s="10"/>
      <c r="B301" s="10"/>
      <c r="C301" s="10"/>
      <c r="D301" s="10"/>
      <c r="E301" s="10"/>
      <c r="F301" s="10"/>
      <c r="G301" s="10"/>
      <c r="H301" s="10"/>
      <c r="I301" s="10"/>
      <c r="J301" s="10"/>
    </row>
    <row r="302" spans="1:10" ht="14.25" customHeight="1" x14ac:dyDescent="0.35">
      <c r="A302" s="10"/>
      <c r="B302" s="10"/>
      <c r="C302" s="10"/>
      <c r="D302" s="10"/>
      <c r="E302" s="10"/>
      <c r="F302" s="10"/>
      <c r="G302" s="10"/>
      <c r="H302" s="10"/>
      <c r="I302" s="10"/>
      <c r="J302" s="10"/>
    </row>
    <row r="303" spans="1:10" ht="14.25" customHeight="1" x14ac:dyDescent="0.35">
      <c r="A303" s="10"/>
      <c r="B303" s="10"/>
      <c r="C303" s="10"/>
      <c r="D303" s="10"/>
      <c r="E303" s="10"/>
      <c r="F303" s="10"/>
      <c r="G303" s="10"/>
      <c r="H303" s="10"/>
      <c r="I303" s="10"/>
      <c r="J303" s="10"/>
    </row>
    <row r="304" spans="1:10" ht="14.25" customHeight="1" x14ac:dyDescent="0.35">
      <c r="A304" s="10"/>
      <c r="B304" s="10"/>
      <c r="C304" s="10"/>
      <c r="D304" s="10"/>
      <c r="E304" s="10"/>
      <c r="F304" s="10"/>
      <c r="G304" s="10"/>
      <c r="H304" s="10"/>
      <c r="I304" s="10"/>
      <c r="J304" s="10"/>
    </row>
    <row r="305" spans="1:10" ht="14.25" customHeight="1" x14ac:dyDescent="0.35">
      <c r="A305" s="10"/>
      <c r="B305" s="10"/>
      <c r="C305" s="10"/>
      <c r="D305" s="10"/>
      <c r="E305" s="10"/>
      <c r="F305" s="10"/>
      <c r="G305" s="10"/>
      <c r="H305" s="10"/>
      <c r="I305" s="10"/>
      <c r="J305" s="10"/>
    </row>
    <row r="306" spans="1:10" ht="14.25" customHeight="1" x14ac:dyDescent="0.35">
      <c r="A306" s="10"/>
      <c r="B306" s="10"/>
      <c r="C306" s="10"/>
      <c r="D306" s="10"/>
      <c r="E306" s="10"/>
      <c r="F306" s="10"/>
      <c r="G306" s="10"/>
      <c r="H306" s="10"/>
      <c r="I306" s="10"/>
      <c r="J306" s="10"/>
    </row>
    <row r="307" spans="1:10" ht="14.25" customHeight="1" x14ac:dyDescent="0.35">
      <c r="A307" s="10"/>
      <c r="B307" s="10"/>
      <c r="C307" s="10"/>
      <c r="D307" s="10"/>
      <c r="E307" s="10"/>
      <c r="F307" s="10"/>
      <c r="G307" s="10"/>
      <c r="H307" s="10"/>
      <c r="I307" s="10"/>
      <c r="J307" s="10"/>
    </row>
    <row r="308" spans="1:10" ht="14.25" customHeight="1" x14ac:dyDescent="0.35">
      <c r="A308" s="10"/>
      <c r="B308" s="10"/>
      <c r="C308" s="10"/>
      <c r="D308" s="10"/>
      <c r="E308" s="10"/>
      <c r="F308" s="10"/>
      <c r="G308" s="10"/>
      <c r="H308" s="10"/>
      <c r="I308" s="10"/>
      <c r="J308" s="10"/>
    </row>
    <row r="309" spans="1:10" ht="14.25" customHeight="1" x14ac:dyDescent="0.35">
      <c r="A309" s="10"/>
      <c r="B309" s="10"/>
      <c r="C309" s="10"/>
      <c r="D309" s="10"/>
      <c r="E309" s="10"/>
      <c r="F309" s="10"/>
      <c r="G309" s="10"/>
      <c r="H309" s="10"/>
      <c r="I309" s="10"/>
      <c r="J309" s="10"/>
    </row>
    <row r="310" spans="1:10" ht="14.25" customHeight="1" x14ac:dyDescent="0.35">
      <c r="A310" s="10"/>
      <c r="B310" s="10"/>
      <c r="C310" s="10"/>
      <c r="D310" s="10"/>
      <c r="E310" s="10"/>
      <c r="F310" s="10"/>
      <c r="G310" s="10"/>
      <c r="H310" s="10"/>
      <c r="I310" s="10"/>
      <c r="J310" s="10"/>
    </row>
    <row r="311" spans="1:10" ht="14.25" customHeight="1" x14ac:dyDescent="0.35">
      <c r="A311" s="10"/>
      <c r="B311" s="10"/>
      <c r="C311" s="10"/>
      <c r="D311" s="10"/>
      <c r="E311" s="10"/>
      <c r="F311" s="10"/>
      <c r="G311" s="10"/>
      <c r="H311" s="10"/>
      <c r="I311" s="10"/>
      <c r="J311" s="10"/>
    </row>
    <row r="312" spans="1:10" ht="14.25" customHeight="1" x14ac:dyDescent="0.35">
      <c r="A312" s="10"/>
      <c r="B312" s="10"/>
      <c r="C312" s="10"/>
      <c r="D312" s="10"/>
      <c r="E312" s="10"/>
      <c r="F312" s="10"/>
      <c r="G312" s="10"/>
      <c r="H312" s="10"/>
      <c r="I312" s="10"/>
      <c r="J312" s="10"/>
    </row>
    <row r="313" spans="1:10" ht="14.25" customHeight="1" x14ac:dyDescent="0.35">
      <c r="A313" s="10"/>
      <c r="B313" s="10"/>
      <c r="C313" s="10"/>
      <c r="D313" s="10"/>
      <c r="E313" s="10"/>
      <c r="F313" s="10"/>
      <c r="G313" s="10"/>
      <c r="H313" s="10"/>
      <c r="I313" s="10"/>
      <c r="J313" s="10"/>
    </row>
    <row r="314" spans="1:10" ht="14.25" customHeight="1" x14ac:dyDescent="0.35">
      <c r="A314" s="10"/>
      <c r="B314" s="10"/>
      <c r="C314" s="10"/>
      <c r="D314" s="10"/>
      <c r="E314" s="10"/>
      <c r="F314" s="10"/>
      <c r="G314" s="10"/>
      <c r="H314" s="10"/>
      <c r="I314" s="10"/>
      <c r="J314" s="10"/>
    </row>
    <row r="315" spans="1:10" ht="14.25" customHeight="1" x14ac:dyDescent="0.35">
      <c r="A315" s="10"/>
      <c r="B315" s="10"/>
      <c r="C315" s="10"/>
      <c r="D315" s="10"/>
      <c r="E315" s="10"/>
      <c r="F315" s="10"/>
      <c r="G315" s="10"/>
      <c r="H315" s="10"/>
      <c r="I315" s="10"/>
      <c r="J315" s="10"/>
    </row>
    <row r="316" spans="1:10" ht="14.25" customHeight="1" x14ac:dyDescent="0.35">
      <c r="A316" s="10"/>
      <c r="B316" s="10"/>
      <c r="C316" s="10"/>
      <c r="D316" s="10"/>
      <c r="E316" s="10"/>
      <c r="F316" s="10"/>
      <c r="G316" s="10"/>
      <c r="H316" s="10"/>
      <c r="I316" s="10"/>
      <c r="J316" s="10"/>
    </row>
    <row r="317" spans="1:10" ht="14.25" customHeight="1" x14ac:dyDescent="0.35">
      <c r="A317" s="10"/>
      <c r="B317" s="10"/>
      <c r="C317" s="10"/>
      <c r="D317" s="10"/>
      <c r="E317" s="10"/>
      <c r="F317" s="10"/>
      <c r="G317" s="10"/>
      <c r="H317" s="10"/>
      <c r="I317" s="10"/>
      <c r="J317" s="10"/>
    </row>
    <row r="318" spans="1:10" ht="14.25" customHeight="1" x14ac:dyDescent="0.35">
      <c r="A318" s="10"/>
      <c r="B318" s="10"/>
      <c r="C318" s="10"/>
      <c r="D318" s="10"/>
      <c r="E318" s="10"/>
      <c r="F318" s="10"/>
      <c r="G318" s="10"/>
      <c r="H318" s="10"/>
      <c r="I318" s="10"/>
      <c r="J318" s="10"/>
    </row>
    <row r="319" spans="1:10" ht="14.25" customHeight="1" x14ac:dyDescent="0.35">
      <c r="A319" s="10"/>
      <c r="B319" s="10"/>
      <c r="C319" s="10"/>
      <c r="D319" s="10"/>
      <c r="E319" s="10"/>
      <c r="F319" s="10"/>
      <c r="G319" s="10"/>
      <c r="H319" s="10"/>
      <c r="I319" s="10"/>
      <c r="J319" s="10"/>
    </row>
    <row r="320" spans="1:10" ht="14.25" customHeight="1" x14ac:dyDescent="0.35">
      <c r="A320" s="10"/>
      <c r="B320" s="10"/>
      <c r="C320" s="10"/>
      <c r="D320" s="10"/>
      <c r="E320" s="10"/>
      <c r="F320" s="10"/>
      <c r="G320" s="10"/>
      <c r="H320" s="10"/>
      <c r="I320" s="10"/>
      <c r="J320" s="10"/>
    </row>
    <row r="321" spans="1:10" ht="14.25" customHeight="1" x14ac:dyDescent="0.35">
      <c r="A321" s="10"/>
      <c r="B321" s="10"/>
      <c r="C321" s="10"/>
      <c r="D321" s="10"/>
      <c r="E321" s="10"/>
      <c r="F321" s="10"/>
      <c r="G321" s="10"/>
      <c r="H321" s="10"/>
      <c r="I321" s="10"/>
      <c r="J321" s="10"/>
    </row>
    <row r="322" spans="1:10" ht="14.25" customHeight="1" x14ac:dyDescent="0.35">
      <c r="A322" s="10"/>
      <c r="B322" s="10"/>
      <c r="C322" s="10"/>
      <c r="D322" s="10"/>
      <c r="E322" s="10"/>
      <c r="F322" s="10"/>
      <c r="G322" s="10"/>
      <c r="H322" s="10"/>
      <c r="I322" s="10"/>
      <c r="J322" s="10"/>
    </row>
    <row r="323" spans="1:10" ht="14.25" customHeight="1" x14ac:dyDescent="0.35">
      <c r="A323" s="10"/>
      <c r="B323" s="10"/>
      <c r="C323" s="10"/>
      <c r="D323" s="10"/>
      <c r="E323" s="10"/>
      <c r="F323" s="10"/>
      <c r="G323" s="10"/>
      <c r="H323" s="10"/>
      <c r="I323" s="10"/>
      <c r="J323" s="10"/>
    </row>
    <row r="324" spans="1:10" ht="14.25" customHeight="1" x14ac:dyDescent="0.35">
      <c r="A324" s="10"/>
      <c r="B324" s="10"/>
      <c r="C324" s="10"/>
      <c r="D324" s="10"/>
      <c r="E324" s="10"/>
      <c r="F324" s="10"/>
      <c r="G324" s="10"/>
      <c r="H324" s="10"/>
      <c r="I324" s="10"/>
      <c r="J324" s="10"/>
    </row>
    <row r="325" spans="1:10" ht="14.25" customHeight="1" x14ac:dyDescent="0.35">
      <c r="A325" s="10"/>
      <c r="B325" s="10"/>
      <c r="C325" s="10"/>
      <c r="D325" s="10"/>
      <c r="E325" s="10"/>
      <c r="F325" s="10"/>
      <c r="G325" s="10"/>
      <c r="H325" s="10"/>
      <c r="I325" s="10"/>
      <c r="J325" s="10"/>
    </row>
    <row r="326" spans="1:10" ht="14.25" customHeight="1" x14ac:dyDescent="0.35">
      <c r="A326" s="10"/>
      <c r="B326" s="10"/>
      <c r="C326" s="10"/>
      <c r="D326" s="10"/>
      <c r="E326" s="10"/>
      <c r="F326" s="10"/>
      <c r="G326" s="10"/>
      <c r="H326" s="10"/>
      <c r="I326" s="10"/>
      <c r="J326" s="10"/>
    </row>
    <row r="327" spans="1:10" ht="14.25" customHeight="1" x14ac:dyDescent="0.35">
      <c r="A327" s="10"/>
      <c r="B327" s="10"/>
      <c r="C327" s="10"/>
      <c r="D327" s="10"/>
      <c r="E327" s="10"/>
      <c r="F327" s="10"/>
      <c r="G327" s="10"/>
      <c r="H327" s="10"/>
      <c r="I327" s="10"/>
      <c r="J327" s="10"/>
    </row>
    <row r="328" spans="1:10" ht="14.25" customHeight="1" x14ac:dyDescent="0.35">
      <c r="A328" s="10"/>
      <c r="B328" s="10"/>
      <c r="C328" s="10"/>
      <c r="D328" s="10"/>
      <c r="E328" s="10"/>
      <c r="F328" s="10"/>
      <c r="G328" s="10"/>
      <c r="H328" s="10"/>
      <c r="I328" s="10"/>
      <c r="J328" s="10"/>
    </row>
    <row r="329" spans="1:10" ht="14.25" customHeight="1" x14ac:dyDescent="0.35">
      <c r="A329" s="10"/>
      <c r="B329" s="10"/>
      <c r="C329" s="10"/>
      <c r="D329" s="10"/>
      <c r="E329" s="10"/>
      <c r="F329" s="10"/>
      <c r="G329" s="10"/>
      <c r="H329" s="10"/>
      <c r="I329" s="10"/>
      <c r="J329" s="10"/>
    </row>
    <row r="330" spans="1:10" ht="14.25" customHeight="1" x14ac:dyDescent="0.35">
      <c r="A330" s="10"/>
      <c r="B330" s="10"/>
      <c r="C330" s="10"/>
      <c r="D330" s="10"/>
      <c r="E330" s="10"/>
      <c r="F330" s="10"/>
      <c r="G330" s="10"/>
      <c r="H330" s="10"/>
      <c r="I330" s="10"/>
      <c r="J330" s="10"/>
    </row>
    <row r="331" spans="1:10" ht="14.25" customHeight="1" x14ac:dyDescent="0.35">
      <c r="A331" s="10"/>
      <c r="B331" s="10"/>
      <c r="C331" s="10"/>
      <c r="D331" s="10"/>
      <c r="E331" s="10"/>
      <c r="F331" s="10"/>
      <c r="G331" s="10"/>
      <c r="H331" s="10"/>
      <c r="I331" s="10"/>
      <c r="J331" s="10"/>
    </row>
    <row r="332" spans="1:10" ht="14.25" customHeight="1" x14ac:dyDescent="0.35">
      <c r="A332" s="10"/>
      <c r="B332" s="10"/>
      <c r="C332" s="10"/>
      <c r="D332" s="10"/>
      <c r="E332" s="10"/>
      <c r="F332" s="10"/>
      <c r="G332" s="10"/>
      <c r="H332" s="10"/>
      <c r="I332" s="10"/>
      <c r="J332" s="10"/>
    </row>
    <row r="333" spans="1:10" ht="14.25" customHeight="1" x14ac:dyDescent="0.35">
      <c r="A333" s="10"/>
      <c r="B333" s="10"/>
      <c r="C333" s="10"/>
      <c r="D333" s="10"/>
      <c r="E333" s="10"/>
      <c r="F333" s="10"/>
      <c r="G333" s="10"/>
      <c r="H333" s="10"/>
      <c r="I333" s="10"/>
      <c r="J333" s="10"/>
    </row>
    <row r="334" spans="1:10" ht="14.25" customHeight="1" x14ac:dyDescent="0.35">
      <c r="A334" s="10"/>
      <c r="B334" s="10"/>
      <c r="C334" s="10"/>
      <c r="D334" s="10"/>
      <c r="E334" s="10"/>
      <c r="F334" s="10"/>
      <c r="G334" s="10"/>
      <c r="H334" s="10"/>
      <c r="I334" s="10"/>
      <c r="J334" s="10"/>
    </row>
    <row r="335" spans="1:10" ht="14.25" customHeight="1" x14ac:dyDescent="0.35">
      <c r="A335" s="10"/>
      <c r="B335" s="10"/>
      <c r="C335" s="10"/>
      <c r="D335" s="10"/>
      <c r="E335" s="10"/>
      <c r="F335" s="10"/>
      <c r="G335" s="10"/>
      <c r="H335" s="10"/>
      <c r="I335" s="10"/>
      <c r="J335" s="10"/>
    </row>
    <row r="336" spans="1:10" ht="14.25" customHeight="1" x14ac:dyDescent="0.35">
      <c r="A336" s="10"/>
      <c r="B336" s="10"/>
      <c r="C336" s="10"/>
      <c r="D336" s="10"/>
      <c r="E336" s="10"/>
      <c r="F336" s="10"/>
      <c r="G336" s="10"/>
      <c r="H336" s="10"/>
      <c r="I336" s="10"/>
      <c r="J336" s="10"/>
    </row>
    <row r="337" spans="1:10" ht="14.25" customHeight="1" x14ac:dyDescent="0.35">
      <c r="A337" s="10"/>
      <c r="B337" s="10"/>
      <c r="C337" s="10"/>
      <c r="D337" s="10"/>
      <c r="E337" s="10"/>
      <c r="F337" s="10"/>
      <c r="G337" s="10"/>
      <c r="H337" s="10"/>
      <c r="I337" s="10"/>
      <c r="J337" s="10"/>
    </row>
    <row r="338" spans="1:10" ht="14.25" customHeight="1" x14ac:dyDescent="0.35">
      <c r="A338" s="10"/>
      <c r="B338" s="10"/>
      <c r="C338" s="10"/>
      <c r="D338" s="10"/>
      <c r="E338" s="10"/>
      <c r="F338" s="10"/>
      <c r="G338" s="10"/>
      <c r="H338" s="10"/>
      <c r="I338" s="10"/>
      <c r="J338" s="10"/>
    </row>
    <row r="339" spans="1:10" ht="14.25" customHeight="1" x14ac:dyDescent="0.35">
      <c r="A339" s="10"/>
      <c r="B339" s="10"/>
      <c r="C339" s="10"/>
      <c r="D339" s="10"/>
      <c r="E339" s="10"/>
      <c r="F339" s="10"/>
      <c r="G339" s="10"/>
      <c r="H339" s="10"/>
      <c r="I339" s="10"/>
      <c r="J339" s="10"/>
    </row>
    <row r="340" spans="1:10" ht="14.25" customHeight="1" x14ac:dyDescent="0.35">
      <c r="A340" s="10"/>
      <c r="B340" s="10"/>
      <c r="C340" s="10"/>
      <c r="D340" s="10"/>
      <c r="E340" s="10"/>
      <c r="F340" s="10"/>
      <c r="G340" s="10"/>
      <c r="H340" s="10"/>
      <c r="I340" s="10"/>
      <c r="J340" s="10"/>
    </row>
    <row r="341" spans="1:10" ht="14.25" customHeight="1" x14ac:dyDescent="0.35">
      <c r="A341" s="10"/>
      <c r="B341" s="10"/>
      <c r="C341" s="10"/>
      <c r="D341" s="10"/>
      <c r="E341" s="10"/>
      <c r="F341" s="10"/>
      <c r="G341" s="10"/>
      <c r="H341" s="10"/>
      <c r="I341" s="10"/>
      <c r="J341" s="10"/>
    </row>
    <row r="342" spans="1:10" ht="14.25" customHeight="1" x14ac:dyDescent="0.35">
      <c r="A342" s="10"/>
      <c r="B342" s="10"/>
      <c r="C342" s="10"/>
      <c r="D342" s="10"/>
      <c r="E342" s="10"/>
      <c r="F342" s="10"/>
      <c r="G342" s="10"/>
      <c r="H342" s="10"/>
      <c r="I342" s="10"/>
      <c r="J342" s="10"/>
    </row>
    <row r="343" spans="1:10" ht="14.25" customHeight="1" x14ac:dyDescent="0.35">
      <c r="A343" s="10"/>
      <c r="B343" s="10"/>
      <c r="C343" s="10"/>
      <c r="D343" s="10"/>
      <c r="E343" s="10"/>
      <c r="F343" s="10"/>
      <c r="G343" s="10"/>
      <c r="H343" s="10"/>
      <c r="I343" s="10"/>
      <c r="J343" s="10"/>
    </row>
    <row r="344" spans="1:10" ht="14.25" customHeight="1" x14ac:dyDescent="0.35">
      <c r="A344" s="10"/>
      <c r="B344" s="10"/>
      <c r="C344" s="10"/>
      <c r="D344" s="10"/>
      <c r="E344" s="10"/>
      <c r="F344" s="10"/>
      <c r="G344" s="10"/>
      <c r="H344" s="10"/>
      <c r="I344" s="10"/>
      <c r="J344" s="10"/>
    </row>
    <row r="345" spans="1:10" ht="14.25" customHeight="1" x14ac:dyDescent="0.35">
      <c r="A345" s="10"/>
      <c r="B345" s="10"/>
      <c r="C345" s="10"/>
      <c r="D345" s="10"/>
      <c r="E345" s="10"/>
      <c r="F345" s="10"/>
      <c r="G345" s="10"/>
      <c r="H345" s="10"/>
      <c r="I345" s="10"/>
      <c r="J345" s="10"/>
    </row>
    <row r="346" spans="1:10" ht="14.25" customHeight="1" x14ac:dyDescent="0.35">
      <c r="A346" s="10"/>
      <c r="B346" s="10"/>
      <c r="C346" s="10"/>
      <c r="D346" s="10"/>
      <c r="E346" s="10"/>
      <c r="F346" s="10"/>
      <c r="G346" s="10"/>
      <c r="H346" s="10"/>
      <c r="I346" s="10"/>
      <c r="J346" s="10"/>
    </row>
    <row r="347" spans="1:10" ht="14.25" customHeight="1" x14ac:dyDescent="0.35">
      <c r="A347" s="10"/>
      <c r="B347" s="10"/>
      <c r="C347" s="10"/>
      <c r="D347" s="10"/>
      <c r="E347" s="10"/>
      <c r="F347" s="10"/>
      <c r="G347" s="10"/>
      <c r="H347" s="10"/>
      <c r="I347" s="10"/>
      <c r="J347" s="10"/>
    </row>
    <row r="348" spans="1:10" ht="14.25" customHeight="1" x14ac:dyDescent="0.35">
      <c r="A348" s="10"/>
      <c r="B348" s="10"/>
      <c r="C348" s="10"/>
      <c r="D348" s="10"/>
      <c r="E348" s="10"/>
      <c r="F348" s="10"/>
      <c r="G348" s="10"/>
      <c r="H348" s="10"/>
      <c r="I348" s="10"/>
      <c r="J348" s="10"/>
    </row>
    <row r="349" spans="1:10" ht="14.25" customHeight="1" x14ac:dyDescent="0.35">
      <c r="A349" s="10"/>
      <c r="B349" s="10"/>
      <c r="C349" s="10"/>
      <c r="D349" s="10"/>
      <c r="E349" s="10"/>
      <c r="F349" s="10"/>
      <c r="G349" s="10"/>
      <c r="H349" s="10"/>
      <c r="I349" s="10"/>
      <c r="J349" s="10"/>
    </row>
    <row r="350" spans="1:10" ht="14.25" customHeight="1" x14ac:dyDescent="0.35">
      <c r="A350" s="10"/>
      <c r="B350" s="10"/>
      <c r="C350" s="10"/>
      <c r="D350" s="10"/>
      <c r="E350" s="10"/>
      <c r="F350" s="10"/>
      <c r="G350" s="10"/>
      <c r="H350" s="10"/>
      <c r="I350" s="10"/>
      <c r="J350" s="10"/>
    </row>
    <row r="351" spans="1:10" ht="14.25" customHeight="1" x14ac:dyDescent="0.35">
      <c r="A351" s="10"/>
      <c r="B351" s="10"/>
      <c r="C351" s="10"/>
      <c r="D351" s="10"/>
      <c r="E351" s="10"/>
      <c r="F351" s="10"/>
      <c r="G351" s="10"/>
      <c r="H351" s="10"/>
      <c r="I351" s="10"/>
      <c r="J351" s="10"/>
    </row>
    <row r="352" spans="1:10" ht="14.25" customHeight="1" x14ac:dyDescent="0.35">
      <c r="A352" s="10"/>
      <c r="B352" s="10"/>
      <c r="C352" s="10"/>
      <c r="D352" s="10"/>
      <c r="E352" s="10"/>
      <c r="F352" s="10"/>
      <c r="G352" s="10"/>
      <c r="H352" s="10"/>
      <c r="I352" s="10"/>
      <c r="J352" s="10"/>
    </row>
    <row r="353" spans="1:10" ht="14.25" customHeight="1" x14ac:dyDescent="0.35">
      <c r="A353" s="10"/>
      <c r="B353" s="10"/>
      <c r="C353" s="10"/>
      <c r="D353" s="10"/>
      <c r="E353" s="10"/>
      <c r="F353" s="10"/>
      <c r="G353" s="10"/>
      <c r="H353" s="10"/>
      <c r="I353" s="10"/>
      <c r="J353" s="10"/>
    </row>
    <row r="354" spans="1:10" ht="14.25" customHeight="1" x14ac:dyDescent="0.35">
      <c r="A354" s="10"/>
      <c r="B354" s="10"/>
      <c r="C354" s="10"/>
      <c r="D354" s="10"/>
      <c r="E354" s="10"/>
      <c r="F354" s="10"/>
      <c r="G354" s="10"/>
      <c r="H354" s="10"/>
      <c r="I354" s="10"/>
      <c r="J354" s="10"/>
    </row>
    <row r="355" spans="1:10" ht="14.25" customHeight="1" x14ac:dyDescent="0.35">
      <c r="A355" s="10"/>
      <c r="B355" s="10"/>
      <c r="C355" s="10"/>
      <c r="D355" s="10"/>
      <c r="E355" s="10"/>
      <c r="F355" s="10"/>
      <c r="G355" s="10"/>
      <c r="H355" s="10"/>
      <c r="I355" s="10"/>
      <c r="J355" s="10"/>
    </row>
    <row r="356" spans="1:10" ht="14.25" customHeight="1" x14ac:dyDescent="0.35">
      <c r="A356" s="10"/>
      <c r="B356" s="10"/>
      <c r="C356" s="10"/>
      <c r="D356" s="10"/>
      <c r="E356" s="10"/>
      <c r="F356" s="10"/>
      <c r="G356" s="10"/>
      <c r="H356" s="10"/>
      <c r="I356" s="10"/>
      <c r="J356" s="10"/>
    </row>
    <row r="357" spans="1:10" ht="14.25" customHeight="1" x14ac:dyDescent="0.35">
      <c r="A357" s="10"/>
      <c r="B357" s="10"/>
      <c r="C357" s="10"/>
      <c r="D357" s="10"/>
      <c r="E357" s="10"/>
      <c r="F357" s="10"/>
      <c r="G357" s="10"/>
      <c r="H357" s="10"/>
      <c r="I357" s="10"/>
      <c r="J357" s="10"/>
    </row>
    <row r="358" spans="1:10" ht="14.25" customHeight="1" x14ac:dyDescent="0.35">
      <c r="A358" s="10"/>
      <c r="B358" s="10"/>
      <c r="C358" s="10"/>
      <c r="D358" s="10"/>
      <c r="E358" s="10"/>
      <c r="F358" s="10"/>
      <c r="G358" s="10"/>
      <c r="H358" s="10"/>
      <c r="I358" s="10"/>
      <c r="J358" s="10"/>
    </row>
    <row r="359" spans="1:10" ht="14.25" customHeight="1" x14ac:dyDescent="0.35">
      <c r="A359" s="10"/>
      <c r="B359" s="10"/>
      <c r="C359" s="10"/>
      <c r="D359" s="10"/>
      <c r="E359" s="10"/>
      <c r="F359" s="10"/>
      <c r="G359" s="10"/>
      <c r="H359" s="10"/>
      <c r="I359" s="10"/>
      <c r="J359" s="10"/>
    </row>
    <row r="360" spans="1:10" ht="14.25" customHeight="1" x14ac:dyDescent="0.35">
      <c r="A360" s="10"/>
      <c r="B360" s="10"/>
      <c r="C360" s="10"/>
      <c r="D360" s="10"/>
      <c r="E360" s="10"/>
      <c r="F360" s="10"/>
      <c r="G360" s="10"/>
      <c r="H360" s="10"/>
      <c r="I360" s="10"/>
      <c r="J360" s="10"/>
    </row>
    <row r="361" spans="1:10" ht="14.25" customHeight="1" x14ac:dyDescent="0.35">
      <c r="A361" s="10"/>
      <c r="B361" s="10"/>
      <c r="C361" s="10"/>
      <c r="D361" s="10"/>
      <c r="E361" s="10"/>
      <c r="F361" s="10"/>
      <c r="G361" s="10"/>
      <c r="H361" s="10"/>
      <c r="I361" s="10"/>
      <c r="J361" s="10"/>
    </row>
    <row r="362" spans="1:10" ht="14.25" customHeight="1" x14ac:dyDescent="0.35">
      <c r="A362" s="10"/>
      <c r="B362" s="10"/>
      <c r="C362" s="10"/>
      <c r="D362" s="10"/>
      <c r="E362" s="10"/>
      <c r="F362" s="10"/>
      <c r="G362" s="10"/>
      <c r="H362" s="10"/>
      <c r="I362" s="10"/>
      <c r="J362" s="10"/>
    </row>
    <row r="363" spans="1:10" ht="14.25" customHeight="1" x14ac:dyDescent="0.35">
      <c r="A363" s="10"/>
      <c r="B363" s="10"/>
      <c r="C363" s="10"/>
      <c r="D363" s="10"/>
      <c r="E363" s="10"/>
      <c r="F363" s="10"/>
      <c r="G363" s="10"/>
      <c r="H363" s="10"/>
      <c r="I363" s="10"/>
      <c r="J363" s="10"/>
    </row>
    <row r="364" spans="1:10" ht="14.25" customHeight="1" x14ac:dyDescent="0.35">
      <c r="A364" s="10"/>
      <c r="B364" s="10"/>
      <c r="C364" s="10"/>
      <c r="D364" s="10"/>
      <c r="E364" s="10"/>
      <c r="F364" s="10"/>
      <c r="G364" s="10"/>
      <c r="H364" s="10"/>
      <c r="I364" s="10"/>
      <c r="J364" s="10"/>
    </row>
    <row r="365" spans="1:10" ht="14.25" customHeight="1" x14ac:dyDescent="0.35">
      <c r="A365" s="10"/>
      <c r="B365" s="10"/>
      <c r="C365" s="10"/>
      <c r="D365" s="10"/>
      <c r="E365" s="10"/>
      <c r="F365" s="10"/>
      <c r="G365" s="10"/>
      <c r="H365" s="10"/>
      <c r="I365" s="10"/>
      <c r="J365" s="10"/>
    </row>
    <row r="366" spans="1:10" ht="14.25" customHeight="1" x14ac:dyDescent="0.35">
      <c r="A366" s="10"/>
      <c r="B366" s="10"/>
      <c r="C366" s="10"/>
      <c r="D366" s="10"/>
      <c r="E366" s="10"/>
      <c r="F366" s="10"/>
      <c r="G366" s="10"/>
      <c r="H366" s="10"/>
      <c r="I366" s="10"/>
      <c r="J366" s="10"/>
    </row>
    <row r="367" spans="1:10" ht="14.25" customHeight="1" x14ac:dyDescent="0.35">
      <c r="A367" s="10"/>
      <c r="B367" s="10"/>
      <c r="C367" s="10"/>
      <c r="D367" s="10"/>
      <c r="E367" s="10"/>
      <c r="F367" s="10"/>
      <c r="G367" s="10"/>
      <c r="H367" s="10"/>
      <c r="I367" s="10"/>
      <c r="J367" s="10"/>
    </row>
    <row r="368" spans="1:10" ht="14.25" customHeight="1" x14ac:dyDescent="0.35">
      <c r="A368" s="10"/>
      <c r="B368" s="10"/>
      <c r="C368" s="10"/>
      <c r="D368" s="10"/>
      <c r="E368" s="10"/>
      <c r="F368" s="10"/>
      <c r="G368" s="10"/>
      <c r="H368" s="10"/>
      <c r="I368" s="10"/>
      <c r="J368" s="10"/>
    </row>
    <row r="369" spans="1:10" ht="14.25" customHeight="1" x14ac:dyDescent="0.35">
      <c r="A369" s="10"/>
      <c r="B369" s="10"/>
      <c r="C369" s="10"/>
      <c r="D369" s="10"/>
      <c r="E369" s="10"/>
      <c r="F369" s="10"/>
      <c r="G369" s="10"/>
      <c r="H369" s="10"/>
      <c r="I369" s="10"/>
      <c r="J369" s="10"/>
    </row>
    <row r="370" spans="1:10" ht="14.25" customHeight="1" x14ac:dyDescent="0.35">
      <c r="A370" s="10"/>
      <c r="B370" s="10"/>
      <c r="C370" s="10"/>
      <c r="D370" s="10"/>
      <c r="E370" s="10"/>
      <c r="F370" s="10"/>
      <c r="G370" s="10"/>
      <c r="H370" s="10"/>
      <c r="I370" s="10"/>
      <c r="J370" s="10"/>
    </row>
    <row r="371" spans="1:10" ht="14.25" customHeight="1" x14ac:dyDescent="0.35">
      <c r="A371" s="10"/>
      <c r="B371" s="10"/>
      <c r="C371" s="10"/>
      <c r="D371" s="10"/>
      <c r="E371" s="10"/>
      <c r="F371" s="10"/>
      <c r="G371" s="10"/>
      <c r="H371" s="10"/>
      <c r="I371" s="10"/>
      <c r="J371" s="10"/>
    </row>
    <row r="372" spans="1:10" ht="14.25" customHeight="1" x14ac:dyDescent="0.35">
      <c r="A372" s="10"/>
      <c r="B372" s="10"/>
      <c r="C372" s="10"/>
      <c r="D372" s="10"/>
      <c r="E372" s="10"/>
      <c r="F372" s="10"/>
      <c r="G372" s="10"/>
      <c r="H372" s="10"/>
      <c r="I372" s="10"/>
      <c r="J372" s="10"/>
    </row>
    <row r="373" spans="1:10" ht="14.25" customHeight="1" x14ac:dyDescent="0.35">
      <c r="A373" s="10"/>
      <c r="B373" s="10"/>
      <c r="C373" s="10"/>
      <c r="D373" s="10"/>
      <c r="E373" s="10"/>
      <c r="F373" s="10"/>
      <c r="G373" s="10"/>
      <c r="H373" s="10"/>
      <c r="I373" s="10"/>
      <c r="J373" s="10"/>
    </row>
    <row r="374" spans="1:10" ht="14.25" customHeight="1" x14ac:dyDescent="0.35">
      <c r="A374" s="10"/>
      <c r="B374" s="10"/>
      <c r="C374" s="10"/>
      <c r="D374" s="10"/>
      <c r="E374" s="10"/>
      <c r="F374" s="10"/>
      <c r="G374" s="10"/>
      <c r="H374" s="10"/>
      <c r="I374" s="10"/>
      <c r="J374" s="10"/>
    </row>
    <row r="375" spans="1:10" ht="14.25" customHeight="1" x14ac:dyDescent="0.35">
      <c r="A375" s="10"/>
      <c r="B375" s="10"/>
      <c r="C375" s="10"/>
      <c r="D375" s="10"/>
      <c r="E375" s="10"/>
      <c r="F375" s="10"/>
      <c r="G375" s="10"/>
      <c r="H375" s="10"/>
      <c r="I375" s="10"/>
      <c r="J375" s="10"/>
    </row>
    <row r="376" spans="1:10" ht="14.25" customHeight="1" x14ac:dyDescent="0.35">
      <c r="A376" s="10"/>
      <c r="B376" s="10"/>
      <c r="C376" s="10"/>
      <c r="D376" s="10"/>
      <c r="E376" s="10"/>
      <c r="F376" s="10"/>
      <c r="G376" s="10"/>
      <c r="H376" s="10"/>
      <c r="I376" s="10"/>
      <c r="J376" s="10"/>
    </row>
    <row r="377" spans="1:10" ht="14.25" customHeight="1" x14ac:dyDescent="0.35">
      <c r="A377" s="10"/>
      <c r="B377" s="10"/>
      <c r="C377" s="10"/>
      <c r="D377" s="10"/>
      <c r="E377" s="10"/>
      <c r="F377" s="10"/>
      <c r="G377" s="10"/>
      <c r="H377" s="10"/>
      <c r="I377" s="10"/>
      <c r="J377" s="10"/>
    </row>
    <row r="378" spans="1:10" ht="14.25" customHeight="1" x14ac:dyDescent="0.35">
      <c r="A378" s="10"/>
      <c r="B378" s="10"/>
      <c r="C378" s="10"/>
      <c r="D378" s="10"/>
      <c r="E378" s="10"/>
      <c r="F378" s="10"/>
      <c r="G378" s="10"/>
      <c r="H378" s="10"/>
      <c r="I378" s="10"/>
      <c r="J378" s="10"/>
    </row>
    <row r="379" spans="1:10" ht="14.25" customHeight="1" x14ac:dyDescent="0.35">
      <c r="A379" s="10"/>
      <c r="B379" s="10"/>
      <c r="C379" s="10"/>
      <c r="D379" s="10"/>
      <c r="E379" s="10"/>
      <c r="F379" s="10"/>
      <c r="G379" s="10"/>
      <c r="H379" s="10"/>
      <c r="I379" s="10"/>
      <c r="J379" s="10"/>
    </row>
    <row r="380" spans="1:10" ht="14.25" customHeight="1" x14ac:dyDescent="0.35">
      <c r="A380" s="10"/>
      <c r="B380" s="10"/>
      <c r="C380" s="10"/>
      <c r="D380" s="10"/>
      <c r="E380" s="10"/>
      <c r="F380" s="10"/>
      <c r="G380" s="10"/>
      <c r="H380" s="10"/>
      <c r="I380" s="10"/>
      <c r="J380" s="10"/>
    </row>
    <row r="381" spans="1:10" ht="14.25" customHeight="1" x14ac:dyDescent="0.35">
      <c r="A381" s="10"/>
      <c r="B381" s="10"/>
      <c r="C381" s="10"/>
      <c r="D381" s="10"/>
      <c r="E381" s="10"/>
      <c r="F381" s="10"/>
      <c r="G381" s="10"/>
      <c r="H381" s="10"/>
      <c r="I381" s="10"/>
      <c r="J381" s="10"/>
    </row>
    <row r="382" spans="1:10" ht="14.25" customHeight="1" x14ac:dyDescent="0.35">
      <c r="A382" s="10"/>
      <c r="B382" s="10"/>
      <c r="C382" s="10"/>
      <c r="D382" s="10"/>
      <c r="E382" s="10"/>
      <c r="F382" s="10"/>
      <c r="G382" s="10"/>
      <c r="H382" s="10"/>
      <c r="I382" s="10"/>
      <c r="J382" s="10"/>
    </row>
    <row r="383" spans="1:10" ht="14.25" customHeight="1" x14ac:dyDescent="0.35">
      <c r="A383" s="10"/>
      <c r="B383" s="10"/>
      <c r="C383" s="10"/>
      <c r="D383" s="10"/>
      <c r="E383" s="10"/>
      <c r="F383" s="10"/>
      <c r="G383" s="10"/>
      <c r="H383" s="10"/>
      <c r="I383" s="10"/>
      <c r="J383" s="10"/>
    </row>
    <row r="384" spans="1:10" ht="14.25" customHeight="1" x14ac:dyDescent="0.35">
      <c r="A384" s="10"/>
      <c r="B384" s="10"/>
      <c r="C384" s="10"/>
      <c r="D384" s="10"/>
      <c r="E384" s="10"/>
      <c r="F384" s="10"/>
      <c r="G384" s="10"/>
      <c r="H384" s="10"/>
      <c r="I384" s="10"/>
      <c r="J384" s="10"/>
    </row>
    <row r="385" spans="1:10" ht="14.25" customHeight="1" x14ac:dyDescent="0.35">
      <c r="A385" s="10"/>
      <c r="B385" s="10"/>
      <c r="C385" s="10"/>
      <c r="D385" s="10"/>
      <c r="E385" s="10"/>
      <c r="F385" s="10"/>
      <c r="G385" s="10"/>
      <c r="H385" s="10"/>
      <c r="I385" s="10"/>
      <c r="J385" s="10"/>
    </row>
    <row r="386" spans="1:10" ht="14.25" customHeight="1" x14ac:dyDescent="0.35">
      <c r="A386" s="10"/>
      <c r="B386" s="10"/>
      <c r="C386" s="10"/>
      <c r="D386" s="10"/>
      <c r="E386" s="10"/>
      <c r="F386" s="10"/>
      <c r="G386" s="10"/>
      <c r="H386" s="10"/>
      <c r="I386" s="10"/>
      <c r="J386" s="10"/>
    </row>
    <row r="387" spans="1:10" ht="14.25" customHeight="1" x14ac:dyDescent="0.35">
      <c r="A387" s="10"/>
      <c r="B387" s="10"/>
      <c r="C387" s="10"/>
      <c r="D387" s="10"/>
      <c r="E387" s="10"/>
      <c r="F387" s="10"/>
      <c r="G387" s="10"/>
      <c r="H387" s="10"/>
      <c r="I387" s="10"/>
      <c r="J387" s="10"/>
    </row>
    <row r="388" spans="1:10" ht="14.25" customHeight="1" x14ac:dyDescent="0.35">
      <c r="A388" s="10"/>
      <c r="B388" s="10"/>
      <c r="C388" s="10"/>
      <c r="D388" s="10"/>
      <c r="E388" s="10"/>
      <c r="F388" s="10"/>
      <c r="G388" s="10"/>
      <c r="H388" s="10"/>
      <c r="I388" s="10"/>
      <c r="J388" s="10"/>
    </row>
    <row r="389" spans="1:10" ht="14.25" customHeight="1" x14ac:dyDescent="0.35">
      <c r="A389" s="10"/>
      <c r="B389" s="10"/>
      <c r="C389" s="10"/>
      <c r="D389" s="10"/>
      <c r="E389" s="10"/>
      <c r="F389" s="10"/>
      <c r="G389" s="10"/>
      <c r="H389" s="10"/>
      <c r="I389" s="10"/>
      <c r="J389" s="10"/>
    </row>
    <row r="390" spans="1:10" ht="14.25" customHeight="1" x14ac:dyDescent="0.35">
      <c r="A390" s="10"/>
      <c r="B390" s="10"/>
      <c r="C390" s="10"/>
      <c r="D390" s="10"/>
      <c r="E390" s="10"/>
      <c r="F390" s="10"/>
      <c r="G390" s="10"/>
      <c r="H390" s="10"/>
      <c r="I390" s="10"/>
      <c r="J390" s="10"/>
    </row>
    <row r="391" spans="1:10" ht="14.25" customHeight="1" x14ac:dyDescent="0.35">
      <c r="A391" s="10"/>
      <c r="B391" s="10"/>
      <c r="C391" s="10"/>
      <c r="D391" s="10"/>
      <c r="E391" s="10"/>
      <c r="F391" s="10"/>
      <c r="G391" s="10"/>
      <c r="H391" s="10"/>
      <c r="I391" s="10"/>
      <c r="J391" s="10"/>
    </row>
    <row r="392" spans="1:10" ht="14.25" customHeight="1" x14ac:dyDescent="0.35">
      <c r="A392" s="10"/>
      <c r="B392" s="10"/>
      <c r="C392" s="10"/>
      <c r="D392" s="10"/>
      <c r="E392" s="10"/>
      <c r="F392" s="10"/>
      <c r="G392" s="10"/>
      <c r="H392" s="10"/>
      <c r="I392" s="10"/>
      <c r="J392" s="10"/>
    </row>
    <row r="393" spans="1:10" ht="14.25" customHeight="1" x14ac:dyDescent="0.35">
      <c r="A393" s="10"/>
      <c r="B393" s="10"/>
      <c r="C393" s="10"/>
      <c r="D393" s="10"/>
      <c r="E393" s="10"/>
      <c r="F393" s="10"/>
      <c r="G393" s="10"/>
      <c r="H393" s="10"/>
      <c r="I393" s="10"/>
      <c r="J393" s="10"/>
    </row>
    <row r="394" spans="1:10" ht="14.25" customHeight="1" x14ac:dyDescent="0.35">
      <c r="A394" s="10"/>
      <c r="B394" s="10"/>
      <c r="C394" s="10"/>
      <c r="D394" s="10"/>
      <c r="E394" s="10"/>
      <c r="F394" s="10"/>
      <c r="G394" s="10"/>
      <c r="H394" s="10"/>
      <c r="I394" s="10"/>
      <c r="J394" s="10"/>
    </row>
    <row r="395" spans="1:10" ht="14.25" customHeight="1" x14ac:dyDescent="0.35">
      <c r="A395" s="10"/>
      <c r="B395" s="10"/>
      <c r="C395" s="10"/>
      <c r="D395" s="10"/>
      <c r="E395" s="10"/>
      <c r="F395" s="10"/>
      <c r="G395" s="10"/>
      <c r="H395" s="10"/>
      <c r="I395" s="10"/>
      <c r="J395" s="10"/>
    </row>
    <row r="396" spans="1:10" ht="14.25" customHeight="1" x14ac:dyDescent="0.35">
      <c r="A396" s="10"/>
      <c r="B396" s="10"/>
      <c r="C396" s="10"/>
      <c r="D396" s="10"/>
      <c r="E396" s="10"/>
      <c r="F396" s="10"/>
      <c r="G396" s="10"/>
      <c r="H396" s="10"/>
      <c r="I396" s="10"/>
      <c r="J396" s="10"/>
    </row>
    <row r="397" spans="1:10" ht="14.25" customHeight="1" x14ac:dyDescent="0.35">
      <c r="A397" s="10"/>
      <c r="B397" s="10"/>
      <c r="C397" s="10"/>
      <c r="D397" s="10"/>
      <c r="E397" s="10"/>
      <c r="F397" s="10"/>
      <c r="G397" s="10"/>
      <c r="H397" s="10"/>
      <c r="I397" s="10"/>
      <c r="J397" s="10"/>
    </row>
    <row r="398" spans="1:10" ht="14.25" customHeight="1" x14ac:dyDescent="0.35">
      <c r="A398" s="10"/>
      <c r="B398" s="10"/>
      <c r="C398" s="10"/>
      <c r="D398" s="10"/>
      <c r="E398" s="10"/>
      <c r="F398" s="10"/>
      <c r="G398" s="10"/>
      <c r="H398" s="10"/>
      <c r="I398" s="10"/>
      <c r="J398" s="10"/>
    </row>
    <row r="399" spans="1:10" ht="14.25" customHeight="1" x14ac:dyDescent="0.35">
      <c r="A399" s="10"/>
      <c r="B399" s="10"/>
      <c r="C399" s="10"/>
      <c r="D399" s="10"/>
      <c r="E399" s="10"/>
      <c r="F399" s="10"/>
      <c r="G399" s="10"/>
      <c r="H399" s="10"/>
      <c r="I399" s="10"/>
      <c r="J399" s="10"/>
    </row>
    <row r="400" spans="1:10" ht="14.25" customHeight="1" x14ac:dyDescent="0.35">
      <c r="A400" s="10"/>
      <c r="B400" s="10"/>
      <c r="C400" s="10"/>
      <c r="D400" s="10"/>
      <c r="E400" s="10"/>
      <c r="F400" s="10"/>
      <c r="G400" s="10"/>
      <c r="H400" s="10"/>
      <c r="I400" s="10"/>
      <c r="J400" s="10"/>
    </row>
    <row r="401" spans="1:10" ht="14.25" customHeight="1" x14ac:dyDescent="0.35">
      <c r="A401" s="10"/>
      <c r="B401" s="10"/>
      <c r="C401" s="10"/>
      <c r="D401" s="10"/>
      <c r="E401" s="10"/>
      <c r="F401" s="10"/>
      <c r="G401" s="10"/>
      <c r="H401" s="10"/>
      <c r="I401" s="10"/>
      <c r="J401" s="10"/>
    </row>
    <row r="402" spans="1:10" ht="14.25" customHeight="1" x14ac:dyDescent="0.35">
      <c r="A402" s="10"/>
      <c r="B402" s="10"/>
      <c r="C402" s="10"/>
      <c r="D402" s="10"/>
      <c r="E402" s="10"/>
      <c r="F402" s="10"/>
      <c r="G402" s="10"/>
      <c r="H402" s="10"/>
      <c r="I402" s="10"/>
      <c r="J402" s="10"/>
    </row>
    <row r="403" spans="1:10" ht="14.25" customHeight="1" x14ac:dyDescent="0.35">
      <c r="A403" s="10"/>
      <c r="B403" s="10"/>
      <c r="C403" s="10"/>
      <c r="D403" s="10"/>
      <c r="E403" s="10"/>
      <c r="F403" s="10"/>
      <c r="G403" s="10"/>
      <c r="H403" s="10"/>
      <c r="I403" s="10"/>
      <c r="J403" s="10"/>
    </row>
    <row r="404" spans="1:10" ht="14.25" customHeight="1" x14ac:dyDescent="0.35">
      <c r="A404" s="10"/>
      <c r="B404" s="10"/>
      <c r="C404" s="10"/>
      <c r="D404" s="10"/>
      <c r="E404" s="10"/>
      <c r="F404" s="10"/>
      <c r="G404" s="10"/>
      <c r="H404" s="10"/>
      <c r="I404" s="10"/>
      <c r="J404" s="10"/>
    </row>
    <row r="405" spans="1:10" ht="14.25" customHeight="1" x14ac:dyDescent="0.35">
      <c r="A405" s="10"/>
      <c r="B405" s="10"/>
      <c r="C405" s="10"/>
      <c r="D405" s="10"/>
      <c r="E405" s="10"/>
      <c r="F405" s="10"/>
      <c r="G405" s="10"/>
      <c r="H405" s="10"/>
      <c r="I405" s="10"/>
      <c r="J405" s="10"/>
    </row>
    <row r="406" spans="1:10" ht="14.25" customHeight="1" x14ac:dyDescent="0.35">
      <c r="A406" s="10"/>
      <c r="B406" s="10"/>
      <c r="C406" s="10"/>
      <c r="D406" s="10"/>
      <c r="E406" s="10"/>
      <c r="F406" s="10"/>
      <c r="G406" s="10"/>
      <c r="H406" s="10"/>
      <c r="I406" s="10"/>
      <c r="J406" s="10"/>
    </row>
    <row r="407" spans="1:10" ht="14.25" customHeight="1" x14ac:dyDescent="0.35">
      <c r="A407" s="10"/>
      <c r="B407" s="10"/>
      <c r="C407" s="10"/>
      <c r="D407" s="10"/>
      <c r="E407" s="10"/>
      <c r="F407" s="10"/>
      <c r="G407" s="10"/>
      <c r="H407" s="10"/>
      <c r="I407" s="10"/>
      <c r="J407" s="10"/>
    </row>
    <row r="408" spans="1:10" ht="14.25" customHeight="1" x14ac:dyDescent="0.35">
      <c r="A408" s="10"/>
      <c r="B408" s="10"/>
      <c r="C408" s="10"/>
      <c r="D408" s="10"/>
      <c r="E408" s="10"/>
      <c r="F408" s="10"/>
      <c r="G408" s="10"/>
      <c r="H408" s="10"/>
      <c r="I408" s="10"/>
      <c r="J408" s="10"/>
    </row>
    <row r="409" spans="1:10" ht="14.25" customHeight="1" x14ac:dyDescent="0.35">
      <c r="A409" s="10"/>
      <c r="B409" s="10"/>
      <c r="C409" s="10"/>
      <c r="D409" s="10"/>
      <c r="E409" s="10"/>
      <c r="F409" s="10"/>
      <c r="G409" s="10"/>
      <c r="H409" s="10"/>
      <c r="I409" s="10"/>
      <c r="J409" s="10"/>
    </row>
    <row r="410" spans="1:10" ht="14.25" customHeight="1" x14ac:dyDescent="0.35">
      <c r="A410" s="10"/>
      <c r="B410" s="10"/>
      <c r="C410" s="10"/>
      <c r="D410" s="10"/>
      <c r="E410" s="10"/>
      <c r="F410" s="10"/>
      <c r="G410" s="10"/>
      <c r="H410" s="10"/>
      <c r="I410" s="10"/>
      <c r="J410" s="10"/>
    </row>
    <row r="411" spans="1:10" ht="14.25" customHeight="1" x14ac:dyDescent="0.35">
      <c r="A411" s="10"/>
      <c r="B411" s="10"/>
      <c r="C411" s="10"/>
      <c r="D411" s="10"/>
      <c r="E411" s="10"/>
      <c r="F411" s="10"/>
      <c r="G411" s="10"/>
      <c r="H411" s="10"/>
      <c r="I411" s="10"/>
      <c r="J411" s="10"/>
    </row>
    <row r="412" spans="1:10" ht="14.25" customHeight="1" x14ac:dyDescent="0.35">
      <c r="A412" s="10"/>
      <c r="B412" s="10"/>
      <c r="C412" s="10"/>
      <c r="D412" s="10"/>
      <c r="E412" s="10"/>
      <c r="F412" s="10"/>
      <c r="G412" s="10"/>
      <c r="H412" s="10"/>
      <c r="I412" s="10"/>
      <c r="J412" s="10"/>
    </row>
    <row r="413" spans="1:10" ht="14.25" customHeight="1" x14ac:dyDescent="0.35">
      <c r="A413" s="10"/>
      <c r="B413" s="10"/>
      <c r="C413" s="10"/>
      <c r="D413" s="10"/>
      <c r="E413" s="10"/>
      <c r="F413" s="10"/>
      <c r="G413" s="10"/>
      <c r="H413" s="10"/>
      <c r="I413" s="10"/>
      <c r="J413" s="10"/>
    </row>
    <row r="414" spans="1:10" ht="14.25" customHeight="1" x14ac:dyDescent="0.35">
      <c r="A414" s="10"/>
      <c r="B414" s="10"/>
      <c r="C414" s="10"/>
      <c r="D414" s="10"/>
      <c r="E414" s="10"/>
      <c r="F414" s="10"/>
      <c r="G414" s="10"/>
      <c r="H414" s="10"/>
      <c r="I414" s="10"/>
      <c r="J414" s="10"/>
    </row>
    <row r="415" spans="1:10" ht="14.25" customHeight="1" x14ac:dyDescent="0.35">
      <c r="A415" s="10"/>
      <c r="B415" s="10"/>
      <c r="C415" s="10"/>
      <c r="D415" s="10"/>
      <c r="E415" s="10"/>
      <c r="F415" s="10"/>
      <c r="G415" s="10"/>
      <c r="H415" s="10"/>
      <c r="I415" s="10"/>
      <c r="J415" s="10"/>
    </row>
    <row r="416" spans="1:10" ht="14.25" customHeight="1" x14ac:dyDescent="0.35">
      <c r="A416" s="10"/>
      <c r="B416" s="10"/>
      <c r="C416" s="10"/>
      <c r="D416" s="10"/>
      <c r="E416" s="10"/>
      <c r="F416" s="10"/>
      <c r="G416" s="10"/>
      <c r="H416" s="10"/>
      <c r="I416" s="10"/>
      <c r="J416" s="10"/>
    </row>
    <row r="417" spans="1:10" ht="14.25" customHeight="1" x14ac:dyDescent="0.35">
      <c r="A417" s="10"/>
      <c r="B417" s="10"/>
      <c r="C417" s="10"/>
      <c r="D417" s="10"/>
      <c r="E417" s="10"/>
      <c r="F417" s="10"/>
      <c r="G417" s="10"/>
      <c r="H417" s="10"/>
      <c r="I417" s="10"/>
      <c r="J417" s="10"/>
    </row>
    <row r="418" spans="1:10" ht="14.25" customHeight="1" x14ac:dyDescent="0.35">
      <c r="A418" s="10"/>
      <c r="B418" s="10"/>
      <c r="C418" s="10"/>
      <c r="D418" s="10"/>
      <c r="E418" s="10"/>
      <c r="F418" s="10"/>
      <c r="G418" s="10"/>
      <c r="H418" s="10"/>
      <c r="I418" s="10"/>
      <c r="J418" s="10"/>
    </row>
    <row r="419" spans="1:10" ht="14.25" customHeight="1" x14ac:dyDescent="0.35">
      <c r="A419" s="10"/>
      <c r="B419" s="10"/>
      <c r="C419" s="10"/>
      <c r="D419" s="10"/>
      <c r="E419" s="10"/>
      <c r="F419" s="10"/>
      <c r="G419" s="10"/>
      <c r="H419" s="10"/>
      <c r="I419" s="10"/>
      <c r="J419" s="10"/>
    </row>
    <row r="420" spans="1:10" ht="14.25" customHeight="1" x14ac:dyDescent="0.35">
      <c r="A420" s="10"/>
      <c r="B420" s="10"/>
      <c r="C420" s="10"/>
      <c r="D420" s="10"/>
      <c r="E420" s="10"/>
      <c r="F420" s="10"/>
      <c r="G420" s="10"/>
      <c r="H420" s="10"/>
      <c r="I420" s="10"/>
      <c r="J420" s="10"/>
    </row>
    <row r="421" spans="1:10" ht="14.25" customHeight="1" x14ac:dyDescent="0.35">
      <c r="A421" s="10"/>
      <c r="B421" s="10"/>
      <c r="C421" s="10"/>
      <c r="D421" s="10"/>
      <c r="E421" s="10"/>
      <c r="F421" s="10"/>
      <c r="G421" s="10"/>
      <c r="H421" s="10"/>
      <c r="I421" s="10"/>
      <c r="J421" s="10"/>
    </row>
    <row r="422" spans="1:10" ht="14.25" customHeight="1" x14ac:dyDescent="0.35">
      <c r="A422" s="10"/>
      <c r="B422" s="10"/>
      <c r="C422" s="10"/>
      <c r="D422" s="10"/>
      <c r="E422" s="10"/>
      <c r="F422" s="10"/>
      <c r="G422" s="10"/>
      <c r="H422" s="10"/>
      <c r="I422" s="10"/>
      <c r="J422" s="10"/>
    </row>
    <row r="423" spans="1:10" ht="14.25" customHeight="1" x14ac:dyDescent="0.35">
      <c r="A423" s="10"/>
      <c r="B423" s="10"/>
      <c r="C423" s="10"/>
      <c r="D423" s="10"/>
      <c r="E423" s="10"/>
      <c r="F423" s="10"/>
      <c r="G423" s="10"/>
      <c r="H423" s="10"/>
      <c r="I423" s="10"/>
      <c r="J423" s="10"/>
    </row>
    <row r="424" spans="1:10" ht="14.25" customHeight="1" x14ac:dyDescent="0.35">
      <c r="A424" s="10"/>
      <c r="B424" s="10"/>
      <c r="C424" s="10"/>
      <c r="D424" s="10"/>
      <c r="E424" s="10"/>
      <c r="F424" s="10"/>
      <c r="G424" s="10"/>
      <c r="H424" s="10"/>
      <c r="I424" s="10"/>
      <c r="J424" s="10"/>
    </row>
    <row r="425" spans="1:10" ht="14.25" customHeight="1" x14ac:dyDescent="0.35">
      <c r="A425" s="10"/>
      <c r="B425" s="10"/>
      <c r="C425" s="10"/>
      <c r="D425" s="10"/>
      <c r="E425" s="10"/>
      <c r="F425" s="10"/>
      <c r="G425" s="10"/>
      <c r="H425" s="10"/>
      <c r="I425" s="10"/>
      <c r="J425" s="10"/>
    </row>
    <row r="426" spans="1:10" ht="14.25" customHeight="1" x14ac:dyDescent="0.35">
      <c r="A426" s="10"/>
      <c r="B426" s="10"/>
      <c r="C426" s="10"/>
      <c r="D426" s="10"/>
      <c r="E426" s="10"/>
      <c r="F426" s="10"/>
      <c r="G426" s="10"/>
      <c r="H426" s="10"/>
      <c r="I426" s="10"/>
      <c r="J426" s="10"/>
    </row>
    <row r="427" spans="1:10" ht="14.25" customHeight="1" x14ac:dyDescent="0.35">
      <c r="A427" s="10"/>
      <c r="B427" s="10"/>
      <c r="C427" s="10"/>
      <c r="D427" s="10"/>
      <c r="E427" s="10"/>
      <c r="F427" s="10"/>
      <c r="G427" s="10"/>
      <c r="H427" s="10"/>
      <c r="I427" s="10"/>
      <c r="J427" s="10"/>
    </row>
    <row r="428" spans="1:10" ht="14.25" customHeight="1" x14ac:dyDescent="0.35">
      <c r="A428" s="10"/>
      <c r="B428" s="10"/>
      <c r="C428" s="10"/>
      <c r="D428" s="10"/>
      <c r="E428" s="10"/>
      <c r="F428" s="10"/>
      <c r="G428" s="10"/>
      <c r="H428" s="10"/>
      <c r="I428" s="10"/>
      <c r="J428" s="10"/>
    </row>
    <row r="429" spans="1:10" ht="14.25" customHeight="1" x14ac:dyDescent="0.35">
      <c r="A429" s="10"/>
      <c r="B429" s="10"/>
      <c r="C429" s="10"/>
      <c r="D429" s="10"/>
      <c r="E429" s="10"/>
      <c r="F429" s="10"/>
      <c r="G429" s="10"/>
      <c r="H429" s="10"/>
      <c r="I429" s="10"/>
      <c r="J429" s="10"/>
    </row>
    <row r="430" spans="1:10" ht="14.25" customHeight="1" x14ac:dyDescent="0.35">
      <c r="A430" s="10"/>
      <c r="B430" s="10"/>
      <c r="C430" s="10"/>
      <c r="D430" s="10"/>
      <c r="E430" s="10"/>
      <c r="F430" s="10"/>
      <c r="G430" s="10"/>
      <c r="H430" s="10"/>
      <c r="I430" s="10"/>
      <c r="J430" s="10"/>
    </row>
    <row r="431" spans="1:10" ht="14.25" customHeight="1" x14ac:dyDescent="0.35">
      <c r="A431" s="10"/>
      <c r="B431" s="10"/>
      <c r="C431" s="10"/>
      <c r="D431" s="10"/>
      <c r="E431" s="10"/>
      <c r="F431" s="10"/>
      <c r="G431" s="10"/>
      <c r="H431" s="10"/>
      <c r="I431" s="10"/>
      <c r="J431" s="10"/>
    </row>
    <row r="432" spans="1:10" ht="14.25" customHeight="1" x14ac:dyDescent="0.35">
      <c r="A432" s="10"/>
      <c r="B432" s="10"/>
      <c r="C432" s="10"/>
      <c r="D432" s="10"/>
      <c r="E432" s="10"/>
      <c r="F432" s="10"/>
      <c r="G432" s="10"/>
      <c r="H432" s="10"/>
      <c r="I432" s="10"/>
      <c r="J432" s="10"/>
    </row>
    <row r="433" spans="1:10" ht="14.25" customHeight="1" x14ac:dyDescent="0.35">
      <c r="A433" s="10"/>
      <c r="B433" s="10"/>
      <c r="C433" s="10"/>
      <c r="D433" s="10"/>
      <c r="E433" s="10"/>
      <c r="F433" s="10"/>
      <c r="G433" s="10"/>
      <c r="H433" s="10"/>
      <c r="I433" s="10"/>
      <c r="J433" s="10"/>
    </row>
    <row r="434" spans="1:10" ht="14.25" customHeight="1" x14ac:dyDescent="0.35">
      <c r="A434" s="10"/>
      <c r="B434" s="10"/>
      <c r="C434" s="10"/>
      <c r="D434" s="10"/>
      <c r="E434" s="10"/>
      <c r="F434" s="10"/>
      <c r="G434" s="10"/>
      <c r="H434" s="10"/>
      <c r="I434" s="10"/>
      <c r="J434" s="10"/>
    </row>
    <row r="435" spans="1:10" ht="14.25" customHeight="1" x14ac:dyDescent="0.35">
      <c r="A435" s="10"/>
      <c r="B435" s="10"/>
      <c r="C435" s="10"/>
      <c r="D435" s="10"/>
      <c r="E435" s="10"/>
      <c r="F435" s="10"/>
      <c r="G435" s="10"/>
      <c r="H435" s="10"/>
      <c r="I435" s="10"/>
      <c r="J435" s="10"/>
    </row>
    <row r="436" spans="1:10" ht="14.25" customHeight="1" x14ac:dyDescent="0.35">
      <c r="A436" s="10"/>
      <c r="B436" s="10"/>
      <c r="C436" s="10"/>
      <c r="D436" s="10"/>
      <c r="E436" s="10"/>
      <c r="F436" s="10"/>
      <c r="G436" s="10"/>
      <c r="H436" s="10"/>
      <c r="I436" s="10"/>
      <c r="J436" s="10"/>
    </row>
    <row r="437" spans="1:10" ht="14.25" customHeight="1" x14ac:dyDescent="0.35">
      <c r="A437" s="10"/>
      <c r="B437" s="10"/>
      <c r="C437" s="10"/>
      <c r="D437" s="10"/>
      <c r="E437" s="10"/>
      <c r="F437" s="10"/>
      <c r="G437" s="10"/>
      <c r="H437" s="10"/>
      <c r="I437" s="10"/>
      <c r="J437" s="10"/>
    </row>
    <row r="438" spans="1:10" ht="14.25" customHeight="1" x14ac:dyDescent="0.35">
      <c r="A438" s="10"/>
      <c r="B438" s="10"/>
      <c r="C438" s="10"/>
      <c r="D438" s="10"/>
      <c r="E438" s="10"/>
      <c r="F438" s="10"/>
      <c r="G438" s="10"/>
      <c r="H438" s="10"/>
      <c r="I438" s="10"/>
      <c r="J438" s="10"/>
    </row>
    <row r="439" spans="1:10" ht="14.25" customHeight="1" x14ac:dyDescent="0.35">
      <c r="A439" s="10"/>
      <c r="B439" s="10"/>
      <c r="C439" s="10"/>
      <c r="D439" s="10"/>
      <c r="E439" s="10"/>
      <c r="F439" s="10"/>
      <c r="G439" s="10"/>
      <c r="H439" s="10"/>
      <c r="I439" s="10"/>
      <c r="J439" s="10"/>
    </row>
    <row r="440" spans="1:10" ht="14.25" customHeight="1" x14ac:dyDescent="0.35">
      <c r="A440" s="10"/>
      <c r="B440" s="10"/>
      <c r="C440" s="10"/>
      <c r="D440" s="10"/>
      <c r="E440" s="10"/>
      <c r="F440" s="10"/>
      <c r="G440" s="10"/>
      <c r="H440" s="10"/>
      <c r="I440" s="10"/>
      <c r="J440" s="10"/>
    </row>
    <row r="441" spans="1:10" ht="14.25" customHeight="1" x14ac:dyDescent="0.35">
      <c r="A441" s="10"/>
      <c r="B441" s="10"/>
      <c r="C441" s="10"/>
      <c r="D441" s="10"/>
      <c r="E441" s="10"/>
      <c r="F441" s="10"/>
      <c r="G441" s="10"/>
      <c r="H441" s="10"/>
      <c r="I441" s="10"/>
      <c r="J441" s="10"/>
    </row>
    <row r="442" spans="1:10" ht="14.25" customHeight="1" x14ac:dyDescent="0.35">
      <c r="A442" s="10"/>
      <c r="B442" s="10"/>
      <c r="C442" s="10"/>
      <c r="D442" s="10"/>
      <c r="E442" s="10"/>
      <c r="F442" s="10"/>
      <c r="G442" s="10"/>
      <c r="H442" s="10"/>
      <c r="I442" s="10"/>
      <c r="J442" s="10"/>
    </row>
    <row r="443" spans="1:10" ht="14.25" customHeight="1" x14ac:dyDescent="0.35">
      <c r="A443" s="10"/>
      <c r="B443" s="10"/>
      <c r="C443" s="10"/>
      <c r="D443" s="10"/>
      <c r="E443" s="10"/>
      <c r="F443" s="10"/>
      <c r="G443" s="10"/>
      <c r="H443" s="10"/>
      <c r="I443" s="10"/>
      <c r="J443" s="10"/>
    </row>
    <row r="444" spans="1:10" ht="14.25" customHeight="1" x14ac:dyDescent="0.35">
      <c r="A444" s="10"/>
      <c r="B444" s="10"/>
      <c r="C444" s="10"/>
      <c r="D444" s="10"/>
      <c r="E444" s="10"/>
      <c r="F444" s="10"/>
      <c r="G444" s="10"/>
      <c r="H444" s="10"/>
      <c r="I444" s="10"/>
      <c r="J444" s="10"/>
    </row>
    <row r="445" spans="1:10" ht="14.25" customHeight="1" x14ac:dyDescent="0.35">
      <c r="A445" s="10"/>
      <c r="B445" s="10"/>
      <c r="C445" s="10"/>
      <c r="D445" s="10"/>
      <c r="E445" s="10"/>
      <c r="F445" s="10"/>
      <c r="G445" s="10"/>
      <c r="H445" s="10"/>
      <c r="I445" s="10"/>
      <c r="J445" s="10"/>
    </row>
    <row r="446" spans="1:10" ht="14.25" customHeight="1" x14ac:dyDescent="0.35">
      <c r="A446" s="10"/>
      <c r="B446" s="10"/>
      <c r="C446" s="10"/>
      <c r="D446" s="10"/>
      <c r="E446" s="10"/>
      <c r="F446" s="10"/>
      <c r="G446" s="10"/>
      <c r="H446" s="10"/>
      <c r="I446" s="10"/>
      <c r="J446" s="10"/>
    </row>
    <row r="447" spans="1:10" ht="14.25" customHeight="1" x14ac:dyDescent="0.35">
      <c r="A447" s="10"/>
      <c r="B447" s="10"/>
      <c r="C447" s="10"/>
      <c r="D447" s="10"/>
      <c r="E447" s="10"/>
      <c r="F447" s="10"/>
      <c r="G447" s="10"/>
      <c r="H447" s="10"/>
      <c r="I447" s="10"/>
      <c r="J447" s="10"/>
    </row>
    <row r="448" spans="1:10" ht="14.25" customHeight="1" x14ac:dyDescent="0.35">
      <c r="A448" s="10"/>
      <c r="B448" s="10"/>
      <c r="C448" s="10"/>
      <c r="D448" s="10"/>
      <c r="E448" s="10"/>
      <c r="F448" s="10"/>
      <c r="G448" s="10"/>
      <c r="H448" s="10"/>
      <c r="I448" s="10"/>
      <c r="J448" s="10"/>
    </row>
    <row r="449" spans="1:10" ht="14.25" customHeight="1" x14ac:dyDescent="0.35">
      <c r="A449" s="10"/>
      <c r="B449" s="10"/>
      <c r="C449" s="10"/>
      <c r="D449" s="10"/>
      <c r="E449" s="10"/>
      <c r="F449" s="10"/>
      <c r="G449" s="10"/>
      <c r="H449" s="10"/>
      <c r="I449" s="10"/>
      <c r="J449" s="10"/>
    </row>
    <row r="450" spans="1:10" ht="14.25" customHeight="1" x14ac:dyDescent="0.35">
      <c r="A450" s="10"/>
      <c r="B450" s="10"/>
      <c r="C450" s="10"/>
      <c r="D450" s="10"/>
      <c r="E450" s="10"/>
      <c r="F450" s="10"/>
      <c r="G450" s="10"/>
      <c r="H450" s="10"/>
      <c r="I450" s="10"/>
      <c r="J450" s="10"/>
    </row>
    <row r="451" spans="1:10" ht="14.25" customHeight="1" x14ac:dyDescent="0.35">
      <c r="A451" s="10"/>
      <c r="B451" s="10"/>
      <c r="C451" s="10"/>
      <c r="D451" s="10"/>
      <c r="E451" s="10"/>
      <c r="F451" s="10"/>
      <c r="G451" s="10"/>
      <c r="H451" s="10"/>
      <c r="I451" s="10"/>
      <c r="J451" s="10"/>
    </row>
    <row r="452" spans="1:10" ht="14.25" customHeight="1" x14ac:dyDescent="0.35">
      <c r="A452" s="10"/>
      <c r="B452" s="10"/>
      <c r="C452" s="10"/>
      <c r="D452" s="10"/>
      <c r="E452" s="10"/>
      <c r="F452" s="10"/>
      <c r="G452" s="10"/>
      <c r="H452" s="10"/>
      <c r="I452" s="10"/>
      <c r="J452" s="10"/>
    </row>
    <row r="453" spans="1:10" ht="14.25" customHeight="1" x14ac:dyDescent="0.35">
      <c r="A453" s="10"/>
      <c r="B453" s="10"/>
      <c r="C453" s="10"/>
      <c r="D453" s="10"/>
      <c r="E453" s="10"/>
      <c r="F453" s="10"/>
      <c r="G453" s="10"/>
      <c r="H453" s="10"/>
      <c r="I453" s="10"/>
      <c r="J453" s="10"/>
    </row>
    <row r="454" spans="1:10" ht="14.25" customHeight="1" x14ac:dyDescent="0.35">
      <c r="A454" s="10"/>
      <c r="B454" s="10"/>
      <c r="C454" s="10"/>
      <c r="D454" s="10"/>
      <c r="E454" s="10"/>
      <c r="F454" s="10"/>
      <c r="G454" s="10"/>
      <c r="H454" s="10"/>
      <c r="I454" s="10"/>
      <c r="J454" s="10"/>
    </row>
    <row r="455" spans="1:10" ht="14.25" customHeight="1" x14ac:dyDescent="0.35">
      <c r="A455" s="10"/>
      <c r="B455" s="10"/>
      <c r="C455" s="10"/>
      <c r="D455" s="10"/>
      <c r="E455" s="10"/>
      <c r="F455" s="10"/>
      <c r="G455" s="10"/>
      <c r="H455" s="10"/>
      <c r="I455" s="10"/>
      <c r="J455" s="10"/>
    </row>
    <row r="456" spans="1:10" ht="14.25" customHeight="1" x14ac:dyDescent="0.35">
      <c r="A456" s="10"/>
      <c r="B456" s="10"/>
      <c r="C456" s="10"/>
      <c r="D456" s="10"/>
      <c r="E456" s="10"/>
      <c r="F456" s="10"/>
      <c r="G456" s="10"/>
      <c r="H456" s="10"/>
      <c r="I456" s="10"/>
      <c r="J456" s="10"/>
    </row>
    <row r="457" spans="1:10" ht="14.25" customHeight="1" x14ac:dyDescent="0.35">
      <c r="A457" s="10"/>
      <c r="B457" s="10"/>
      <c r="C457" s="10"/>
      <c r="D457" s="10"/>
      <c r="E457" s="10"/>
      <c r="F457" s="10"/>
      <c r="G457" s="10"/>
      <c r="H457" s="10"/>
      <c r="I457" s="10"/>
      <c r="J457" s="10"/>
    </row>
    <row r="458" spans="1:10" ht="14.25" customHeight="1" x14ac:dyDescent="0.35">
      <c r="A458" s="10"/>
      <c r="B458" s="10"/>
      <c r="C458" s="10"/>
      <c r="D458" s="10"/>
      <c r="E458" s="10"/>
      <c r="F458" s="10"/>
      <c r="G458" s="10"/>
      <c r="H458" s="10"/>
      <c r="I458" s="10"/>
      <c r="J458" s="10"/>
    </row>
    <row r="459" spans="1:10" ht="14.25" customHeight="1" x14ac:dyDescent="0.35">
      <c r="A459" s="10"/>
      <c r="B459" s="10"/>
      <c r="C459" s="10"/>
      <c r="D459" s="10"/>
      <c r="E459" s="10"/>
      <c r="F459" s="10"/>
      <c r="G459" s="10"/>
      <c r="H459" s="10"/>
      <c r="I459" s="10"/>
      <c r="J459" s="10"/>
    </row>
    <row r="460" spans="1:10" ht="14.25" customHeight="1" x14ac:dyDescent="0.35">
      <c r="A460" s="10"/>
      <c r="B460" s="10"/>
      <c r="C460" s="10"/>
      <c r="D460" s="10"/>
      <c r="E460" s="10"/>
      <c r="F460" s="10"/>
      <c r="G460" s="10"/>
      <c r="H460" s="10"/>
      <c r="I460" s="10"/>
      <c r="J460" s="10"/>
    </row>
    <row r="461" spans="1:10" ht="14.25" customHeight="1" x14ac:dyDescent="0.35">
      <c r="A461" s="10"/>
      <c r="B461" s="10"/>
      <c r="C461" s="10"/>
      <c r="D461" s="10"/>
      <c r="E461" s="10"/>
      <c r="F461" s="10"/>
      <c r="G461" s="10"/>
      <c r="H461" s="10"/>
      <c r="I461" s="10"/>
      <c r="J461" s="10"/>
    </row>
    <row r="462" spans="1:10" ht="14.25" customHeight="1" x14ac:dyDescent="0.35">
      <c r="A462" s="10"/>
      <c r="B462" s="10"/>
      <c r="C462" s="10"/>
      <c r="D462" s="10"/>
      <c r="E462" s="10"/>
      <c r="F462" s="10"/>
      <c r="G462" s="10"/>
      <c r="H462" s="10"/>
      <c r="I462" s="10"/>
      <c r="J462" s="10"/>
    </row>
    <row r="463" spans="1:10" ht="14.25" customHeight="1" x14ac:dyDescent="0.35">
      <c r="A463" s="10"/>
      <c r="B463" s="10"/>
      <c r="C463" s="10"/>
      <c r="D463" s="10"/>
      <c r="E463" s="10"/>
      <c r="F463" s="10"/>
      <c r="G463" s="10"/>
      <c r="H463" s="10"/>
      <c r="I463" s="10"/>
      <c r="J463" s="10"/>
    </row>
    <row r="464" spans="1:10" ht="14.25" customHeight="1" x14ac:dyDescent="0.35">
      <c r="A464" s="10"/>
      <c r="B464" s="10"/>
      <c r="C464" s="10"/>
      <c r="D464" s="10"/>
      <c r="E464" s="10"/>
      <c r="F464" s="10"/>
      <c r="G464" s="10"/>
      <c r="H464" s="10"/>
      <c r="I464" s="10"/>
      <c r="J464" s="10"/>
    </row>
    <row r="465" spans="1:10" ht="14.25" customHeight="1" x14ac:dyDescent="0.35">
      <c r="A465" s="10"/>
      <c r="B465" s="10"/>
      <c r="C465" s="10"/>
      <c r="D465" s="10"/>
      <c r="E465" s="10"/>
      <c r="F465" s="10"/>
      <c r="G465" s="10"/>
      <c r="H465" s="10"/>
      <c r="I465" s="10"/>
      <c r="J465" s="10"/>
    </row>
    <row r="466" spans="1:10" ht="14.25" customHeight="1" x14ac:dyDescent="0.35">
      <c r="A466" s="10"/>
      <c r="B466" s="10"/>
      <c r="C466" s="10"/>
      <c r="D466" s="10"/>
      <c r="E466" s="10"/>
      <c r="F466" s="10"/>
      <c r="G466" s="10"/>
      <c r="H466" s="10"/>
      <c r="I466" s="10"/>
      <c r="J466" s="10"/>
    </row>
    <row r="467" spans="1:10" ht="14.25" customHeight="1" x14ac:dyDescent="0.35">
      <c r="A467" s="10"/>
      <c r="B467" s="10"/>
      <c r="C467" s="10"/>
      <c r="D467" s="10"/>
      <c r="E467" s="10"/>
      <c r="F467" s="10"/>
      <c r="G467" s="10"/>
      <c r="H467" s="10"/>
      <c r="I467" s="10"/>
      <c r="J467" s="10"/>
    </row>
    <row r="468" spans="1:10" ht="14.25" customHeight="1" x14ac:dyDescent="0.35">
      <c r="A468" s="10"/>
      <c r="B468" s="10"/>
      <c r="C468" s="10"/>
      <c r="D468" s="10"/>
      <c r="E468" s="10"/>
      <c r="F468" s="10"/>
      <c r="G468" s="10"/>
      <c r="H468" s="10"/>
      <c r="I468" s="10"/>
      <c r="J468" s="10"/>
    </row>
    <row r="469" spans="1:10" ht="14.25" customHeight="1" x14ac:dyDescent="0.35">
      <c r="A469" s="10"/>
      <c r="B469" s="10"/>
      <c r="C469" s="10"/>
      <c r="D469" s="10"/>
      <c r="E469" s="10"/>
      <c r="F469" s="10"/>
      <c r="G469" s="10"/>
      <c r="H469" s="10"/>
      <c r="I469" s="10"/>
      <c r="J469" s="10"/>
    </row>
    <row r="470" spans="1:10" ht="14.25" customHeight="1" x14ac:dyDescent="0.35">
      <c r="A470" s="10"/>
      <c r="B470" s="10"/>
      <c r="C470" s="10"/>
      <c r="D470" s="10"/>
      <c r="E470" s="10"/>
      <c r="F470" s="10"/>
      <c r="G470" s="10"/>
      <c r="H470" s="10"/>
      <c r="I470" s="10"/>
      <c r="J470" s="10"/>
    </row>
    <row r="471" spans="1:10" ht="14.25" customHeight="1" x14ac:dyDescent="0.35">
      <c r="A471" s="10"/>
      <c r="B471" s="10"/>
      <c r="C471" s="10"/>
      <c r="D471" s="10"/>
      <c r="E471" s="10"/>
      <c r="F471" s="10"/>
      <c r="G471" s="10"/>
      <c r="H471" s="10"/>
      <c r="I471" s="10"/>
      <c r="J471" s="10"/>
    </row>
    <row r="472" spans="1:10" ht="14.25" customHeight="1" x14ac:dyDescent="0.35">
      <c r="A472" s="10"/>
      <c r="B472" s="10"/>
      <c r="C472" s="10"/>
      <c r="D472" s="10"/>
      <c r="E472" s="10"/>
      <c r="F472" s="10"/>
      <c r="G472" s="10"/>
      <c r="H472" s="10"/>
      <c r="I472" s="10"/>
      <c r="J472" s="10"/>
    </row>
    <row r="473" spans="1:10" ht="14.25" customHeight="1" x14ac:dyDescent="0.35">
      <c r="A473" s="10"/>
      <c r="B473" s="10"/>
      <c r="C473" s="10"/>
      <c r="D473" s="10"/>
      <c r="E473" s="10"/>
      <c r="F473" s="10"/>
      <c r="G473" s="10"/>
      <c r="H473" s="10"/>
      <c r="I473" s="10"/>
      <c r="J473" s="10"/>
    </row>
    <row r="474" spans="1:10" ht="14.25" customHeight="1" x14ac:dyDescent="0.35">
      <c r="A474" s="10"/>
      <c r="B474" s="10"/>
      <c r="C474" s="10"/>
      <c r="D474" s="10"/>
      <c r="E474" s="10"/>
      <c r="F474" s="10"/>
      <c r="G474" s="10"/>
      <c r="H474" s="10"/>
      <c r="I474" s="10"/>
      <c r="J474" s="10"/>
    </row>
    <row r="475" spans="1:10" ht="14.25" customHeight="1" x14ac:dyDescent="0.35">
      <c r="A475" s="10"/>
      <c r="B475" s="10"/>
      <c r="C475" s="10"/>
      <c r="D475" s="10"/>
      <c r="E475" s="10"/>
      <c r="F475" s="10"/>
      <c r="G475" s="10"/>
      <c r="H475" s="10"/>
      <c r="I475" s="10"/>
      <c r="J475" s="10"/>
    </row>
    <row r="476" spans="1:10" ht="14.25" customHeight="1" x14ac:dyDescent="0.35">
      <c r="A476" s="10"/>
      <c r="B476" s="10"/>
      <c r="C476" s="10"/>
      <c r="D476" s="10"/>
      <c r="E476" s="10"/>
      <c r="F476" s="10"/>
      <c r="G476" s="10"/>
      <c r="H476" s="10"/>
      <c r="I476" s="10"/>
      <c r="J476" s="10"/>
    </row>
    <row r="477" spans="1:10" ht="14.25" customHeight="1" x14ac:dyDescent="0.35">
      <c r="A477" s="10"/>
      <c r="B477" s="10"/>
      <c r="C477" s="10"/>
      <c r="D477" s="10"/>
      <c r="E477" s="10"/>
      <c r="F477" s="10"/>
      <c r="G477" s="10"/>
      <c r="H477" s="10"/>
      <c r="I477" s="10"/>
      <c r="J477" s="10"/>
    </row>
    <row r="478" spans="1:10" ht="14.25" customHeight="1" x14ac:dyDescent="0.35">
      <c r="A478" s="10"/>
      <c r="B478" s="10"/>
      <c r="C478" s="10"/>
      <c r="D478" s="10"/>
      <c r="E478" s="10"/>
      <c r="F478" s="10"/>
      <c r="G478" s="10"/>
      <c r="H478" s="10"/>
      <c r="I478" s="10"/>
      <c r="J478" s="10"/>
    </row>
    <row r="479" spans="1:10" ht="14.25" customHeight="1" x14ac:dyDescent="0.35">
      <c r="A479" s="10"/>
      <c r="B479" s="10"/>
      <c r="C479" s="10"/>
      <c r="D479" s="10"/>
      <c r="E479" s="10"/>
      <c r="F479" s="10"/>
      <c r="G479" s="10"/>
      <c r="H479" s="10"/>
      <c r="I479" s="10"/>
      <c r="J479" s="10"/>
    </row>
    <row r="480" spans="1:10" ht="14.25" customHeight="1" x14ac:dyDescent="0.35">
      <c r="A480" s="10"/>
      <c r="B480" s="10"/>
      <c r="C480" s="10"/>
      <c r="D480" s="10"/>
      <c r="E480" s="10"/>
      <c r="F480" s="10"/>
      <c r="G480" s="10"/>
      <c r="H480" s="10"/>
      <c r="I480" s="10"/>
      <c r="J480" s="10"/>
    </row>
    <row r="481" spans="1:10" ht="14.25" customHeight="1" x14ac:dyDescent="0.35">
      <c r="A481" s="10"/>
      <c r="B481" s="10"/>
      <c r="C481" s="10"/>
      <c r="D481" s="10"/>
      <c r="E481" s="10"/>
      <c r="F481" s="10"/>
      <c r="G481" s="10"/>
      <c r="H481" s="10"/>
      <c r="I481" s="10"/>
      <c r="J481" s="10"/>
    </row>
    <row r="482" spans="1:10" ht="14.25" customHeight="1" x14ac:dyDescent="0.35">
      <c r="A482" s="10"/>
      <c r="B482" s="10"/>
      <c r="C482" s="10"/>
      <c r="D482" s="10"/>
      <c r="E482" s="10"/>
      <c r="F482" s="10"/>
      <c r="G482" s="10"/>
      <c r="H482" s="10"/>
      <c r="I482" s="10"/>
      <c r="J482" s="10"/>
    </row>
    <row r="483" spans="1:10" ht="14.25" customHeight="1" x14ac:dyDescent="0.35">
      <c r="A483" s="10"/>
      <c r="B483" s="10"/>
      <c r="C483" s="10"/>
      <c r="D483" s="10"/>
      <c r="E483" s="10"/>
      <c r="F483" s="10"/>
      <c r="G483" s="10"/>
      <c r="H483" s="10"/>
      <c r="I483" s="10"/>
      <c r="J483" s="10"/>
    </row>
    <row r="484" spans="1:10" ht="14.25" customHeight="1" x14ac:dyDescent="0.35">
      <c r="A484" s="10"/>
      <c r="B484" s="10"/>
      <c r="C484" s="10"/>
      <c r="D484" s="10"/>
      <c r="E484" s="10"/>
      <c r="F484" s="10"/>
      <c r="G484" s="10"/>
      <c r="H484" s="10"/>
      <c r="I484" s="10"/>
      <c r="J484" s="10"/>
    </row>
    <row r="485" spans="1:10" ht="14.25" customHeight="1" x14ac:dyDescent="0.35">
      <c r="A485" s="10"/>
      <c r="B485" s="10"/>
      <c r="C485" s="10"/>
      <c r="D485" s="10"/>
      <c r="E485" s="10"/>
      <c r="F485" s="10"/>
      <c r="G485" s="10"/>
      <c r="H485" s="10"/>
      <c r="I485" s="10"/>
      <c r="J485" s="10"/>
    </row>
    <row r="486" spans="1:10" ht="14.25" customHeight="1" x14ac:dyDescent="0.35">
      <c r="A486" s="10"/>
      <c r="B486" s="10"/>
      <c r="C486" s="10"/>
      <c r="D486" s="10"/>
      <c r="E486" s="10"/>
      <c r="F486" s="10"/>
      <c r="G486" s="10"/>
      <c r="H486" s="10"/>
      <c r="I486" s="10"/>
      <c r="J486" s="10"/>
    </row>
    <row r="487" spans="1:10" ht="14.25" customHeight="1" x14ac:dyDescent="0.35">
      <c r="A487" s="10"/>
      <c r="B487" s="10"/>
      <c r="C487" s="10"/>
      <c r="D487" s="10"/>
      <c r="E487" s="10"/>
      <c r="F487" s="10"/>
      <c r="G487" s="10"/>
      <c r="H487" s="10"/>
      <c r="I487" s="10"/>
      <c r="J487" s="10"/>
    </row>
    <row r="488" spans="1:10" ht="14.25" customHeight="1" x14ac:dyDescent="0.35">
      <c r="A488" s="10"/>
      <c r="B488" s="10"/>
      <c r="C488" s="10"/>
      <c r="D488" s="10"/>
      <c r="E488" s="10"/>
      <c r="F488" s="10"/>
      <c r="G488" s="10"/>
      <c r="H488" s="10"/>
      <c r="I488" s="10"/>
      <c r="J488" s="10"/>
    </row>
    <row r="489" spans="1:10" ht="14.25" customHeight="1" x14ac:dyDescent="0.35">
      <c r="A489" s="10"/>
      <c r="B489" s="10"/>
      <c r="C489" s="10"/>
      <c r="D489" s="10"/>
      <c r="E489" s="10"/>
      <c r="F489" s="10"/>
      <c r="G489" s="10"/>
      <c r="H489" s="10"/>
      <c r="I489" s="10"/>
      <c r="J489" s="10"/>
    </row>
    <row r="490" spans="1:10" ht="14.25" customHeight="1" x14ac:dyDescent="0.35">
      <c r="A490" s="10"/>
      <c r="B490" s="10"/>
      <c r="C490" s="10"/>
      <c r="D490" s="10"/>
      <c r="E490" s="10"/>
      <c r="F490" s="10"/>
      <c r="G490" s="10"/>
      <c r="H490" s="10"/>
      <c r="I490" s="10"/>
      <c r="J490" s="10"/>
    </row>
    <row r="491" spans="1:10" ht="14.25" customHeight="1" x14ac:dyDescent="0.35">
      <c r="A491" s="10"/>
      <c r="B491" s="10"/>
      <c r="C491" s="10"/>
      <c r="D491" s="10"/>
      <c r="E491" s="10"/>
      <c r="F491" s="10"/>
      <c r="G491" s="10"/>
      <c r="H491" s="10"/>
      <c r="I491" s="10"/>
      <c r="J491" s="10"/>
    </row>
    <row r="492" spans="1:10" ht="14.25" customHeight="1" x14ac:dyDescent="0.35">
      <c r="A492" s="10"/>
      <c r="B492" s="10"/>
      <c r="C492" s="10"/>
      <c r="D492" s="10"/>
      <c r="E492" s="10"/>
      <c r="F492" s="10"/>
      <c r="G492" s="10"/>
      <c r="H492" s="10"/>
      <c r="I492" s="10"/>
      <c r="J492" s="10"/>
    </row>
    <row r="493" spans="1:10" ht="14.25" customHeight="1" x14ac:dyDescent="0.35">
      <c r="A493" s="10"/>
      <c r="B493" s="10"/>
      <c r="C493" s="10"/>
      <c r="D493" s="10"/>
      <c r="E493" s="10"/>
      <c r="F493" s="10"/>
      <c r="G493" s="10"/>
      <c r="H493" s="10"/>
      <c r="I493" s="10"/>
      <c r="J493" s="10"/>
    </row>
    <row r="494" spans="1:10" ht="14.25" customHeight="1" x14ac:dyDescent="0.35">
      <c r="A494" s="10"/>
      <c r="B494" s="10"/>
      <c r="C494" s="10"/>
      <c r="D494" s="10"/>
      <c r="E494" s="10"/>
      <c r="F494" s="10"/>
      <c r="G494" s="10"/>
      <c r="H494" s="10"/>
      <c r="I494" s="10"/>
      <c r="J494" s="10"/>
    </row>
    <row r="495" spans="1:10" ht="14.25" customHeight="1" x14ac:dyDescent="0.35">
      <c r="A495" s="10"/>
      <c r="B495" s="10"/>
      <c r="C495" s="10"/>
      <c r="D495" s="10"/>
      <c r="E495" s="10"/>
      <c r="F495" s="10"/>
      <c r="G495" s="10"/>
      <c r="H495" s="10"/>
      <c r="I495" s="10"/>
      <c r="J495" s="10"/>
    </row>
    <row r="496" spans="1:10" ht="14.25" customHeight="1" x14ac:dyDescent="0.35">
      <c r="A496" s="10"/>
      <c r="B496" s="10"/>
      <c r="C496" s="10"/>
      <c r="D496" s="10"/>
      <c r="E496" s="10"/>
      <c r="F496" s="10"/>
      <c r="G496" s="10"/>
      <c r="H496" s="10"/>
      <c r="I496" s="10"/>
      <c r="J496" s="10"/>
    </row>
    <row r="497" spans="1:10" ht="14.25" customHeight="1" x14ac:dyDescent="0.35">
      <c r="A497" s="10"/>
      <c r="B497" s="10"/>
      <c r="C497" s="10"/>
      <c r="D497" s="10"/>
      <c r="E497" s="10"/>
      <c r="F497" s="10"/>
      <c r="G497" s="10"/>
      <c r="H497" s="10"/>
      <c r="I497" s="10"/>
      <c r="J497" s="10"/>
    </row>
    <row r="498" spans="1:10" ht="14.25" customHeight="1" x14ac:dyDescent="0.35">
      <c r="A498" s="10"/>
      <c r="B498" s="10"/>
      <c r="C498" s="10"/>
      <c r="D498" s="10"/>
      <c r="E498" s="10"/>
      <c r="F498" s="10"/>
      <c r="G498" s="10"/>
      <c r="H498" s="10"/>
      <c r="I498" s="10"/>
      <c r="J498" s="10"/>
    </row>
    <row r="499" spans="1:10" ht="14.25" customHeight="1" x14ac:dyDescent="0.35">
      <c r="A499" s="10"/>
      <c r="B499" s="10"/>
      <c r="C499" s="10"/>
      <c r="D499" s="10"/>
      <c r="E499" s="10"/>
      <c r="F499" s="10"/>
      <c r="G499" s="10"/>
      <c r="H499" s="10"/>
      <c r="I499" s="10"/>
      <c r="J499" s="10"/>
    </row>
    <row r="500" spans="1:10" ht="14.25" customHeight="1" x14ac:dyDescent="0.35">
      <c r="A500" s="10"/>
      <c r="B500" s="10"/>
      <c r="C500" s="10"/>
      <c r="D500" s="10"/>
      <c r="E500" s="10"/>
      <c r="F500" s="10"/>
      <c r="G500" s="10"/>
      <c r="H500" s="10"/>
      <c r="I500" s="10"/>
      <c r="J500" s="10"/>
    </row>
    <row r="501" spans="1:10" ht="14.25" customHeight="1" x14ac:dyDescent="0.35">
      <c r="A501" s="10"/>
      <c r="B501" s="10"/>
      <c r="C501" s="10"/>
      <c r="D501" s="10"/>
      <c r="E501" s="10"/>
      <c r="F501" s="10"/>
      <c r="G501" s="10"/>
      <c r="H501" s="10"/>
      <c r="I501" s="10"/>
      <c r="J501" s="10"/>
    </row>
    <row r="502" spans="1:10" ht="14.25" customHeight="1" x14ac:dyDescent="0.35">
      <c r="A502" s="10"/>
      <c r="B502" s="10"/>
      <c r="C502" s="10"/>
      <c r="D502" s="10"/>
      <c r="E502" s="10"/>
      <c r="F502" s="10"/>
      <c r="G502" s="10"/>
      <c r="H502" s="10"/>
      <c r="I502" s="10"/>
      <c r="J502" s="10"/>
    </row>
    <row r="503" spans="1:10" ht="14.25" customHeight="1" x14ac:dyDescent="0.35">
      <c r="A503" s="10"/>
      <c r="B503" s="10"/>
      <c r="C503" s="10"/>
      <c r="D503" s="10"/>
      <c r="E503" s="10"/>
      <c r="F503" s="10"/>
      <c r="G503" s="10"/>
      <c r="H503" s="10"/>
      <c r="I503" s="10"/>
      <c r="J503" s="10"/>
    </row>
    <row r="504" spans="1:10" ht="14.25" customHeight="1" x14ac:dyDescent="0.35">
      <c r="A504" s="10"/>
      <c r="B504" s="10"/>
      <c r="C504" s="10"/>
      <c r="D504" s="10"/>
      <c r="E504" s="10"/>
      <c r="F504" s="10"/>
      <c r="G504" s="10"/>
      <c r="H504" s="10"/>
      <c r="I504" s="10"/>
      <c r="J504" s="10"/>
    </row>
    <row r="505" spans="1:10" ht="14.25" customHeight="1" x14ac:dyDescent="0.35">
      <c r="A505" s="10"/>
      <c r="B505" s="10"/>
      <c r="C505" s="10"/>
      <c r="D505" s="10"/>
      <c r="E505" s="10"/>
      <c r="F505" s="10"/>
      <c r="G505" s="10"/>
      <c r="H505" s="10"/>
      <c r="I505" s="10"/>
      <c r="J505" s="10"/>
    </row>
    <row r="506" spans="1:10" ht="14.25" customHeight="1" x14ac:dyDescent="0.35">
      <c r="A506" s="10"/>
      <c r="B506" s="10"/>
      <c r="C506" s="10"/>
      <c r="D506" s="10"/>
      <c r="E506" s="10"/>
      <c r="F506" s="10"/>
      <c r="G506" s="10"/>
      <c r="H506" s="10"/>
      <c r="I506" s="10"/>
      <c r="J506" s="10"/>
    </row>
    <row r="507" spans="1:10" ht="14.25" customHeight="1" x14ac:dyDescent="0.35">
      <c r="A507" s="10"/>
      <c r="B507" s="10"/>
      <c r="C507" s="10"/>
      <c r="D507" s="10"/>
      <c r="E507" s="10"/>
      <c r="F507" s="10"/>
      <c r="G507" s="10"/>
      <c r="H507" s="10"/>
      <c r="I507" s="10"/>
      <c r="J507" s="10"/>
    </row>
    <row r="508" spans="1:10" ht="14.25" customHeight="1" x14ac:dyDescent="0.35">
      <c r="A508" s="10"/>
      <c r="B508" s="10"/>
      <c r="C508" s="10"/>
      <c r="D508" s="10"/>
      <c r="E508" s="10"/>
      <c r="F508" s="10"/>
      <c r="G508" s="10"/>
      <c r="H508" s="10"/>
      <c r="I508" s="10"/>
      <c r="J508" s="10"/>
    </row>
    <row r="509" spans="1:10" ht="14.25" customHeight="1" x14ac:dyDescent="0.35">
      <c r="A509" s="10"/>
      <c r="B509" s="10"/>
      <c r="C509" s="10"/>
      <c r="D509" s="10"/>
      <c r="E509" s="10"/>
      <c r="F509" s="10"/>
      <c r="G509" s="10"/>
      <c r="H509" s="10"/>
      <c r="I509" s="10"/>
      <c r="J509" s="10"/>
    </row>
    <row r="510" spans="1:10" ht="14.25" customHeight="1" x14ac:dyDescent="0.35">
      <c r="A510" s="10"/>
      <c r="B510" s="10"/>
      <c r="C510" s="10"/>
      <c r="D510" s="10"/>
      <c r="E510" s="10"/>
      <c r="F510" s="10"/>
      <c r="G510" s="10"/>
      <c r="H510" s="10"/>
      <c r="I510" s="10"/>
      <c r="J510" s="10"/>
    </row>
    <row r="511" spans="1:10" ht="14.25" customHeight="1" x14ac:dyDescent="0.35">
      <c r="A511" s="10"/>
      <c r="B511" s="10"/>
      <c r="C511" s="10"/>
      <c r="D511" s="10"/>
      <c r="E511" s="10"/>
      <c r="F511" s="10"/>
      <c r="G511" s="10"/>
      <c r="H511" s="10"/>
      <c r="I511" s="10"/>
      <c r="J511" s="10"/>
    </row>
    <row r="512" spans="1:10" ht="14.25" customHeight="1" x14ac:dyDescent="0.35">
      <c r="A512" s="10"/>
      <c r="B512" s="10"/>
      <c r="C512" s="10"/>
      <c r="D512" s="10"/>
      <c r="E512" s="10"/>
      <c r="F512" s="10"/>
      <c r="G512" s="10"/>
      <c r="H512" s="10"/>
      <c r="I512" s="10"/>
      <c r="J512" s="10"/>
    </row>
    <row r="513" spans="1:10" ht="14.25" customHeight="1" x14ac:dyDescent="0.35">
      <c r="A513" s="10"/>
      <c r="B513" s="10"/>
      <c r="C513" s="10"/>
      <c r="D513" s="10"/>
      <c r="E513" s="10"/>
      <c r="F513" s="10"/>
      <c r="G513" s="10"/>
      <c r="H513" s="10"/>
      <c r="I513" s="10"/>
      <c r="J513" s="10"/>
    </row>
    <row r="514" spans="1:10" ht="14.25" customHeight="1" x14ac:dyDescent="0.35">
      <c r="A514" s="10"/>
      <c r="B514" s="10"/>
      <c r="C514" s="10"/>
      <c r="D514" s="10"/>
      <c r="E514" s="10"/>
      <c r="F514" s="10"/>
      <c r="G514" s="10"/>
      <c r="H514" s="10"/>
      <c r="I514" s="10"/>
      <c r="J514" s="10"/>
    </row>
    <row r="515" spans="1:10" ht="14.25" customHeight="1" x14ac:dyDescent="0.35">
      <c r="A515" s="10"/>
      <c r="B515" s="10"/>
      <c r="C515" s="10"/>
      <c r="D515" s="10"/>
      <c r="E515" s="10"/>
      <c r="F515" s="10"/>
      <c r="G515" s="10"/>
      <c r="H515" s="10"/>
      <c r="I515" s="10"/>
      <c r="J515" s="10"/>
    </row>
    <row r="516" spans="1:10" ht="14.25" customHeight="1" x14ac:dyDescent="0.35">
      <c r="A516" s="10"/>
      <c r="B516" s="10"/>
      <c r="C516" s="10"/>
      <c r="D516" s="10"/>
      <c r="E516" s="10"/>
      <c r="F516" s="10"/>
      <c r="G516" s="10"/>
      <c r="H516" s="10"/>
      <c r="I516" s="10"/>
      <c r="J516" s="10"/>
    </row>
    <row r="517" spans="1:10" ht="14.25" customHeight="1" x14ac:dyDescent="0.35">
      <c r="A517" s="10"/>
      <c r="B517" s="10"/>
      <c r="C517" s="10"/>
      <c r="D517" s="10"/>
      <c r="E517" s="10"/>
      <c r="F517" s="10"/>
      <c r="G517" s="10"/>
      <c r="H517" s="10"/>
      <c r="I517" s="10"/>
      <c r="J517" s="10"/>
    </row>
    <row r="518" spans="1:10" ht="14.25" customHeight="1" x14ac:dyDescent="0.35">
      <c r="A518" s="10"/>
      <c r="B518" s="10"/>
      <c r="C518" s="10"/>
      <c r="D518" s="10"/>
      <c r="E518" s="10"/>
      <c r="F518" s="10"/>
      <c r="G518" s="10"/>
      <c r="H518" s="10"/>
      <c r="I518" s="10"/>
      <c r="J518" s="10"/>
    </row>
    <row r="519" spans="1:10" ht="14.25" customHeight="1" x14ac:dyDescent="0.35">
      <c r="A519" s="10"/>
      <c r="B519" s="10"/>
      <c r="C519" s="10"/>
      <c r="D519" s="10"/>
      <c r="E519" s="10"/>
      <c r="F519" s="10"/>
      <c r="G519" s="10"/>
      <c r="H519" s="10"/>
      <c r="I519" s="10"/>
      <c r="J519" s="10"/>
    </row>
    <row r="520" spans="1:10" ht="14.25" customHeight="1" x14ac:dyDescent="0.35">
      <c r="A520" s="10"/>
      <c r="B520" s="10"/>
      <c r="C520" s="10"/>
      <c r="D520" s="10"/>
      <c r="E520" s="10"/>
      <c r="F520" s="10"/>
      <c r="G520" s="10"/>
      <c r="H520" s="10"/>
      <c r="I520" s="10"/>
      <c r="J520" s="10"/>
    </row>
    <row r="521" spans="1:10" ht="14.25" customHeight="1" x14ac:dyDescent="0.35">
      <c r="A521" s="10"/>
      <c r="B521" s="10"/>
      <c r="C521" s="10"/>
      <c r="D521" s="10"/>
      <c r="E521" s="10"/>
      <c r="F521" s="10"/>
      <c r="G521" s="10"/>
      <c r="H521" s="10"/>
      <c r="I521" s="10"/>
      <c r="J521" s="10"/>
    </row>
    <row r="522" spans="1:10" ht="14.25" customHeight="1" x14ac:dyDescent="0.35">
      <c r="A522" s="10"/>
      <c r="B522" s="10"/>
      <c r="C522" s="10"/>
      <c r="D522" s="10"/>
      <c r="E522" s="10"/>
      <c r="F522" s="10"/>
      <c r="G522" s="10"/>
      <c r="H522" s="10"/>
      <c r="I522" s="10"/>
      <c r="J522" s="10"/>
    </row>
    <row r="523" spans="1:10" ht="14.25" customHeight="1" x14ac:dyDescent="0.35">
      <c r="A523" s="10"/>
      <c r="B523" s="10"/>
      <c r="C523" s="10"/>
      <c r="D523" s="10"/>
      <c r="E523" s="10"/>
      <c r="F523" s="10"/>
      <c r="G523" s="10"/>
      <c r="H523" s="10"/>
      <c r="I523" s="10"/>
      <c r="J523" s="10"/>
    </row>
    <row r="524" spans="1:10" ht="14.25" customHeight="1" x14ac:dyDescent="0.35">
      <c r="A524" s="10"/>
      <c r="B524" s="10"/>
      <c r="C524" s="10"/>
      <c r="D524" s="10"/>
      <c r="E524" s="10"/>
      <c r="F524" s="10"/>
      <c r="G524" s="10"/>
      <c r="H524" s="10"/>
      <c r="I524" s="10"/>
      <c r="J524" s="10"/>
    </row>
    <row r="525" spans="1:10" ht="14.25" customHeight="1" x14ac:dyDescent="0.35">
      <c r="A525" s="10"/>
      <c r="B525" s="10"/>
      <c r="C525" s="10"/>
      <c r="D525" s="10"/>
      <c r="E525" s="10"/>
      <c r="F525" s="10"/>
      <c r="G525" s="10"/>
      <c r="H525" s="10"/>
      <c r="I525" s="10"/>
      <c r="J525" s="10"/>
    </row>
    <row r="526" spans="1:10" ht="14.25" customHeight="1" x14ac:dyDescent="0.35">
      <c r="A526" s="10"/>
      <c r="B526" s="10"/>
      <c r="C526" s="10"/>
      <c r="D526" s="10"/>
      <c r="E526" s="10"/>
      <c r="F526" s="10"/>
      <c r="G526" s="10"/>
      <c r="H526" s="10"/>
      <c r="I526" s="10"/>
      <c r="J526" s="10"/>
    </row>
    <row r="527" spans="1:10" ht="14.25" customHeight="1" x14ac:dyDescent="0.35">
      <c r="A527" s="10"/>
      <c r="B527" s="10"/>
      <c r="C527" s="10"/>
      <c r="D527" s="10"/>
      <c r="E527" s="10"/>
      <c r="F527" s="10"/>
      <c r="G527" s="10"/>
      <c r="H527" s="10"/>
      <c r="I527" s="10"/>
      <c r="J527" s="10"/>
    </row>
    <row r="528" spans="1:10" ht="14.25" customHeight="1" x14ac:dyDescent="0.35">
      <c r="A528" s="10"/>
      <c r="B528" s="10"/>
      <c r="C528" s="10"/>
      <c r="D528" s="10"/>
      <c r="E528" s="10"/>
      <c r="F528" s="10"/>
      <c r="G528" s="10"/>
      <c r="H528" s="10"/>
      <c r="I528" s="10"/>
      <c r="J528" s="10"/>
    </row>
    <row r="529" spans="1:10" ht="14.25" customHeight="1" x14ac:dyDescent="0.35">
      <c r="A529" s="10"/>
      <c r="B529" s="10"/>
      <c r="C529" s="10"/>
      <c r="D529" s="10"/>
      <c r="E529" s="10"/>
      <c r="F529" s="10"/>
      <c r="G529" s="10"/>
      <c r="H529" s="10"/>
      <c r="I529" s="10"/>
      <c r="J529" s="10"/>
    </row>
    <row r="530" spans="1:10" ht="14.25" customHeight="1" x14ac:dyDescent="0.35">
      <c r="A530" s="10"/>
      <c r="B530" s="10"/>
      <c r="C530" s="10"/>
      <c r="D530" s="10"/>
      <c r="E530" s="10"/>
      <c r="F530" s="10"/>
      <c r="G530" s="10"/>
      <c r="H530" s="10"/>
      <c r="I530" s="10"/>
      <c r="J530" s="10"/>
    </row>
    <row r="531" spans="1:10" ht="14.25" customHeight="1" x14ac:dyDescent="0.35">
      <c r="A531" s="10"/>
      <c r="B531" s="10"/>
      <c r="C531" s="10"/>
      <c r="D531" s="10"/>
      <c r="E531" s="10"/>
      <c r="F531" s="10"/>
      <c r="G531" s="10"/>
      <c r="H531" s="10"/>
      <c r="I531" s="10"/>
      <c r="J531" s="10"/>
    </row>
    <row r="532" spans="1:10" ht="14.25" customHeight="1" x14ac:dyDescent="0.35">
      <c r="A532" s="10"/>
      <c r="B532" s="10"/>
      <c r="C532" s="10"/>
      <c r="D532" s="10"/>
      <c r="E532" s="10"/>
      <c r="F532" s="10"/>
      <c r="G532" s="10"/>
      <c r="H532" s="10"/>
      <c r="I532" s="10"/>
      <c r="J532" s="10"/>
    </row>
    <row r="533" spans="1:10" ht="14.25" customHeight="1" x14ac:dyDescent="0.35">
      <c r="A533" s="10"/>
      <c r="B533" s="10"/>
      <c r="C533" s="10"/>
      <c r="D533" s="10"/>
      <c r="E533" s="10"/>
      <c r="F533" s="10"/>
      <c r="G533" s="10"/>
      <c r="H533" s="10"/>
      <c r="I533" s="10"/>
      <c r="J533" s="10"/>
    </row>
    <row r="534" spans="1:10" ht="14.25" customHeight="1" x14ac:dyDescent="0.35">
      <c r="A534" s="10"/>
      <c r="B534" s="10"/>
      <c r="C534" s="10"/>
      <c r="D534" s="10"/>
      <c r="E534" s="10"/>
      <c r="F534" s="10"/>
      <c r="G534" s="10"/>
      <c r="H534" s="10"/>
      <c r="I534" s="10"/>
      <c r="J534" s="10"/>
    </row>
    <row r="535" spans="1:10" ht="14.25" customHeight="1" x14ac:dyDescent="0.35">
      <c r="A535" s="10"/>
      <c r="B535" s="10"/>
      <c r="C535" s="10"/>
      <c r="D535" s="10"/>
      <c r="E535" s="10"/>
      <c r="F535" s="10"/>
      <c r="G535" s="10"/>
      <c r="H535" s="10"/>
      <c r="I535" s="10"/>
      <c r="J535" s="10"/>
    </row>
    <row r="536" spans="1:10" ht="14.25" customHeight="1" x14ac:dyDescent="0.35">
      <c r="A536" s="10"/>
      <c r="B536" s="10"/>
      <c r="C536" s="10"/>
      <c r="D536" s="10"/>
      <c r="E536" s="10"/>
      <c r="F536" s="10"/>
      <c r="G536" s="10"/>
      <c r="H536" s="10"/>
      <c r="I536" s="10"/>
      <c r="J536" s="10"/>
    </row>
    <row r="537" spans="1:10" ht="14.25" customHeight="1" x14ac:dyDescent="0.35">
      <c r="A537" s="10"/>
      <c r="B537" s="10"/>
      <c r="C537" s="10"/>
      <c r="D537" s="10"/>
      <c r="E537" s="10"/>
      <c r="F537" s="10"/>
      <c r="G537" s="10"/>
      <c r="H537" s="10"/>
      <c r="I537" s="10"/>
      <c r="J537" s="10"/>
    </row>
    <row r="538" spans="1:10" ht="14.25" customHeight="1" x14ac:dyDescent="0.35">
      <c r="A538" s="10"/>
      <c r="B538" s="10"/>
      <c r="C538" s="10"/>
      <c r="D538" s="10"/>
      <c r="E538" s="10"/>
      <c r="F538" s="10"/>
      <c r="G538" s="10"/>
      <c r="H538" s="10"/>
      <c r="I538" s="10"/>
      <c r="J538" s="10"/>
    </row>
    <row r="539" spans="1:10" ht="14.25" customHeight="1" x14ac:dyDescent="0.35">
      <c r="A539" s="10"/>
      <c r="B539" s="10"/>
      <c r="C539" s="10"/>
      <c r="D539" s="10"/>
      <c r="E539" s="10"/>
      <c r="F539" s="10"/>
      <c r="G539" s="10"/>
      <c r="H539" s="10"/>
      <c r="I539" s="10"/>
      <c r="J539" s="10"/>
    </row>
    <row r="540" spans="1:10" ht="14.25" customHeight="1" x14ac:dyDescent="0.35">
      <c r="A540" s="10"/>
      <c r="B540" s="10"/>
      <c r="C540" s="10"/>
      <c r="D540" s="10"/>
      <c r="E540" s="10"/>
      <c r="F540" s="10"/>
      <c r="G540" s="10"/>
      <c r="H540" s="10"/>
      <c r="I540" s="10"/>
      <c r="J540" s="10"/>
    </row>
    <row r="541" spans="1:10" ht="14.25" customHeight="1" x14ac:dyDescent="0.35">
      <c r="A541" s="10"/>
      <c r="B541" s="10"/>
      <c r="C541" s="10"/>
      <c r="D541" s="10"/>
      <c r="E541" s="10"/>
      <c r="F541" s="10"/>
      <c r="G541" s="10"/>
      <c r="H541" s="10"/>
      <c r="I541" s="10"/>
      <c r="J541" s="10"/>
    </row>
    <row r="542" spans="1:10" ht="14.25" customHeight="1" x14ac:dyDescent="0.35">
      <c r="A542" s="10"/>
      <c r="B542" s="10"/>
      <c r="C542" s="10"/>
      <c r="D542" s="10"/>
      <c r="E542" s="10"/>
      <c r="F542" s="10"/>
      <c r="G542" s="10"/>
      <c r="H542" s="10"/>
      <c r="I542" s="10"/>
      <c r="J542" s="10"/>
    </row>
    <row r="543" spans="1:10" ht="14.25" customHeight="1" x14ac:dyDescent="0.35">
      <c r="A543" s="10"/>
      <c r="B543" s="10"/>
      <c r="C543" s="10"/>
      <c r="D543" s="10"/>
      <c r="E543" s="10"/>
      <c r="F543" s="10"/>
      <c r="G543" s="10"/>
      <c r="H543" s="10"/>
      <c r="I543" s="10"/>
      <c r="J543" s="10"/>
    </row>
    <row r="544" spans="1:10" ht="14.25" customHeight="1" x14ac:dyDescent="0.35">
      <c r="A544" s="10"/>
      <c r="B544" s="10"/>
      <c r="C544" s="10"/>
      <c r="D544" s="10"/>
      <c r="E544" s="10"/>
      <c r="F544" s="10"/>
      <c r="G544" s="10"/>
      <c r="H544" s="10"/>
      <c r="I544" s="10"/>
      <c r="J544" s="10"/>
    </row>
    <row r="545" spans="1:10" ht="14.25" customHeight="1" x14ac:dyDescent="0.35">
      <c r="A545" s="10"/>
      <c r="B545" s="10"/>
      <c r="C545" s="10"/>
      <c r="D545" s="10"/>
      <c r="E545" s="10"/>
      <c r="F545" s="10"/>
      <c r="G545" s="10"/>
      <c r="H545" s="10"/>
      <c r="I545" s="10"/>
      <c r="J545" s="10"/>
    </row>
    <row r="546" spans="1:10" ht="14.25" customHeight="1" x14ac:dyDescent="0.35">
      <c r="A546" s="10"/>
      <c r="B546" s="10"/>
      <c r="C546" s="10"/>
      <c r="D546" s="10"/>
      <c r="E546" s="10"/>
      <c r="F546" s="10"/>
      <c r="G546" s="10"/>
      <c r="H546" s="10"/>
      <c r="I546" s="10"/>
      <c r="J546" s="10"/>
    </row>
    <row r="547" spans="1:10" ht="14.25" customHeight="1" x14ac:dyDescent="0.35">
      <c r="A547" s="10"/>
      <c r="B547" s="10"/>
      <c r="C547" s="10"/>
      <c r="D547" s="10"/>
      <c r="E547" s="10"/>
      <c r="F547" s="10"/>
      <c r="G547" s="10"/>
      <c r="H547" s="10"/>
      <c r="I547" s="10"/>
      <c r="J547" s="10"/>
    </row>
    <row r="548" spans="1:10" ht="14.25" customHeight="1" x14ac:dyDescent="0.35">
      <c r="A548" s="10"/>
      <c r="B548" s="10"/>
      <c r="C548" s="10"/>
      <c r="D548" s="10"/>
      <c r="E548" s="10"/>
      <c r="F548" s="10"/>
      <c r="G548" s="10"/>
      <c r="H548" s="10"/>
      <c r="I548" s="10"/>
      <c r="J548" s="10"/>
    </row>
    <row r="549" spans="1:10" ht="14.25" customHeight="1" x14ac:dyDescent="0.35">
      <c r="A549" s="10"/>
      <c r="B549" s="10"/>
      <c r="C549" s="10"/>
      <c r="D549" s="10"/>
      <c r="E549" s="10"/>
      <c r="F549" s="10"/>
      <c r="G549" s="10"/>
      <c r="H549" s="10"/>
      <c r="I549" s="10"/>
      <c r="J549" s="10"/>
    </row>
    <row r="550" spans="1:10" ht="14.25" customHeight="1" x14ac:dyDescent="0.35">
      <c r="A550" s="10"/>
      <c r="B550" s="10"/>
      <c r="C550" s="10"/>
      <c r="D550" s="10"/>
      <c r="E550" s="10"/>
      <c r="F550" s="10"/>
      <c r="G550" s="10"/>
      <c r="H550" s="10"/>
      <c r="I550" s="10"/>
      <c r="J550" s="10"/>
    </row>
    <row r="551" spans="1:10" ht="14.25" customHeight="1" x14ac:dyDescent="0.35">
      <c r="A551" s="10"/>
      <c r="B551" s="10"/>
      <c r="C551" s="10"/>
      <c r="D551" s="10"/>
      <c r="E551" s="10"/>
      <c r="F551" s="10"/>
      <c r="G551" s="10"/>
      <c r="H551" s="10"/>
      <c r="I551" s="10"/>
      <c r="J551" s="10"/>
    </row>
    <row r="552" spans="1:10" ht="14.25" customHeight="1" x14ac:dyDescent="0.35">
      <c r="A552" s="10"/>
      <c r="B552" s="10"/>
      <c r="C552" s="10"/>
      <c r="D552" s="10"/>
      <c r="E552" s="10"/>
      <c r="F552" s="10"/>
      <c r="G552" s="10"/>
      <c r="H552" s="10"/>
      <c r="I552" s="10"/>
      <c r="J552" s="10"/>
    </row>
    <row r="553" spans="1:10" ht="14.25" customHeight="1" x14ac:dyDescent="0.35">
      <c r="A553" s="10"/>
      <c r="B553" s="10"/>
      <c r="C553" s="10"/>
      <c r="D553" s="10"/>
      <c r="E553" s="10"/>
      <c r="F553" s="10"/>
      <c r="G553" s="10"/>
      <c r="H553" s="10"/>
      <c r="I553" s="10"/>
      <c r="J553" s="10"/>
    </row>
    <row r="554" spans="1:10" ht="14.25" customHeight="1" x14ac:dyDescent="0.35">
      <c r="A554" s="10"/>
      <c r="B554" s="10"/>
      <c r="C554" s="10"/>
      <c r="D554" s="10"/>
      <c r="E554" s="10"/>
      <c r="F554" s="10"/>
      <c r="G554" s="10"/>
      <c r="H554" s="10"/>
      <c r="I554" s="10"/>
      <c r="J554" s="10"/>
    </row>
    <row r="555" spans="1:10" ht="14.25" customHeight="1" x14ac:dyDescent="0.35">
      <c r="A555" s="10"/>
      <c r="B555" s="10"/>
      <c r="C555" s="10"/>
      <c r="D555" s="10"/>
      <c r="E555" s="10"/>
      <c r="F555" s="10"/>
      <c r="G555" s="10"/>
      <c r="H555" s="10"/>
      <c r="I555" s="10"/>
      <c r="J555" s="10"/>
    </row>
    <row r="556" spans="1:10" ht="14.25" customHeight="1" x14ac:dyDescent="0.35">
      <c r="A556" s="10"/>
      <c r="B556" s="10"/>
      <c r="C556" s="10"/>
      <c r="D556" s="10"/>
      <c r="E556" s="10"/>
      <c r="F556" s="10"/>
      <c r="G556" s="10"/>
      <c r="H556" s="10"/>
      <c r="I556" s="10"/>
      <c r="J556" s="10"/>
    </row>
    <row r="557" spans="1:10" ht="14.25" customHeight="1" x14ac:dyDescent="0.35">
      <c r="A557" s="10"/>
      <c r="B557" s="10"/>
      <c r="C557" s="10"/>
      <c r="D557" s="10"/>
      <c r="E557" s="10"/>
      <c r="F557" s="10"/>
      <c r="G557" s="10"/>
      <c r="H557" s="10"/>
      <c r="I557" s="10"/>
      <c r="J557" s="10"/>
    </row>
    <row r="558" spans="1:10" ht="14.25" customHeight="1" x14ac:dyDescent="0.35">
      <c r="A558" s="10"/>
      <c r="B558" s="10"/>
      <c r="C558" s="10"/>
      <c r="D558" s="10"/>
      <c r="E558" s="10"/>
      <c r="F558" s="10"/>
      <c r="G558" s="10"/>
      <c r="H558" s="10"/>
      <c r="I558" s="10"/>
      <c r="J558" s="10"/>
    </row>
    <row r="559" spans="1:10" ht="14.25" customHeight="1" x14ac:dyDescent="0.35">
      <c r="A559" s="10"/>
      <c r="B559" s="10"/>
      <c r="C559" s="10"/>
      <c r="D559" s="10"/>
      <c r="E559" s="10"/>
      <c r="F559" s="10"/>
      <c r="G559" s="10"/>
      <c r="H559" s="10"/>
      <c r="I559" s="10"/>
      <c r="J559" s="10"/>
    </row>
    <row r="560" spans="1:10" ht="14.25" customHeight="1" x14ac:dyDescent="0.35">
      <c r="A560" s="10"/>
      <c r="B560" s="10"/>
      <c r="C560" s="10"/>
      <c r="D560" s="10"/>
      <c r="E560" s="10"/>
      <c r="F560" s="10"/>
      <c r="G560" s="10"/>
      <c r="H560" s="10"/>
      <c r="I560" s="10"/>
      <c r="J560" s="10"/>
    </row>
    <row r="561" spans="1:10" ht="14.25" customHeight="1" x14ac:dyDescent="0.35">
      <c r="A561" s="10"/>
      <c r="B561" s="10"/>
      <c r="C561" s="10"/>
      <c r="D561" s="10"/>
      <c r="E561" s="10"/>
      <c r="F561" s="10"/>
      <c r="G561" s="10"/>
      <c r="H561" s="10"/>
      <c r="I561" s="10"/>
      <c r="J561" s="10"/>
    </row>
    <row r="562" spans="1:10" ht="14.25" customHeight="1" x14ac:dyDescent="0.35">
      <c r="A562" s="10"/>
      <c r="B562" s="10"/>
      <c r="C562" s="10"/>
      <c r="D562" s="10"/>
      <c r="E562" s="10"/>
      <c r="F562" s="10"/>
      <c r="G562" s="10"/>
      <c r="H562" s="10"/>
      <c r="I562" s="10"/>
      <c r="J562" s="10"/>
    </row>
    <row r="563" spans="1:10" ht="14.25" customHeight="1" x14ac:dyDescent="0.35">
      <c r="A563" s="10"/>
      <c r="B563" s="10"/>
      <c r="C563" s="10"/>
      <c r="D563" s="10"/>
      <c r="E563" s="10"/>
      <c r="F563" s="10"/>
      <c r="G563" s="10"/>
      <c r="H563" s="10"/>
      <c r="I563" s="10"/>
      <c r="J563" s="10"/>
    </row>
    <row r="564" spans="1:10" ht="14.25" customHeight="1" x14ac:dyDescent="0.35">
      <c r="A564" s="10"/>
      <c r="B564" s="10"/>
      <c r="C564" s="10"/>
      <c r="D564" s="10"/>
      <c r="E564" s="10"/>
      <c r="F564" s="10"/>
      <c r="G564" s="10"/>
      <c r="H564" s="10"/>
      <c r="I564" s="10"/>
      <c r="J564" s="10"/>
    </row>
    <row r="565" spans="1:10" ht="14.25" customHeight="1" x14ac:dyDescent="0.35">
      <c r="A565" s="10"/>
      <c r="B565" s="10"/>
      <c r="C565" s="10"/>
      <c r="D565" s="10"/>
      <c r="E565" s="10"/>
      <c r="F565" s="10"/>
      <c r="G565" s="10"/>
      <c r="H565" s="10"/>
      <c r="I565" s="10"/>
      <c r="J565" s="10"/>
    </row>
    <row r="566" spans="1:10" ht="14.25" customHeight="1" x14ac:dyDescent="0.35">
      <c r="A566" s="10"/>
      <c r="B566" s="10"/>
      <c r="C566" s="10"/>
      <c r="D566" s="10"/>
      <c r="E566" s="10"/>
      <c r="F566" s="10"/>
      <c r="G566" s="10"/>
      <c r="H566" s="10"/>
      <c r="I566" s="10"/>
      <c r="J566" s="10"/>
    </row>
    <row r="567" spans="1:10" ht="14.25" customHeight="1" x14ac:dyDescent="0.35">
      <c r="A567" s="10"/>
      <c r="B567" s="10"/>
      <c r="C567" s="10"/>
      <c r="D567" s="10"/>
      <c r="E567" s="10"/>
      <c r="F567" s="10"/>
      <c r="G567" s="10"/>
      <c r="H567" s="10"/>
      <c r="I567" s="10"/>
      <c r="J567" s="10"/>
    </row>
    <row r="568" spans="1:10" ht="14.25" customHeight="1" x14ac:dyDescent="0.35">
      <c r="A568" s="10"/>
      <c r="B568" s="10"/>
      <c r="C568" s="10"/>
      <c r="D568" s="10"/>
      <c r="E568" s="10"/>
      <c r="F568" s="10"/>
      <c r="G568" s="10"/>
      <c r="H568" s="10"/>
      <c r="I568" s="10"/>
      <c r="J568" s="10"/>
    </row>
    <row r="569" spans="1:10" ht="14.25" customHeight="1" x14ac:dyDescent="0.35">
      <c r="A569" s="10"/>
      <c r="B569" s="10"/>
      <c r="C569" s="10"/>
      <c r="D569" s="10"/>
      <c r="E569" s="10"/>
      <c r="F569" s="10"/>
      <c r="G569" s="10"/>
      <c r="H569" s="10"/>
      <c r="I569" s="10"/>
      <c r="J569" s="10"/>
    </row>
    <row r="570" spans="1:10" ht="14.25" customHeight="1" x14ac:dyDescent="0.35">
      <c r="A570" s="10"/>
      <c r="B570" s="10"/>
      <c r="C570" s="10"/>
      <c r="D570" s="10"/>
      <c r="E570" s="10"/>
      <c r="F570" s="10"/>
      <c r="G570" s="10"/>
      <c r="H570" s="10"/>
      <c r="I570" s="10"/>
      <c r="J570" s="10"/>
    </row>
    <row r="571" spans="1:10" ht="14.25" customHeight="1" x14ac:dyDescent="0.35">
      <c r="A571" s="10"/>
      <c r="B571" s="10"/>
      <c r="C571" s="10"/>
      <c r="D571" s="10"/>
      <c r="E571" s="10"/>
      <c r="F571" s="10"/>
      <c r="G571" s="10"/>
      <c r="H571" s="10"/>
      <c r="I571" s="10"/>
      <c r="J571" s="10"/>
    </row>
    <row r="572" spans="1:10" ht="14.25" customHeight="1" x14ac:dyDescent="0.35">
      <c r="A572" s="10"/>
      <c r="B572" s="10"/>
      <c r="C572" s="10"/>
      <c r="D572" s="10"/>
      <c r="E572" s="10"/>
      <c r="F572" s="10"/>
      <c r="G572" s="10"/>
      <c r="H572" s="10"/>
      <c r="I572" s="10"/>
      <c r="J572" s="10"/>
    </row>
    <row r="573" spans="1:10" ht="14.25" customHeight="1" x14ac:dyDescent="0.35">
      <c r="A573" s="10"/>
      <c r="B573" s="10"/>
      <c r="C573" s="10"/>
      <c r="D573" s="10"/>
      <c r="E573" s="10"/>
      <c r="F573" s="10"/>
      <c r="G573" s="10"/>
      <c r="H573" s="10"/>
      <c r="I573" s="10"/>
      <c r="J573" s="10"/>
    </row>
    <row r="574" spans="1:10" ht="14.25" customHeight="1" x14ac:dyDescent="0.35">
      <c r="A574" s="10"/>
      <c r="B574" s="10"/>
      <c r="C574" s="10"/>
      <c r="D574" s="10"/>
      <c r="E574" s="10"/>
      <c r="F574" s="10"/>
      <c r="G574" s="10"/>
      <c r="H574" s="10"/>
      <c r="I574" s="10"/>
      <c r="J574" s="10"/>
    </row>
    <row r="575" spans="1:10" ht="14.25" customHeight="1" x14ac:dyDescent="0.35">
      <c r="A575" s="10"/>
      <c r="B575" s="10"/>
      <c r="C575" s="10"/>
      <c r="D575" s="10"/>
      <c r="E575" s="10"/>
      <c r="F575" s="10"/>
      <c r="G575" s="10"/>
      <c r="H575" s="10"/>
      <c r="I575" s="10"/>
      <c r="J575" s="10"/>
    </row>
    <row r="576" spans="1:10" ht="14.25" customHeight="1" x14ac:dyDescent="0.35">
      <c r="A576" s="10"/>
      <c r="B576" s="10"/>
      <c r="C576" s="10"/>
      <c r="D576" s="10"/>
      <c r="E576" s="10"/>
      <c r="F576" s="10"/>
      <c r="G576" s="10"/>
      <c r="H576" s="10"/>
      <c r="I576" s="10"/>
      <c r="J576" s="10"/>
    </row>
    <row r="577" spans="1:10" ht="14.25" customHeight="1" x14ac:dyDescent="0.35">
      <c r="A577" s="10"/>
      <c r="B577" s="10"/>
      <c r="C577" s="10"/>
      <c r="D577" s="10"/>
      <c r="E577" s="10"/>
      <c r="F577" s="10"/>
      <c r="G577" s="10"/>
      <c r="H577" s="10"/>
      <c r="I577" s="10"/>
      <c r="J577" s="10"/>
    </row>
    <row r="578" spans="1:10" ht="14.25" customHeight="1" x14ac:dyDescent="0.35">
      <c r="A578" s="10"/>
      <c r="B578" s="10"/>
      <c r="C578" s="10"/>
      <c r="D578" s="10"/>
      <c r="E578" s="10"/>
      <c r="F578" s="10"/>
      <c r="G578" s="10"/>
      <c r="H578" s="10"/>
      <c r="I578" s="10"/>
      <c r="J578" s="10"/>
    </row>
    <row r="579" spans="1:10" ht="14.25" customHeight="1" x14ac:dyDescent="0.35">
      <c r="A579" s="10"/>
      <c r="B579" s="10"/>
      <c r="C579" s="10"/>
      <c r="D579" s="10"/>
      <c r="E579" s="10"/>
      <c r="F579" s="10"/>
      <c r="G579" s="10"/>
      <c r="H579" s="10"/>
      <c r="I579" s="10"/>
      <c r="J579" s="10"/>
    </row>
    <row r="580" spans="1:10" ht="14.25" customHeight="1" x14ac:dyDescent="0.35">
      <c r="A580" s="10"/>
      <c r="B580" s="10"/>
      <c r="C580" s="10"/>
      <c r="D580" s="10"/>
      <c r="E580" s="10"/>
      <c r="F580" s="10"/>
      <c r="G580" s="10"/>
      <c r="H580" s="10"/>
      <c r="I580" s="10"/>
      <c r="J580" s="10"/>
    </row>
    <row r="581" spans="1:10" ht="14.25" customHeight="1" x14ac:dyDescent="0.35">
      <c r="A581" s="10"/>
      <c r="B581" s="10"/>
      <c r="C581" s="10"/>
      <c r="D581" s="10"/>
      <c r="E581" s="10"/>
      <c r="F581" s="10"/>
      <c r="G581" s="10"/>
      <c r="H581" s="10"/>
      <c r="I581" s="10"/>
      <c r="J581" s="10"/>
    </row>
    <row r="582" spans="1:10" ht="14.25" customHeight="1" x14ac:dyDescent="0.35">
      <c r="A582" s="10"/>
      <c r="B582" s="10"/>
      <c r="C582" s="10"/>
      <c r="D582" s="10"/>
      <c r="E582" s="10"/>
      <c r="F582" s="10"/>
      <c r="G582" s="10"/>
      <c r="H582" s="10"/>
      <c r="I582" s="10"/>
      <c r="J582" s="10"/>
    </row>
    <row r="583" spans="1:10" ht="14.25" customHeight="1" x14ac:dyDescent="0.35">
      <c r="A583" s="10"/>
      <c r="B583" s="10"/>
      <c r="C583" s="10"/>
      <c r="D583" s="10"/>
      <c r="E583" s="10"/>
      <c r="F583" s="10"/>
      <c r="G583" s="10"/>
      <c r="H583" s="10"/>
      <c r="I583" s="10"/>
      <c r="J583" s="10"/>
    </row>
    <row r="584" spans="1:10" ht="14.25" customHeight="1" x14ac:dyDescent="0.35">
      <c r="A584" s="10"/>
      <c r="B584" s="10"/>
      <c r="C584" s="10"/>
      <c r="D584" s="10"/>
      <c r="E584" s="10"/>
      <c r="F584" s="10"/>
      <c r="G584" s="10"/>
      <c r="H584" s="10"/>
      <c r="I584" s="10"/>
      <c r="J584" s="10"/>
    </row>
    <row r="585" spans="1:10" ht="14.25" customHeight="1" x14ac:dyDescent="0.35">
      <c r="A585" s="10"/>
      <c r="B585" s="10"/>
      <c r="C585" s="10"/>
      <c r="D585" s="10"/>
      <c r="E585" s="10"/>
      <c r="F585" s="10"/>
      <c r="G585" s="10"/>
      <c r="H585" s="10"/>
      <c r="I585" s="10"/>
      <c r="J585" s="10"/>
    </row>
    <row r="586" spans="1:10" ht="14.25" customHeight="1" x14ac:dyDescent="0.35">
      <c r="A586" s="10"/>
      <c r="B586" s="10"/>
      <c r="C586" s="10"/>
      <c r="D586" s="10"/>
      <c r="E586" s="10"/>
      <c r="F586" s="10"/>
      <c r="G586" s="10"/>
      <c r="H586" s="10"/>
      <c r="I586" s="10"/>
      <c r="J586" s="10"/>
    </row>
    <row r="587" spans="1:10" ht="14.25" customHeight="1" x14ac:dyDescent="0.35">
      <c r="A587" s="10"/>
      <c r="B587" s="10"/>
      <c r="C587" s="10"/>
      <c r="D587" s="10"/>
      <c r="E587" s="10"/>
      <c r="F587" s="10"/>
      <c r="G587" s="10"/>
      <c r="H587" s="10"/>
      <c r="I587" s="10"/>
      <c r="J587" s="10"/>
    </row>
    <row r="588" spans="1:10" ht="14.25" customHeight="1" x14ac:dyDescent="0.35">
      <c r="A588" s="10"/>
      <c r="B588" s="10"/>
      <c r="C588" s="10"/>
      <c r="D588" s="10"/>
      <c r="E588" s="10"/>
      <c r="F588" s="10"/>
      <c r="G588" s="10"/>
      <c r="H588" s="10"/>
      <c r="I588" s="10"/>
      <c r="J588" s="10"/>
    </row>
    <row r="589" spans="1:10" ht="14.25" customHeight="1" x14ac:dyDescent="0.35">
      <c r="A589" s="10"/>
      <c r="B589" s="10"/>
      <c r="C589" s="10"/>
      <c r="D589" s="10"/>
      <c r="E589" s="10"/>
      <c r="F589" s="10"/>
      <c r="G589" s="10"/>
      <c r="H589" s="10"/>
      <c r="I589" s="10"/>
      <c r="J589" s="10"/>
    </row>
    <row r="590" spans="1:10" ht="14.25" customHeight="1" x14ac:dyDescent="0.35">
      <c r="A590" s="10"/>
      <c r="B590" s="10"/>
      <c r="C590" s="10"/>
      <c r="D590" s="10"/>
      <c r="E590" s="10"/>
      <c r="F590" s="10"/>
      <c r="G590" s="10"/>
      <c r="H590" s="10"/>
      <c r="I590" s="10"/>
      <c r="J590" s="10"/>
    </row>
    <row r="591" spans="1:10" ht="14.25" customHeight="1" x14ac:dyDescent="0.35">
      <c r="A591" s="10"/>
      <c r="B591" s="10"/>
      <c r="C591" s="10"/>
      <c r="D591" s="10"/>
      <c r="E591" s="10"/>
      <c r="F591" s="10"/>
      <c r="G591" s="10"/>
      <c r="H591" s="10"/>
      <c r="I591" s="10"/>
      <c r="J591" s="10"/>
    </row>
    <row r="592" spans="1:10" ht="14.25" customHeight="1" x14ac:dyDescent="0.35">
      <c r="A592" s="10"/>
      <c r="B592" s="10"/>
      <c r="C592" s="10"/>
      <c r="D592" s="10"/>
      <c r="E592" s="10"/>
      <c r="F592" s="10"/>
      <c r="G592" s="10"/>
      <c r="H592" s="10"/>
      <c r="I592" s="10"/>
      <c r="J592" s="10"/>
    </row>
    <row r="593" spans="1:10" ht="14.25" customHeight="1" x14ac:dyDescent="0.35">
      <c r="A593" s="10"/>
      <c r="B593" s="10"/>
      <c r="C593" s="10"/>
      <c r="D593" s="10"/>
      <c r="E593" s="10"/>
      <c r="F593" s="10"/>
      <c r="G593" s="10"/>
      <c r="H593" s="10"/>
      <c r="I593" s="10"/>
      <c r="J593" s="10"/>
    </row>
    <row r="594" spans="1:10" ht="14.25" customHeight="1" x14ac:dyDescent="0.35">
      <c r="A594" s="10"/>
      <c r="B594" s="10"/>
      <c r="C594" s="10"/>
      <c r="D594" s="10"/>
      <c r="E594" s="10"/>
      <c r="F594" s="10"/>
      <c r="G594" s="10"/>
      <c r="H594" s="10"/>
      <c r="I594" s="10"/>
      <c r="J594" s="10"/>
    </row>
    <row r="595" spans="1:10" ht="14.25" customHeight="1" x14ac:dyDescent="0.35">
      <c r="A595" s="10"/>
      <c r="B595" s="10"/>
      <c r="C595" s="10"/>
      <c r="D595" s="10"/>
      <c r="E595" s="10"/>
      <c r="F595" s="10"/>
      <c r="G595" s="10"/>
      <c r="H595" s="10"/>
      <c r="I595" s="10"/>
      <c r="J595" s="10"/>
    </row>
    <row r="596" spans="1:10" ht="14.25" customHeight="1" x14ac:dyDescent="0.35">
      <c r="A596" s="10"/>
      <c r="B596" s="10"/>
      <c r="C596" s="10"/>
      <c r="D596" s="10"/>
      <c r="E596" s="10"/>
      <c r="F596" s="10"/>
      <c r="G596" s="10"/>
      <c r="H596" s="10"/>
      <c r="I596" s="10"/>
      <c r="J596" s="10"/>
    </row>
    <row r="597" spans="1:10" ht="14.25" customHeight="1" x14ac:dyDescent="0.35">
      <c r="A597" s="10"/>
      <c r="B597" s="10"/>
      <c r="C597" s="10"/>
      <c r="D597" s="10"/>
      <c r="E597" s="10"/>
      <c r="F597" s="10"/>
      <c r="G597" s="10"/>
      <c r="H597" s="10"/>
      <c r="I597" s="10"/>
      <c r="J597" s="10"/>
    </row>
    <row r="598" spans="1:10" ht="14.25" customHeight="1" x14ac:dyDescent="0.35">
      <c r="A598" s="10"/>
      <c r="B598" s="10"/>
      <c r="C598" s="10"/>
      <c r="D598" s="10"/>
      <c r="E598" s="10"/>
      <c r="F598" s="10"/>
      <c r="G598" s="10"/>
      <c r="H598" s="10"/>
      <c r="I598" s="10"/>
      <c r="J598" s="10"/>
    </row>
    <row r="599" spans="1:10" ht="14.25" customHeight="1" x14ac:dyDescent="0.35">
      <c r="A599" s="10"/>
      <c r="B599" s="10"/>
      <c r="C599" s="10"/>
      <c r="D599" s="10"/>
      <c r="E599" s="10"/>
      <c r="F599" s="10"/>
      <c r="G599" s="10"/>
      <c r="H599" s="10"/>
      <c r="I599" s="10"/>
      <c r="J599" s="10"/>
    </row>
    <row r="600" spans="1:10" ht="14.25" customHeight="1" x14ac:dyDescent="0.35">
      <c r="A600" s="10"/>
      <c r="B600" s="10"/>
      <c r="C600" s="10"/>
      <c r="D600" s="10"/>
      <c r="E600" s="10"/>
      <c r="F600" s="10"/>
      <c r="G600" s="10"/>
      <c r="H600" s="10"/>
      <c r="I600" s="10"/>
      <c r="J600" s="10"/>
    </row>
    <row r="601" spans="1:10" ht="14.25" customHeight="1" x14ac:dyDescent="0.35">
      <c r="A601" s="10"/>
      <c r="B601" s="10"/>
      <c r="C601" s="10"/>
      <c r="D601" s="10"/>
      <c r="E601" s="10"/>
      <c r="F601" s="10"/>
      <c r="G601" s="10"/>
      <c r="H601" s="10"/>
      <c r="I601" s="10"/>
      <c r="J601" s="10"/>
    </row>
    <row r="602" spans="1:10" ht="14.25" customHeight="1" x14ac:dyDescent="0.35">
      <c r="A602" s="10"/>
      <c r="B602" s="10"/>
      <c r="C602" s="10"/>
      <c r="D602" s="10"/>
      <c r="E602" s="10"/>
      <c r="F602" s="10"/>
      <c r="G602" s="10"/>
      <c r="H602" s="10"/>
      <c r="I602" s="10"/>
      <c r="J602" s="10"/>
    </row>
    <row r="603" spans="1:10" ht="14.25" customHeight="1" x14ac:dyDescent="0.35">
      <c r="A603" s="10"/>
      <c r="B603" s="10"/>
      <c r="C603" s="10"/>
      <c r="D603" s="10"/>
      <c r="E603" s="10"/>
      <c r="F603" s="10"/>
      <c r="G603" s="10"/>
      <c r="H603" s="10"/>
      <c r="I603" s="10"/>
      <c r="J603" s="10"/>
    </row>
    <row r="604" spans="1:10" ht="14.25" customHeight="1" x14ac:dyDescent="0.35">
      <c r="A604" s="10"/>
      <c r="B604" s="10"/>
      <c r="C604" s="10"/>
      <c r="D604" s="10"/>
      <c r="E604" s="10"/>
      <c r="F604" s="10"/>
      <c r="G604" s="10"/>
      <c r="H604" s="10"/>
      <c r="I604" s="10"/>
      <c r="J604" s="10"/>
    </row>
    <row r="605" spans="1:10" ht="14.25" customHeight="1" x14ac:dyDescent="0.35">
      <c r="A605" s="10"/>
      <c r="B605" s="10"/>
      <c r="C605" s="10"/>
      <c r="D605" s="10"/>
      <c r="E605" s="10"/>
      <c r="F605" s="10"/>
      <c r="G605" s="10"/>
      <c r="H605" s="10"/>
      <c r="I605" s="10"/>
      <c r="J605" s="10"/>
    </row>
    <row r="606" spans="1:10" ht="14.25" customHeight="1" x14ac:dyDescent="0.35">
      <c r="A606" s="10"/>
      <c r="B606" s="10"/>
      <c r="C606" s="10"/>
      <c r="D606" s="10"/>
      <c r="E606" s="10"/>
      <c r="F606" s="10"/>
      <c r="G606" s="10"/>
      <c r="H606" s="10"/>
      <c r="I606" s="10"/>
      <c r="J606" s="10"/>
    </row>
    <row r="607" spans="1:10" ht="14.25" customHeight="1" x14ac:dyDescent="0.35">
      <c r="A607" s="10"/>
      <c r="B607" s="10"/>
      <c r="C607" s="10"/>
      <c r="D607" s="10"/>
      <c r="E607" s="10"/>
      <c r="F607" s="10"/>
      <c r="G607" s="10"/>
      <c r="H607" s="10"/>
      <c r="I607" s="10"/>
      <c r="J607" s="10"/>
    </row>
    <row r="608" spans="1:10" ht="14.25" customHeight="1" x14ac:dyDescent="0.35">
      <c r="A608" s="10"/>
      <c r="B608" s="10"/>
      <c r="C608" s="10"/>
      <c r="D608" s="10"/>
      <c r="E608" s="10"/>
      <c r="F608" s="10"/>
      <c r="G608" s="10"/>
      <c r="H608" s="10"/>
      <c r="I608" s="10"/>
      <c r="J608" s="10"/>
    </row>
    <row r="609" spans="1:10" ht="14.25" customHeight="1" x14ac:dyDescent="0.35">
      <c r="A609" s="10"/>
      <c r="B609" s="10"/>
      <c r="C609" s="10"/>
      <c r="D609" s="10"/>
      <c r="E609" s="10"/>
      <c r="F609" s="10"/>
      <c r="G609" s="10"/>
      <c r="H609" s="10"/>
      <c r="I609" s="10"/>
      <c r="J609" s="10"/>
    </row>
    <row r="610" spans="1:10" ht="14.25" customHeight="1" x14ac:dyDescent="0.35">
      <c r="A610" s="10"/>
      <c r="B610" s="10"/>
      <c r="C610" s="10"/>
      <c r="D610" s="10"/>
      <c r="E610" s="10"/>
      <c r="F610" s="10"/>
      <c r="G610" s="10"/>
      <c r="H610" s="10"/>
      <c r="I610" s="10"/>
      <c r="J610" s="10"/>
    </row>
    <row r="611" spans="1:10" ht="14.25" customHeight="1" x14ac:dyDescent="0.35">
      <c r="A611" s="10"/>
      <c r="B611" s="10"/>
      <c r="C611" s="10"/>
      <c r="D611" s="10"/>
      <c r="E611" s="10"/>
      <c r="F611" s="10"/>
      <c r="G611" s="10"/>
      <c r="H611" s="10"/>
      <c r="I611" s="10"/>
      <c r="J611" s="10"/>
    </row>
    <row r="612" spans="1:10" ht="14.25" customHeight="1" x14ac:dyDescent="0.35">
      <c r="A612" s="10"/>
      <c r="B612" s="10"/>
      <c r="C612" s="10"/>
      <c r="D612" s="10"/>
      <c r="E612" s="10"/>
      <c r="F612" s="10"/>
      <c r="G612" s="10"/>
      <c r="H612" s="10"/>
      <c r="I612" s="10"/>
      <c r="J612" s="10"/>
    </row>
    <row r="613" spans="1:10" ht="14.25" customHeight="1" x14ac:dyDescent="0.35">
      <c r="A613" s="10"/>
      <c r="B613" s="10"/>
      <c r="C613" s="10"/>
      <c r="D613" s="10"/>
      <c r="E613" s="10"/>
      <c r="F613" s="10"/>
      <c r="G613" s="10"/>
      <c r="H613" s="10"/>
      <c r="I613" s="10"/>
      <c r="J613" s="10"/>
    </row>
    <row r="614" spans="1:10" ht="14.25" customHeight="1" x14ac:dyDescent="0.35">
      <c r="A614" s="10"/>
      <c r="B614" s="10"/>
      <c r="C614" s="10"/>
      <c r="D614" s="10"/>
      <c r="E614" s="10"/>
      <c r="F614" s="10"/>
      <c r="G614" s="10"/>
      <c r="H614" s="10"/>
      <c r="I614" s="10"/>
      <c r="J614" s="10"/>
    </row>
    <row r="615" spans="1:10" ht="14.25" customHeight="1" x14ac:dyDescent="0.35">
      <c r="A615" s="10"/>
      <c r="B615" s="10"/>
      <c r="C615" s="10"/>
      <c r="D615" s="10"/>
      <c r="E615" s="10"/>
      <c r="F615" s="10"/>
      <c r="G615" s="10"/>
      <c r="H615" s="10"/>
      <c r="I615" s="10"/>
      <c r="J615" s="10"/>
    </row>
    <row r="616" spans="1:10" ht="14.25" customHeight="1" x14ac:dyDescent="0.35">
      <c r="A616" s="10"/>
      <c r="B616" s="10"/>
      <c r="C616" s="10"/>
      <c r="D616" s="10"/>
      <c r="E616" s="10"/>
      <c r="F616" s="10"/>
      <c r="G616" s="10"/>
      <c r="H616" s="10"/>
      <c r="I616" s="10"/>
      <c r="J616" s="10"/>
    </row>
    <row r="617" spans="1:10" ht="14.25" customHeight="1" x14ac:dyDescent="0.35">
      <c r="A617" s="10"/>
      <c r="B617" s="10"/>
      <c r="C617" s="10"/>
      <c r="D617" s="10"/>
      <c r="E617" s="10"/>
      <c r="F617" s="10"/>
      <c r="G617" s="10"/>
      <c r="H617" s="10"/>
      <c r="I617" s="10"/>
      <c r="J617" s="10"/>
    </row>
    <row r="618" spans="1:10" ht="14.25" customHeight="1" x14ac:dyDescent="0.35">
      <c r="A618" s="10"/>
      <c r="B618" s="10"/>
      <c r="C618" s="10"/>
      <c r="D618" s="10"/>
      <c r="E618" s="10"/>
      <c r="F618" s="10"/>
      <c r="G618" s="10"/>
      <c r="H618" s="10"/>
      <c r="I618" s="10"/>
      <c r="J618" s="10"/>
    </row>
    <row r="619" spans="1:10" ht="14.25" customHeight="1" x14ac:dyDescent="0.35">
      <c r="A619" s="10"/>
      <c r="B619" s="10"/>
      <c r="C619" s="10"/>
      <c r="D619" s="10"/>
      <c r="E619" s="10"/>
      <c r="F619" s="10"/>
      <c r="G619" s="10"/>
      <c r="H619" s="10"/>
      <c r="I619" s="10"/>
      <c r="J619" s="10"/>
    </row>
    <row r="620" spans="1:10" ht="14.25" customHeight="1" x14ac:dyDescent="0.35">
      <c r="A620" s="10"/>
      <c r="B620" s="10"/>
      <c r="C620" s="10"/>
      <c r="D620" s="10"/>
      <c r="E620" s="10"/>
      <c r="F620" s="10"/>
      <c r="G620" s="10"/>
      <c r="H620" s="10"/>
      <c r="I620" s="10"/>
      <c r="J620" s="10"/>
    </row>
    <row r="621" spans="1:10" ht="14.25" customHeight="1" x14ac:dyDescent="0.35">
      <c r="A621" s="10"/>
      <c r="B621" s="10"/>
      <c r="C621" s="10"/>
      <c r="D621" s="10"/>
      <c r="E621" s="10"/>
      <c r="F621" s="10"/>
      <c r="G621" s="10"/>
      <c r="H621" s="10"/>
      <c r="I621" s="10"/>
      <c r="J621" s="10"/>
    </row>
    <row r="622" spans="1:10" ht="14.25" customHeight="1" x14ac:dyDescent="0.35">
      <c r="A622" s="10"/>
      <c r="B622" s="10"/>
      <c r="C622" s="10"/>
      <c r="D622" s="10"/>
      <c r="E622" s="10"/>
      <c r="F622" s="10"/>
      <c r="G622" s="10"/>
      <c r="H622" s="10"/>
      <c r="I622" s="10"/>
      <c r="J622" s="10"/>
    </row>
    <row r="623" spans="1:10" ht="14.25" customHeight="1" x14ac:dyDescent="0.35">
      <c r="A623" s="10"/>
      <c r="B623" s="10"/>
      <c r="C623" s="10"/>
      <c r="D623" s="10"/>
      <c r="E623" s="10"/>
      <c r="F623" s="10"/>
      <c r="G623" s="10"/>
      <c r="H623" s="10"/>
      <c r="I623" s="10"/>
      <c r="J623" s="10"/>
    </row>
    <row r="624" spans="1:10" ht="14.25" customHeight="1" x14ac:dyDescent="0.35">
      <c r="A624" s="10"/>
      <c r="B624" s="10"/>
      <c r="C624" s="10"/>
      <c r="D624" s="10"/>
      <c r="E624" s="10"/>
      <c r="F624" s="10"/>
      <c r="G624" s="10"/>
      <c r="H624" s="10"/>
      <c r="I624" s="10"/>
      <c r="J624" s="10"/>
    </row>
    <row r="625" spans="1:10" ht="14.25" customHeight="1" x14ac:dyDescent="0.35">
      <c r="A625" s="10"/>
      <c r="B625" s="10"/>
      <c r="C625" s="10"/>
      <c r="D625" s="10"/>
      <c r="E625" s="10"/>
      <c r="F625" s="10"/>
      <c r="G625" s="10"/>
      <c r="H625" s="10"/>
      <c r="I625" s="10"/>
      <c r="J625" s="10"/>
    </row>
    <row r="626" spans="1:10" ht="14.25" customHeight="1" x14ac:dyDescent="0.35">
      <c r="A626" s="10"/>
      <c r="B626" s="10"/>
      <c r="C626" s="10"/>
      <c r="D626" s="10"/>
      <c r="E626" s="10"/>
      <c r="F626" s="10"/>
      <c r="G626" s="10"/>
      <c r="H626" s="10"/>
      <c r="I626" s="10"/>
      <c r="J626" s="10"/>
    </row>
    <row r="627" spans="1:10" ht="14.25" customHeight="1" x14ac:dyDescent="0.35">
      <c r="A627" s="10"/>
      <c r="B627" s="10"/>
      <c r="C627" s="10"/>
      <c r="D627" s="10"/>
      <c r="E627" s="10"/>
      <c r="F627" s="10"/>
      <c r="G627" s="10"/>
      <c r="H627" s="10"/>
      <c r="I627" s="10"/>
      <c r="J627" s="10"/>
    </row>
    <row r="628" spans="1:10" ht="14.25" customHeight="1" x14ac:dyDescent="0.35">
      <c r="A628" s="10"/>
      <c r="B628" s="10"/>
      <c r="C628" s="10"/>
      <c r="D628" s="10"/>
      <c r="E628" s="10"/>
      <c r="F628" s="10"/>
      <c r="G628" s="10"/>
      <c r="H628" s="10"/>
      <c r="I628" s="10"/>
      <c r="J628" s="10"/>
    </row>
    <row r="629" spans="1:10" ht="14.25" customHeight="1" x14ac:dyDescent="0.35">
      <c r="A629" s="10"/>
      <c r="B629" s="10"/>
      <c r="C629" s="10"/>
      <c r="D629" s="10"/>
      <c r="E629" s="10"/>
      <c r="F629" s="10"/>
      <c r="G629" s="10"/>
      <c r="H629" s="10"/>
      <c r="I629" s="10"/>
      <c r="J629" s="10"/>
    </row>
    <row r="630" spans="1:10" ht="14.25" customHeight="1" x14ac:dyDescent="0.35">
      <c r="A630" s="10"/>
      <c r="B630" s="10"/>
      <c r="C630" s="10"/>
      <c r="D630" s="10"/>
      <c r="E630" s="10"/>
      <c r="F630" s="10"/>
      <c r="G630" s="10"/>
      <c r="H630" s="10"/>
      <c r="I630" s="10"/>
      <c r="J630" s="10"/>
    </row>
    <row r="631" spans="1:10" ht="14.25" customHeight="1" x14ac:dyDescent="0.35">
      <c r="A631" s="10"/>
      <c r="B631" s="10"/>
      <c r="C631" s="10"/>
      <c r="D631" s="10"/>
      <c r="E631" s="10"/>
      <c r="F631" s="10"/>
      <c r="G631" s="10"/>
      <c r="H631" s="10"/>
      <c r="I631" s="10"/>
      <c r="J631" s="10"/>
    </row>
    <row r="632" spans="1:10" ht="14.25" customHeight="1" x14ac:dyDescent="0.35">
      <c r="A632" s="10"/>
      <c r="B632" s="10"/>
      <c r="C632" s="10"/>
      <c r="D632" s="10"/>
      <c r="E632" s="10"/>
      <c r="F632" s="10"/>
      <c r="G632" s="10"/>
      <c r="H632" s="10"/>
      <c r="I632" s="10"/>
      <c r="J632" s="10"/>
    </row>
    <row r="633" spans="1:10" ht="14.25" customHeight="1" x14ac:dyDescent="0.35">
      <c r="A633" s="10"/>
      <c r="B633" s="10"/>
      <c r="C633" s="10"/>
      <c r="D633" s="10"/>
      <c r="E633" s="10"/>
      <c r="F633" s="10"/>
      <c r="G633" s="10"/>
      <c r="H633" s="10"/>
      <c r="I633" s="10"/>
      <c r="J633" s="10"/>
    </row>
    <row r="634" spans="1:10" ht="14.25" customHeight="1" x14ac:dyDescent="0.35">
      <c r="A634" s="10"/>
      <c r="B634" s="10"/>
      <c r="C634" s="10"/>
      <c r="D634" s="10"/>
      <c r="E634" s="10"/>
      <c r="F634" s="10"/>
      <c r="G634" s="10"/>
      <c r="H634" s="10"/>
      <c r="I634" s="10"/>
      <c r="J634" s="10"/>
    </row>
    <row r="635" spans="1:10" ht="14.25" customHeight="1" x14ac:dyDescent="0.35">
      <c r="A635" s="10"/>
      <c r="B635" s="10"/>
      <c r="C635" s="10"/>
      <c r="D635" s="10"/>
      <c r="E635" s="10"/>
      <c r="F635" s="10"/>
      <c r="G635" s="10"/>
      <c r="H635" s="10"/>
      <c r="I635" s="10"/>
      <c r="J635" s="10"/>
    </row>
    <row r="636" spans="1:10" ht="14.25" customHeight="1" x14ac:dyDescent="0.35">
      <c r="A636" s="10"/>
      <c r="B636" s="10"/>
      <c r="C636" s="10"/>
      <c r="D636" s="10"/>
      <c r="E636" s="10"/>
      <c r="F636" s="10"/>
      <c r="G636" s="10"/>
      <c r="H636" s="10"/>
      <c r="I636" s="10"/>
      <c r="J636" s="10"/>
    </row>
    <row r="637" spans="1:10" ht="14.25" customHeight="1" x14ac:dyDescent="0.35">
      <c r="A637" s="10"/>
      <c r="B637" s="10"/>
      <c r="C637" s="10"/>
      <c r="D637" s="10"/>
      <c r="E637" s="10"/>
      <c r="F637" s="10"/>
      <c r="G637" s="10"/>
      <c r="H637" s="10"/>
      <c r="I637" s="10"/>
      <c r="J637" s="10"/>
    </row>
    <row r="638" spans="1:10" ht="14.25" customHeight="1" x14ac:dyDescent="0.35">
      <c r="A638" s="10"/>
      <c r="B638" s="10"/>
      <c r="C638" s="10"/>
      <c r="D638" s="10"/>
      <c r="E638" s="10"/>
      <c r="F638" s="10"/>
      <c r="G638" s="10"/>
      <c r="H638" s="10"/>
      <c r="I638" s="10"/>
      <c r="J638" s="10"/>
    </row>
    <row r="639" spans="1:10" ht="14.25" customHeight="1" x14ac:dyDescent="0.35">
      <c r="A639" s="10"/>
      <c r="B639" s="10"/>
      <c r="C639" s="10"/>
      <c r="D639" s="10"/>
      <c r="E639" s="10"/>
      <c r="F639" s="10"/>
      <c r="G639" s="10"/>
      <c r="H639" s="10"/>
      <c r="I639" s="10"/>
      <c r="J639" s="10"/>
    </row>
    <row r="640" spans="1:10" ht="14.25" customHeight="1" x14ac:dyDescent="0.35">
      <c r="A640" s="10"/>
      <c r="B640" s="10"/>
      <c r="C640" s="10"/>
      <c r="D640" s="10"/>
      <c r="E640" s="10"/>
      <c r="F640" s="10"/>
      <c r="G640" s="10"/>
      <c r="H640" s="10"/>
      <c r="I640" s="10"/>
      <c r="J640" s="10"/>
    </row>
    <row r="641" spans="1:10" ht="14.25" customHeight="1" x14ac:dyDescent="0.35">
      <c r="A641" s="10"/>
      <c r="B641" s="10"/>
      <c r="C641" s="10"/>
      <c r="D641" s="10"/>
      <c r="E641" s="10"/>
      <c r="F641" s="10"/>
      <c r="G641" s="10"/>
      <c r="H641" s="10"/>
      <c r="I641" s="10"/>
      <c r="J641" s="10"/>
    </row>
    <row r="642" spans="1:10" ht="14.25" customHeight="1" x14ac:dyDescent="0.35">
      <c r="A642" s="10"/>
      <c r="B642" s="10"/>
      <c r="C642" s="10"/>
      <c r="D642" s="10"/>
      <c r="E642" s="10"/>
      <c r="F642" s="10"/>
      <c r="G642" s="10"/>
      <c r="H642" s="10"/>
      <c r="I642" s="10"/>
      <c r="J642" s="10"/>
    </row>
    <row r="643" spans="1:10" ht="14.25" customHeight="1" x14ac:dyDescent="0.35">
      <c r="A643" s="10"/>
      <c r="B643" s="10"/>
      <c r="C643" s="10"/>
      <c r="D643" s="10"/>
      <c r="E643" s="10"/>
      <c r="F643" s="10"/>
      <c r="G643" s="10"/>
      <c r="H643" s="10"/>
      <c r="I643" s="10"/>
      <c r="J643" s="10"/>
    </row>
    <row r="644" spans="1:10" ht="14.25" customHeight="1" x14ac:dyDescent="0.35">
      <c r="A644" s="10"/>
      <c r="B644" s="10"/>
      <c r="C644" s="10"/>
      <c r="D644" s="10"/>
      <c r="E644" s="10"/>
      <c r="F644" s="10"/>
      <c r="G644" s="10"/>
      <c r="H644" s="10"/>
      <c r="I644" s="10"/>
      <c r="J644" s="10"/>
    </row>
    <row r="645" spans="1:10" ht="14.25" customHeight="1" x14ac:dyDescent="0.35">
      <c r="A645" s="10"/>
      <c r="B645" s="10"/>
      <c r="C645" s="10"/>
      <c r="D645" s="10"/>
      <c r="E645" s="10"/>
      <c r="F645" s="10"/>
      <c r="G645" s="10"/>
      <c r="H645" s="10"/>
      <c r="I645" s="10"/>
      <c r="J645" s="10"/>
    </row>
    <row r="646" spans="1:10" ht="14.25" customHeight="1" x14ac:dyDescent="0.35">
      <c r="A646" s="10"/>
      <c r="B646" s="10"/>
      <c r="C646" s="10"/>
      <c r="D646" s="10"/>
      <c r="E646" s="10"/>
      <c r="F646" s="10"/>
      <c r="G646" s="10"/>
      <c r="H646" s="10"/>
      <c r="I646" s="10"/>
      <c r="J646" s="10"/>
    </row>
    <row r="647" spans="1:10" ht="14.25" customHeight="1" x14ac:dyDescent="0.35">
      <c r="A647" s="10"/>
      <c r="B647" s="10"/>
      <c r="C647" s="10"/>
      <c r="D647" s="10"/>
      <c r="E647" s="10"/>
      <c r="F647" s="10"/>
      <c r="G647" s="10"/>
      <c r="H647" s="10"/>
      <c r="I647" s="10"/>
      <c r="J647" s="10"/>
    </row>
    <row r="648" spans="1:10" ht="14.25" customHeight="1" x14ac:dyDescent="0.35">
      <c r="A648" s="10"/>
      <c r="B648" s="10"/>
      <c r="C648" s="10"/>
      <c r="D648" s="10"/>
      <c r="E648" s="10"/>
      <c r="F648" s="10"/>
      <c r="G648" s="10"/>
      <c r="H648" s="10"/>
      <c r="I648" s="10"/>
      <c r="J648" s="10"/>
    </row>
    <row r="649" spans="1:10" ht="14.25" customHeight="1" x14ac:dyDescent="0.35">
      <c r="A649" s="10"/>
      <c r="B649" s="10"/>
      <c r="C649" s="10"/>
      <c r="D649" s="10"/>
      <c r="E649" s="10"/>
      <c r="F649" s="10"/>
      <c r="G649" s="10"/>
      <c r="H649" s="10"/>
      <c r="I649" s="10"/>
      <c r="J649" s="10"/>
    </row>
    <row r="650" spans="1:10" ht="14.25" customHeight="1" x14ac:dyDescent="0.35">
      <c r="A650" s="10"/>
      <c r="B650" s="10"/>
      <c r="C650" s="10"/>
      <c r="D650" s="10"/>
      <c r="E650" s="10"/>
      <c r="F650" s="10"/>
      <c r="G650" s="10"/>
      <c r="H650" s="10"/>
      <c r="I650" s="10"/>
      <c r="J650" s="10"/>
    </row>
    <row r="651" spans="1:10" ht="14.25" customHeight="1" x14ac:dyDescent="0.35">
      <c r="A651" s="10"/>
      <c r="B651" s="10"/>
      <c r="C651" s="10"/>
      <c r="D651" s="10"/>
      <c r="E651" s="10"/>
      <c r="F651" s="10"/>
      <c r="G651" s="10"/>
      <c r="H651" s="10"/>
      <c r="I651" s="10"/>
      <c r="J651" s="10"/>
    </row>
    <row r="652" spans="1:10" ht="14.25" customHeight="1" x14ac:dyDescent="0.35">
      <c r="A652" s="10"/>
      <c r="B652" s="10"/>
      <c r="C652" s="10"/>
      <c r="D652" s="10"/>
      <c r="E652" s="10"/>
      <c r="F652" s="10"/>
      <c r="G652" s="10"/>
      <c r="H652" s="10"/>
      <c r="I652" s="10"/>
      <c r="J652" s="10"/>
    </row>
    <row r="653" spans="1:10" ht="14.25" customHeight="1" x14ac:dyDescent="0.35">
      <c r="A653" s="10"/>
      <c r="B653" s="10"/>
      <c r="C653" s="10"/>
      <c r="D653" s="10"/>
      <c r="E653" s="10"/>
      <c r="F653" s="10"/>
      <c r="G653" s="10"/>
      <c r="H653" s="10"/>
      <c r="I653" s="10"/>
      <c r="J653" s="10"/>
    </row>
    <row r="654" spans="1:10" ht="14.25" customHeight="1" x14ac:dyDescent="0.35">
      <c r="A654" s="10"/>
      <c r="B654" s="10"/>
      <c r="C654" s="10"/>
      <c r="D654" s="10"/>
      <c r="E654" s="10"/>
      <c r="F654" s="10"/>
      <c r="G654" s="10"/>
      <c r="H654" s="10"/>
      <c r="I654" s="10"/>
      <c r="J654" s="10"/>
    </row>
    <row r="655" spans="1:10" ht="14.25" customHeight="1" x14ac:dyDescent="0.35">
      <c r="A655" s="10"/>
      <c r="B655" s="10"/>
      <c r="C655" s="10"/>
      <c r="D655" s="10"/>
      <c r="E655" s="10"/>
      <c r="F655" s="10"/>
      <c r="G655" s="10"/>
      <c r="H655" s="10"/>
      <c r="I655" s="10"/>
      <c r="J655" s="10"/>
    </row>
    <row r="656" spans="1:10" ht="14.25" customHeight="1" x14ac:dyDescent="0.35">
      <c r="A656" s="10"/>
      <c r="B656" s="10"/>
      <c r="C656" s="10"/>
      <c r="D656" s="10"/>
      <c r="E656" s="10"/>
      <c r="F656" s="10"/>
      <c r="G656" s="10"/>
      <c r="H656" s="10"/>
      <c r="I656" s="10"/>
      <c r="J656" s="10"/>
    </row>
    <row r="657" spans="1:10" ht="14.25" customHeight="1" x14ac:dyDescent="0.35">
      <c r="A657" s="10"/>
      <c r="B657" s="10"/>
      <c r="C657" s="10"/>
      <c r="D657" s="10"/>
      <c r="E657" s="10"/>
      <c r="F657" s="10"/>
      <c r="G657" s="10"/>
      <c r="H657" s="10"/>
      <c r="I657" s="10"/>
      <c r="J657" s="10"/>
    </row>
    <row r="658" spans="1:10" ht="14.25" customHeight="1" x14ac:dyDescent="0.35">
      <c r="A658" s="10"/>
      <c r="B658" s="10"/>
      <c r="C658" s="10"/>
      <c r="D658" s="10"/>
      <c r="E658" s="10"/>
      <c r="F658" s="10"/>
      <c r="G658" s="10"/>
      <c r="H658" s="10"/>
      <c r="I658" s="10"/>
      <c r="J658" s="10"/>
    </row>
    <row r="659" spans="1:10" ht="14.25" customHeight="1" x14ac:dyDescent="0.35">
      <c r="A659" s="10"/>
      <c r="B659" s="10"/>
      <c r="C659" s="10"/>
      <c r="D659" s="10"/>
      <c r="E659" s="10"/>
      <c r="F659" s="10"/>
      <c r="G659" s="10"/>
      <c r="H659" s="10"/>
      <c r="I659" s="10"/>
      <c r="J659" s="10"/>
    </row>
    <row r="660" spans="1:10" ht="14.25" customHeight="1" x14ac:dyDescent="0.35">
      <c r="A660" s="10"/>
      <c r="B660" s="10"/>
      <c r="C660" s="10"/>
      <c r="D660" s="10"/>
      <c r="E660" s="10"/>
      <c r="F660" s="10"/>
      <c r="G660" s="10"/>
      <c r="H660" s="10"/>
      <c r="I660" s="10"/>
      <c r="J660" s="10"/>
    </row>
    <row r="661" spans="1:10" ht="14.25" customHeight="1" x14ac:dyDescent="0.35">
      <c r="A661" s="10"/>
      <c r="B661" s="10"/>
      <c r="C661" s="10"/>
      <c r="D661" s="10"/>
      <c r="E661" s="10"/>
      <c r="F661" s="10"/>
      <c r="G661" s="10"/>
      <c r="H661" s="10"/>
      <c r="I661" s="10"/>
      <c r="J661" s="10"/>
    </row>
    <row r="662" spans="1:10" ht="14.25" customHeight="1" x14ac:dyDescent="0.35">
      <c r="A662" s="10"/>
      <c r="B662" s="10"/>
      <c r="C662" s="10"/>
      <c r="D662" s="10"/>
      <c r="E662" s="10"/>
      <c r="F662" s="10"/>
      <c r="G662" s="10"/>
      <c r="H662" s="10"/>
      <c r="I662" s="10"/>
      <c r="J662" s="10"/>
    </row>
    <row r="663" spans="1:10" ht="14.25" customHeight="1" x14ac:dyDescent="0.35">
      <c r="A663" s="10"/>
      <c r="B663" s="10"/>
      <c r="C663" s="10"/>
      <c r="D663" s="10"/>
      <c r="E663" s="10"/>
      <c r="F663" s="10"/>
      <c r="G663" s="10"/>
      <c r="H663" s="10"/>
      <c r="I663" s="10"/>
      <c r="J663" s="10"/>
    </row>
    <row r="664" spans="1:10" ht="14.25" customHeight="1" x14ac:dyDescent="0.35">
      <c r="A664" s="10"/>
      <c r="B664" s="10"/>
      <c r="C664" s="10"/>
      <c r="D664" s="10"/>
      <c r="E664" s="10"/>
      <c r="F664" s="10"/>
      <c r="G664" s="10"/>
      <c r="H664" s="10"/>
      <c r="I664" s="10"/>
      <c r="J664" s="10"/>
    </row>
    <row r="665" spans="1:10" ht="14.25" customHeight="1" x14ac:dyDescent="0.35">
      <c r="A665" s="10"/>
      <c r="B665" s="10"/>
      <c r="C665" s="10"/>
      <c r="D665" s="10"/>
      <c r="E665" s="10"/>
      <c r="F665" s="10"/>
      <c r="G665" s="10"/>
      <c r="H665" s="10"/>
      <c r="I665" s="10"/>
      <c r="J665" s="10"/>
    </row>
    <row r="666" spans="1:10" ht="14.25" customHeight="1" x14ac:dyDescent="0.35">
      <c r="A666" s="10"/>
      <c r="B666" s="10"/>
      <c r="C666" s="10"/>
      <c r="D666" s="10"/>
      <c r="E666" s="10"/>
      <c r="F666" s="10"/>
      <c r="G666" s="10"/>
      <c r="H666" s="10"/>
      <c r="I666" s="10"/>
      <c r="J666" s="10"/>
    </row>
    <row r="667" spans="1:10" ht="14.25" customHeight="1" x14ac:dyDescent="0.35">
      <c r="A667" s="10"/>
      <c r="B667" s="10"/>
      <c r="C667" s="10"/>
      <c r="D667" s="10"/>
      <c r="E667" s="10"/>
      <c r="F667" s="10"/>
      <c r="G667" s="10"/>
      <c r="H667" s="10"/>
      <c r="I667" s="10"/>
      <c r="J667" s="10"/>
    </row>
    <row r="668" spans="1:10" ht="14.25" customHeight="1" x14ac:dyDescent="0.35">
      <c r="A668" s="10"/>
      <c r="B668" s="10"/>
      <c r="C668" s="10"/>
      <c r="D668" s="10"/>
      <c r="E668" s="10"/>
      <c r="F668" s="10"/>
      <c r="G668" s="10"/>
      <c r="H668" s="10"/>
      <c r="I668" s="10"/>
      <c r="J668" s="10"/>
    </row>
    <row r="669" spans="1:10" ht="14.25" customHeight="1" x14ac:dyDescent="0.35">
      <c r="A669" s="10"/>
      <c r="B669" s="10"/>
      <c r="C669" s="10"/>
      <c r="D669" s="10"/>
      <c r="E669" s="10"/>
      <c r="F669" s="10"/>
      <c r="G669" s="10"/>
      <c r="H669" s="10"/>
      <c r="I669" s="10"/>
      <c r="J669" s="10"/>
    </row>
    <row r="670" spans="1:10" ht="14.25" customHeight="1" x14ac:dyDescent="0.35">
      <c r="A670" s="10"/>
      <c r="B670" s="10"/>
      <c r="C670" s="10"/>
      <c r="D670" s="10"/>
      <c r="E670" s="10"/>
      <c r="F670" s="10"/>
      <c r="G670" s="10"/>
      <c r="H670" s="10"/>
      <c r="I670" s="10"/>
      <c r="J670" s="10"/>
    </row>
    <row r="671" spans="1:10" ht="14.25" customHeight="1" x14ac:dyDescent="0.35">
      <c r="A671" s="10"/>
      <c r="B671" s="10"/>
      <c r="C671" s="10"/>
      <c r="D671" s="10"/>
      <c r="E671" s="10"/>
      <c r="F671" s="10"/>
      <c r="G671" s="10"/>
      <c r="H671" s="10"/>
      <c r="I671" s="10"/>
      <c r="J671" s="10"/>
    </row>
    <row r="672" spans="1:10" ht="14.25" customHeight="1" x14ac:dyDescent="0.35">
      <c r="A672" s="10"/>
      <c r="B672" s="10"/>
      <c r="C672" s="10"/>
      <c r="D672" s="10"/>
      <c r="E672" s="10"/>
      <c r="F672" s="10"/>
      <c r="G672" s="10"/>
      <c r="H672" s="10"/>
      <c r="I672" s="10"/>
      <c r="J672" s="10"/>
    </row>
    <row r="673" spans="1:10" ht="14.25" customHeight="1" x14ac:dyDescent="0.35">
      <c r="A673" s="10"/>
      <c r="B673" s="10"/>
      <c r="C673" s="10"/>
      <c r="D673" s="10"/>
      <c r="E673" s="10"/>
      <c r="F673" s="10"/>
      <c r="G673" s="10"/>
      <c r="H673" s="10"/>
      <c r="I673" s="10"/>
      <c r="J673" s="10"/>
    </row>
    <row r="674" spans="1:10" ht="14.25" customHeight="1" x14ac:dyDescent="0.35">
      <c r="A674" s="10"/>
      <c r="B674" s="10"/>
      <c r="C674" s="10"/>
      <c r="D674" s="10"/>
      <c r="E674" s="10"/>
      <c r="F674" s="10"/>
      <c r="G674" s="10"/>
      <c r="H674" s="10"/>
      <c r="I674" s="10"/>
      <c r="J674" s="10"/>
    </row>
    <row r="675" spans="1:10" ht="14.25" customHeight="1" x14ac:dyDescent="0.35">
      <c r="A675" s="10"/>
      <c r="B675" s="10"/>
      <c r="C675" s="10"/>
      <c r="D675" s="10"/>
      <c r="E675" s="10"/>
      <c r="F675" s="10"/>
      <c r="G675" s="10"/>
      <c r="H675" s="10"/>
      <c r="I675" s="10"/>
      <c r="J675" s="10"/>
    </row>
    <row r="676" spans="1:10" ht="14.25" customHeight="1" x14ac:dyDescent="0.35">
      <c r="A676" s="10"/>
      <c r="B676" s="10"/>
      <c r="C676" s="10"/>
      <c r="D676" s="10"/>
      <c r="E676" s="10"/>
      <c r="F676" s="10"/>
      <c r="G676" s="10"/>
      <c r="H676" s="10"/>
      <c r="I676" s="10"/>
      <c r="J676" s="10"/>
    </row>
    <row r="677" spans="1:10" ht="14.25" customHeight="1" x14ac:dyDescent="0.35">
      <c r="A677" s="10"/>
      <c r="B677" s="10"/>
      <c r="C677" s="10"/>
      <c r="D677" s="10"/>
      <c r="E677" s="10"/>
      <c r="F677" s="10"/>
      <c r="G677" s="10"/>
      <c r="H677" s="10"/>
      <c r="I677" s="10"/>
      <c r="J677" s="10"/>
    </row>
    <row r="678" spans="1:10" ht="14.25" customHeight="1" x14ac:dyDescent="0.35">
      <c r="A678" s="10"/>
      <c r="B678" s="10"/>
      <c r="C678" s="10"/>
      <c r="D678" s="10"/>
      <c r="E678" s="10"/>
      <c r="F678" s="10"/>
      <c r="G678" s="10"/>
      <c r="H678" s="10"/>
      <c r="I678" s="10"/>
      <c r="J678" s="10"/>
    </row>
    <row r="679" spans="1:10" ht="14.25" customHeight="1" x14ac:dyDescent="0.35">
      <c r="A679" s="10"/>
      <c r="B679" s="10"/>
      <c r="C679" s="10"/>
      <c r="D679" s="10"/>
      <c r="E679" s="10"/>
      <c r="F679" s="10"/>
      <c r="G679" s="10"/>
      <c r="H679" s="10"/>
      <c r="I679" s="10"/>
      <c r="J679" s="10"/>
    </row>
    <row r="680" spans="1:10" ht="14.25" customHeight="1" x14ac:dyDescent="0.35">
      <c r="A680" s="10"/>
      <c r="B680" s="10"/>
      <c r="C680" s="10"/>
      <c r="D680" s="10"/>
      <c r="E680" s="10"/>
      <c r="F680" s="10"/>
      <c r="G680" s="10"/>
      <c r="H680" s="10"/>
      <c r="I680" s="10"/>
      <c r="J680" s="10"/>
    </row>
    <row r="681" spans="1:10" ht="14.25" customHeight="1" x14ac:dyDescent="0.35">
      <c r="A681" s="10"/>
      <c r="B681" s="10"/>
      <c r="C681" s="10"/>
      <c r="D681" s="10"/>
      <c r="E681" s="10"/>
      <c r="F681" s="10"/>
      <c r="G681" s="10"/>
      <c r="H681" s="10"/>
      <c r="I681" s="10"/>
      <c r="J681" s="10"/>
    </row>
    <row r="682" spans="1:10" ht="14.25" customHeight="1" x14ac:dyDescent="0.35">
      <c r="A682" s="10"/>
      <c r="B682" s="10"/>
      <c r="C682" s="10"/>
      <c r="D682" s="10"/>
      <c r="E682" s="10"/>
      <c r="F682" s="10"/>
      <c r="G682" s="10"/>
      <c r="H682" s="10"/>
      <c r="I682" s="10"/>
      <c r="J682" s="10"/>
    </row>
    <row r="683" spans="1:10" ht="14.25" customHeight="1" x14ac:dyDescent="0.35">
      <c r="A683" s="10"/>
      <c r="B683" s="10"/>
      <c r="C683" s="10"/>
      <c r="D683" s="10"/>
      <c r="E683" s="10"/>
      <c r="F683" s="10"/>
      <c r="G683" s="10"/>
      <c r="H683" s="10"/>
      <c r="I683" s="10"/>
      <c r="J683" s="10"/>
    </row>
    <row r="684" spans="1:10" ht="14.25" customHeight="1" x14ac:dyDescent="0.35">
      <c r="A684" s="10"/>
      <c r="B684" s="10"/>
      <c r="C684" s="10"/>
      <c r="D684" s="10"/>
      <c r="E684" s="10"/>
      <c r="F684" s="10"/>
      <c r="G684" s="10"/>
      <c r="H684" s="10"/>
      <c r="I684" s="10"/>
      <c r="J684" s="10"/>
    </row>
    <row r="685" spans="1:10" ht="14.25" customHeight="1" x14ac:dyDescent="0.35">
      <c r="A685" s="10"/>
      <c r="B685" s="10"/>
      <c r="C685" s="10"/>
      <c r="D685" s="10"/>
      <c r="E685" s="10"/>
      <c r="F685" s="10"/>
      <c r="G685" s="10"/>
      <c r="H685" s="10"/>
      <c r="I685" s="10"/>
      <c r="J685" s="10"/>
    </row>
    <row r="686" spans="1:10" ht="14.25" customHeight="1" x14ac:dyDescent="0.35">
      <c r="A686" s="10"/>
      <c r="B686" s="10"/>
      <c r="C686" s="10"/>
      <c r="D686" s="10"/>
      <c r="E686" s="10"/>
      <c r="F686" s="10"/>
      <c r="G686" s="10"/>
      <c r="H686" s="10"/>
      <c r="I686" s="10"/>
      <c r="J686" s="10"/>
    </row>
    <row r="687" spans="1:10" ht="14.25" customHeight="1" x14ac:dyDescent="0.35">
      <c r="A687" s="10"/>
      <c r="B687" s="10"/>
      <c r="C687" s="10"/>
      <c r="D687" s="10"/>
      <c r="E687" s="10"/>
      <c r="F687" s="10"/>
      <c r="G687" s="10"/>
      <c r="H687" s="10"/>
      <c r="I687" s="10"/>
      <c r="J687" s="10"/>
    </row>
    <row r="688" spans="1:10" ht="14.25" customHeight="1" x14ac:dyDescent="0.35">
      <c r="A688" s="10"/>
      <c r="B688" s="10"/>
      <c r="C688" s="10"/>
      <c r="D688" s="10"/>
      <c r="E688" s="10"/>
      <c r="F688" s="10"/>
      <c r="G688" s="10"/>
      <c r="H688" s="10"/>
      <c r="I688" s="10"/>
      <c r="J688" s="10"/>
    </row>
    <row r="689" spans="1:10" ht="14.25" customHeight="1" x14ac:dyDescent="0.35">
      <c r="A689" s="10"/>
      <c r="B689" s="10"/>
      <c r="C689" s="10"/>
      <c r="D689" s="10"/>
      <c r="E689" s="10"/>
      <c r="F689" s="10"/>
      <c r="G689" s="10"/>
      <c r="H689" s="10"/>
      <c r="I689" s="10"/>
      <c r="J689" s="10"/>
    </row>
    <row r="690" spans="1:10" ht="14.25" customHeight="1" x14ac:dyDescent="0.35">
      <c r="A690" s="10"/>
      <c r="B690" s="10"/>
      <c r="C690" s="10"/>
      <c r="D690" s="10"/>
      <c r="E690" s="10"/>
      <c r="F690" s="10"/>
      <c r="G690" s="10"/>
      <c r="H690" s="10"/>
      <c r="I690" s="10"/>
      <c r="J690" s="10"/>
    </row>
    <row r="691" spans="1:10" ht="14.25" customHeight="1" x14ac:dyDescent="0.35">
      <c r="A691" s="10"/>
      <c r="B691" s="10"/>
      <c r="C691" s="10"/>
      <c r="D691" s="10"/>
      <c r="E691" s="10"/>
      <c r="F691" s="10"/>
      <c r="G691" s="10"/>
      <c r="H691" s="10"/>
      <c r="I691" s="10"/>
      <c r="J691" s="10"/>
    </row>
    <row r="692" spans="1:10" ht="14.25" customHeight="1" x14ac:dyDescent="0.35">
      <c r="A692" s="10"/>
      <c r="B692" s="10"/>
      <c r="C692" s="10"/>
      <c r="D692" s="10"/>
      <c r="E692" s="10"/>
      <c r="F692" s="10"/>
      <c r="G692" s="10"/>
      <c r="H692" s="10"/>
      <c r="I692" s="10"/>
      <c r="J692" s="10"/>
    </row>
    <row r="693" spans="1:10" ht="14.25" customHeight="1" x14ac:dyDescent="0.35">
      <c r="A693" s="10"/>
      <c r="B693" s="10"/>
      <c r="C693" s="10"/>
      <c r="D693" s="10"/>
      <c r="E693" s="10"/>
      <c r="F693" s="10"/>
      <c r="G693" s="10"/>
      <c r="H693" s="10"/>
      <c r="I693" s="10"/>
      <c r="J693" s="10"/>
    </row>
    <row r="694" spans="1:10" ht="14.25" customHeight="1" x14ac:dyDescent="0.35">
      <c r="A694" s="10"/>
      <c r="B694" s="10"/>
      <c r="C694" s="10"/>
      <c r="D694" s="10"/>
      <c r="E694" s="10"/>
      <c r="F694" s="10"/>
      <c r="G694" s="10"/>
      <c r="H694" s="10"/>
      <c r="I694" s="10"/>
      <c r="J694" s="10"/>
    </row>
    <row r="695" spans="1:10" ht="14.25" customHeight="1" x14ac:dyDescent="0.35">
      <c r="A695" s="10"/>
      <c r="B695" s="10"/>
      <c r="C695" s="10"/>
      <c r="D695" s="10"/>
      <c r="E695" s="10"/>
      <c r="F695" s="10"/>
      <c r="G695" s="10"/>
      <c r="H695" s="10"/>
      <c r="I695" s="10"/>
      <c r="J695" s="10"/>
    </row>
    <row r="696" spans="1:10" ht="14.25" customHeight="1" x14ac:dyDescent="0.35">
      <c r="A696" s="10"/>
      <c r="B696" s="10"/>
      <c r="C696" s="10"/>
      <c r="D696" s="10"/>
      <c r="E696" s="10"/>
      <c r="F696" s="10"/>
      <c r="G696" s="10"/>
      <c r="H696" s="10"/>
      <c r="I696" s="10"/>
      <c r="J696" s="10"/>
    </row>
    <row r="697" spans="1:10" ht="14.25" customHeight="1" x14ac:dyDescent="0.35">
      <c r="A697" s="10"/>
      <c r="B697" s="10"/>
      <c r="C697" s="10"/>
      <c r="D697" s="10"/>
      <c r="E697" s="10"/>
      <c r="F697" s="10"/>
      <c r="G697" s="10"/>
      <c r="H697" s="10"/>
      <c r="I697" s="10"/>
      <c r="J697" s="10"/>
    </row>
    <row r="698" spans="1:10" ht="14.25" customHeight="1" x14ac:dyDescent="0.35">
      <c r="A698" s="10"/>
      <c r="B698" s="10"/>
      <c r="C698" s="10"/>
      <c r="D698" s="10"/>
      <c r="E698" s="10"/>
      <c r="F698" s="10"/>
      <c r="G698" s="10"/>
      <c r="H698" s="10"/>
      <c r="I698" s="10"/>
      <c r="J698" s="10"/>
    </row>
    <row r="699" spans="1:10" ht="14.25" customHeight="1" x14ac:dyDescent="0.35">
      <c r="A699" s="10"/>
      <c r="B699" s="10"/>
      <c r="C699" s="10"/>
      <c r="D699" s="10"/>
      <c r="E699" s="10"/>
      <c r="F699" s="10"/>
      <c r="G699" s="10"/>
      <c r="H699" s="10"/>
      <c r="I699" s="10"/>
      <c r="J699" s="10"/>
    </row>
    <row r="700" spans="1:10" ht="14.25" customHeight="1" x14ac:dyDescent="0.35">
      <c r="A700" s="10"/>
      <c r="B700" s="10"/>
      <c r="C700" s="10"/>
      <c r="D700" s="10"/>
      <c r="E700" s="10"/>
      <c r="F700" s="10"/>
      <c r="G700" s="10"/>
      <c r="H700" s="10"/>
      <c r="I700" s="10"/>
      <c r="J700" s="10"/>
    </row>
    <row r="701" spans="1:10" ht="14.25" customHeight="1" x14ac:dyDescent="0.35">
      <c r="A701" s="10"/>
      <c r="B701" s="10"/>
      <c r="C701" s="10"/>
      <c r="D701" s="10"/>
      <c r="E701" s="10"/>
      <c r="F701" s="10"/>
      <c r="G701" s="10"/>
      <c r="H701" s="10"/>
      <c r="I701" s="10"/>
      <c r="J701" s="10"/>
    </row>
    <row r="702" spans="1:10" ht="14.25" customHeight="1" x14ac:dyDescent="0.35">
      <c r="A702" s="10"/>
      <c r="B702" s="10"/>
      <c r="C702" s="10"/>
      <c r="D702" s="10"/>
      <c r="E702" s="10"/>
      <c r="F702" s="10"/>
      <c r="G702" s="10"/>
      <c r="H702" s="10"/>
      <c r="I702" s="10"/>
      <c r="J702" s="10"/>
    </row>
    <row r="703" spans="1:10" ht="14.25" customHeight="1" x14ac:dyDescent="0.35">
      <c r="A703" s="10"/>
      <c r="B703" s="10"/>
      <c r="C703" s="10"/>
      <c r="D703" s="10"/>
      <c r="E703" s="10"/>
      <c r="F703" s="10"/>
      <c r="G703" s="10"/>
      <c r="H703" s="10"/>
      <c r="I703" s="10"/>
      <c r="J703" s="10"/>
    </row>
    <row r="704" spans="1:10" ht="14.25" customHeight="1" x14ac:dyDescent="0.35">
      <c r="A704" s="10"/>
      <c r="B704" s="10"/>
      <c r="C704" s="10"/>
      <c r="D704" s="10"/>
      <c r="E704" s="10"/>
      <c r="F704" s="10"/>
      <c r="G704" s="10"/>
      <c r="H704" s="10"/>
      <c r="I704" s="10"/>
      <c r="J704" s="10"/>
    </row>
    <row r="705" spans="1:10" ht="14.25" customHeight="1" x14ac:dyDescent="0.35">
      <c r="A705" s="10"/>
      <c r="B705" s="10"/>
      <c r="C705" s="10"/>
      <c r="D705" s="10"/>
      <c r="E705" s="10"/>
      <c r="F705" s="10"/>
      <c r="G705" s="10"/>
      <c r="H705" s="10"/>
      <c r="I705" s="10"/>
      <c r="J705" s="10"/>
    </row>
    <row r="706" spans="1:10" ht="14.25" customHeight="1" x14ac:dyDescent="0.35">
      <c r="A706" s="10"/>
      <c r="B706" s="10"/>
      <c r="C706" s="10"/>
      <c r="D706" s="10"/>
      <c r="E706" s="10"/>
      <c r="F706" s="10"/>
      <c r="G706" s="10"/>
      <c r="H706" s="10"/>
      <c r="I706" s="10"/>
      <c r="J706" s="10"/>
    </row>
    <row r="707" spans="1:10" ht="14.25" customHeight="1" x14ac:dyDescent="0.35">
      <c r="A707" s="10"/>
      <c r="B707" s="10"/>
      <c r="C707" s="10"/>
      <c r="D707" s="10"/>
      <c r="E707" s="10"/>
      <c r="F707" s="10"/>
      <c r="G707" s="10"/>
      <c r="H707" s="10"/>
      <c r="I707" s="10"/>
      <c r="J707" s="10"/>
    </row>
    <row r="708" spans="1:10" ht="14.25" customHeight="1" x14ac:dyDescent="0.35">
      <c r="A708" s="10"/>
      <c r="B708" s="10"/>
      <c r="C708" s="10"/>
      <c r="D708" s="10"/>
      <c r="E708" s="10"/>
      <c r="F708" s="10"/>
      <c r="G708" s="10"/>
      <c r="H708" s="10"/>
      <c r="I708" s="10"/>
      <c r="J708" s="10"/>
    </row>
    <row r="709" spans="1:10" ht="14.25" customHeight="1" x14ac:dyDescent="0.35">
      <c r="A709" s="10"/>
      <c r="B709" s="10"/>
      <c r="C709" s="10"/>
      <c r="D709" s="10"/>
      <c r="E709" s="10"/>
      <c r="F709" s="10"/>
      <c r="G709" s="10"/>
      <c r="H709" s="10"/>
      <c r="I709" s="10"/>
      <c r="J709" s="10"/>
    </row>
    <row r="710" spans="1:10" ht="14.25" customHeight="1" x14ac:dyDescent="0.35">
      <c r="A710" s="10"/>
      <c r="B710" s="10"/>
      <c r="C710" s="10"/>
      <c r="D710" s="10"/>
      <c r="E710" s="10"/>
      <c r="F710" s="10"/>
      <c r="G710" s="10"/>
      <c r="H710" s="10"/>
      <c r="I710" s="10"/>
      <c r="J710" s="10"/>
    </row>
    <row r="711" spans="1:10" ht="14.25" customHeight="1" x14ac:dyDescent="0.35">
      <c r="A711" s="10"/>
      <c r="B711" s="10"/>
      <c r="C711" s="10"/>
      <c r="D711" s="10"/>
      <c r="E711" s="10"/>
      <c r="F711" s="10"/>
      <c r="G711" s="10"/>
      <c r="H711" s="10"/>
      <c r="I711" s="10"/>
      <c r="J711" s="10"/>
    </row>
    <row r="712" spans="1:10" ht="14.25" customHeight="1" x14ac:dyDescent="0.35">
      <c r="A712" s="10"/>
      <c r="B712" s="10"/>
      <c r="C712" s="10"/>
      <c r="D712" s="10"/>
      <c r="E712" s="10"/>
      <c r="F712" s="10"/>
      <c r="G712" s="10"/>
      <c r="H712" s="10"/>
      <c r="I712" s="10"/>
      <c r="J712" s="10"/>
    </row>
    <row r="713" spans="1:10" ht="14.25" customHeight="1" x14ac:dyDescent="0.35">
      <c r="A713" s="10"/>
      <c r="B713" s="10"/>
      <c r="C713" s="10"/>
      <c r="D713" s="10"/>
      <c r="E713" s="10"/>
      <c r="F713" s="10"/>
      <c r="G713" s="10"/>
      <c r="H713" s="10"/>
      <c r="I713" s="10"/>
      <c r="J713" s="10"/>
    </row>
    <row r="714" spans="1:10" ht="14.25" customHeight="1" x14ac:dyDescent="0.35">
      <c r="A714" s="10"/>
      <c r="B714" s="10"/>
      <c r="C714" s="10"/>
      <c r="D714" s="10"/>
      <c r="E714" s="10"/>
      <c r="F714" s="10"/>
      <c r="G714" s="10"/>
      <c r="H714" s="10"/>
      <c r="I714" s="10"/>
      <c r="J714" s="10"/>
    </row>
    <row r="715" spans="1:10" ht="14.25" customHeight="1" x14ac:dyDescent="0.35">
      <c r="A715" s="10"/>
      <c r="B715" s="10"/>
      <c r="C715" s="10"/>
      <c r="D715" s="10"/>
      <c r="E715" s="10"/>
      <c r="F715" s="10"/>
      <c r="G715" s="10"/>
      <c r="H715" s="10"/>
      <c r="I715" s="10"/>
      <c r="J715" s="10"/>
    </row>
    <row r="716" spans="1:10" ht="14.25" customHeight="1" x14ac:dyDescent="0.35">
      <c r="A716" s="10"/>
      <c r="B716" s="10"/>
      <c r="C716" s="10"/>
      <c r="D716" s="10"/>
      <c r="E716" s="10"/>
      <c r="F716" s="10"/>
      <c r="G716" s="10"/>
      <c r="H716" s="10"/>
      <c r="I716" s="10"/>
      <c r="J716" s="10"/>
    </row>
    <row r="717" spans="1:10" ht="14.25" customHeight="1" x14ac:dyDescent="0.35">
      <c r="A717" s="10"/>
      <c r="B717" s="10"/>
      <c r="C717" s="10"/>
      <c r="D717" s="10"/>
      <c r="E717" s="10"/>
      <c r="F717" s="10"/>
      <c r="G717" s="10"/>
      <c r="H717" s="10"/>
      <c r="I717" s="10"/>
      <c r="J717" s="10"/>
    </row>
    <row r="718" spans="1:10" ht="14.25" customHeight="1" x14ac:dyDescent="0.35">
      <c r="A718" s="10"/>
      <c r="B718" s="10"/>
      <c r="C718" s="10"/>
      <c r="D718" s="10"/>
      <c r="E718" s="10"/>
      <c r="F718" s="10"/>
      <c r="G718" s="10"/>
      <c r="H718" s="10"/>
      <c r="I718" s="10"/>
      <c r="J718" s="10"/>
    </row>
    <row r="719" spans="1:10" ht="14.25" customHeight="1" x14ac:dyDescent="0.35">
      <c r="A719" s="10"/>
      <c r="B719" s="10"/>
      <c r="C719" s="10"/>
      <c r="D719" s="10"/>
      <c r="E719" s="10"/>
      <c r="F719" s="10"/>
      <c r="G719" s="10"/>
      <c r="H719" s="10"/>
      <c r="I719" s="10"/>
      <c r="J719" s="10"/>
    </row>
    <row r="720" spans="1:10" ht="14.25" customHeight="1" x14ac:dyDescent="0.35">
      <c r="A720" s="10"/>
      <c r="B720" s="10"/>
      <c r="C720" s="10"/>
      <c r="D720" s="10"/>
      <c r="E720" s="10"/>
      <c r="F720" s="10"/>
      <c r="G720" s="10"/>
      <c r="H720" s="10"/>
      <c r="I720" s="10"/>
      <c r="J720" s="10"/>
    </row>
    <row r="721" spans="1:10" ht="14.25" customHeight="1" x14ac:dyDescent="0.35">
      <c r="A721" s="10"/>
      <c r="B721" s="10"/>
      <c r="C721" s="10"/>
      <c r="D721" s="10"/>
      <c r="E721" s="10"/>
      <c r="F721" s="10"/>
      <c r="G721" s="10"/>
      <c r="H721" s="10"/>
      <c r="I721" s="10"/>
      <c r="J721" s="10"/>
    </row>
    <row r="722" spans="1:10" ht="14.25" customHeight="1" x14ac:dyDescent="0.35">
      <c r="A722" s="10"/>
      <c r="B722" s="10"/>
      <c r="C722" s="10"/>
      <c r="D722" s="10"/>
      <c r="E722" s="10"/>
      <c r="F722" s="10"/>
      <c r="G722" s="10"/>
      <c r="H722" s="10"/>
      <c r="I722" s="10"/>
      <c r="J722" s="10"/>
    </row>
    <row r="723" spans="1:10" ht="14.25" customHeight="1" x14ac:dyDescent="0.35">
      <c r="A723" s="10"/>
      <c r="B723" s="10"/>
      <c r="C723" s="10"/>
      <c r="D723" s="10"/>
      <c r="E723" s="10"/>
      <c r="F723" s="10"/>
      <c r="G723" s="10"/>
      <c r="H723" s="10"/>
      <c r="I723" s="10"/>
      <c r="J723" s="10"/>
    </row>
    <row r="724" spans="1:10" ht="14.25" customHeight="1" x14ac:dyDescent="0.35">
      <c r="A724" s="10"/>
      <c r="B724" s="10"/>
      <c r="C724" s="10"/>
      <c r="D724" s="10"/>
      <c r="E724" s="10"/>
      <c r="F724" s="10"/>
      <c r="G724" s="10"/>
      <c r="H724" s="10"/>
      <c r="I724" s="10"/>
      <c r="J724" s="10"/>
    </row>
    <row r="725" spans="1:10" ht="14.25" customHeight="1" x14ac:dyDescent="0.35">
      <c r="A725" s="10"/>
      <c r="B725" s="10"/>
      <c r="C725" s="10"/>
      <c r="D725" s="10"/>
      <c r="E725" s="10"/>
      <c r="F725" s="10"/>
      <c r="G725" s="10"/>
      <c r="H725" s="10"/>
      <c r="I725" s="10"/>
      <c r="J725" s="10"/>
    </row>
    <row r="726" spans="1:10" ht="14.25" customHeight="1" x14ac:dyDescent="0.35">
      <c r="A726" s="10"/>
      <c r="B726" s="10"/>
      <c r="C726" s="10"/>
      <c r="D726" s="10"/>
      <c r="E726" s="10"/>
      <c r="F726" s="10"/>
      <c r="G726" s="10"/>
      <c r="H726" s="10"/>
      <c r="I726" s="10"/>
      <c r="J726" s="10"/>
    </row>
    <row r="727" spans="1:10" ht="14.25" customHeight="1" x14ac:dyDescent="0.35">
      <c r="A727" s="10"/>
      <c r="B727" s="10"/>
      <c r="C727" s="10"/>
      <c r="D727" s="10"/>
      <c r="E727" s="10"/>
      <c r="F727" s="10"/>
      <c r="G727" s="10"/>
      <c r="H727" s="10"/>
      <c r="I727" s="10"/>
      <c r="J727" s="10"/>
    </row>
    <row r="728" spans="1:10" ht="14.25" customHeight="1" x14ac:dyDescent="0.35">
      <c r="A728" s="10"/>
      <c r="B728" s="10"/>
      <c r="C728" s="10"/>
      <c r="D728" s="10"/>
      <c r="E728" s="10"/>
      <c r="F728" s="10"/>
      <c r="G728" s="10"/>
      <c r="H728" s="10"/>
      <c r="I728" s="10"/>
      <c r="J728" s="10"/>
    </row>
    <row r="729" spans="1:10" ht="14.25" customHeight="1" x14ac:dyDescent="0.35">
      <c r="A729" s="10"/>
      <c r="B729" s="10"/>
      <c r="C729" s="10"/>
      <c r="D729" s="10"/>
      <c r="E729" s="10"/>
      <c r="F729" s="10"/>
      <c r="G729" s="10"/>
      <c r="H729" s="10"/>
      <c r="I729" s="10"/>
      <c r="J729" s="10"/>
    </row>
    <row r="730" spans="1:10" ht="14.25" customHeight="1" x14ac:dyDescent="0.35">
      <c r="A730" s="10"/>
      <c r="B730" s="10"/>
      <c r="C730" s="10"/>
      <c r="D730" s="10"/>
      <c r="E730" s="10"/>
      <c r="F730" s="10"/>
      <c r="G730" s="10"/>
      <c r="H730" s="10"/>
      <c r="I730" s="10"/>
      <c r="J730" s="10"/>
    </row>
    <row r="731" spans="1:10" ht="14.25" customHeight="1" x14ac:dyDescent="0.35">
      <c r="A731" s="10"/>
      <c r="B731" s="10"/>
      <c r="C731" s="10"/>
      <c r="D731" s="10"/>
      <c r="E731" s="10"/>
      <c r="F731" s="10"/>
      <c r="G731" s="10"/>
      <c r="H731" s="10"/>
      <c r="I731" s="10"/>
      <c r="J731" s="10"/>
    </row>
    <row r="732" spans="1:10" ht="14.25" customHeight="1" x14ac:dyDescent="0.35">
      <c r="A732" s="10"/>
      <c r="B732" s="10"/>
      <c r="C732" s="10"/>
      <c r="D732" s="10"/>
      <c r="E732" s="10"/>
      <c r="F732" s="10"/>
      <c r="G732" s="10"/>
      <c r="H732" s="10"/>
      <c r="I732" s="10"/>
      <c r="J732" s="10"/>
    </row>
    <row r="733" spans="1:10" ht="14.25" customHeight="1" x14ac:dyDescent="0.35">
      <c r="A733" s="10"/>
      <c r="B733" s="10"/>
      <c r="C733" s="10"/>
      <c r="D733" s="10"/>
      <c r="E733" s="10"/>
      <c r="F733" s="10"/>
      <c r="G733" s="10"/>
      <c r="H733" s="10"/>
      <c r="I733" s="10"/>
      <c r="J733" s="10"/>
    </row>
    <row r="734" spans="1:10" ht="14.25" customHeight="1" x14ac:dyDescent="0.35">
      <c r="A734" s="10"/>
      <c r="B734" s="10"/>
      <c r="C734" s="10"/>
      <c r="D734" s="10"/>
      <c r="E734" s="10"/>
      <c r="F734" s="10"/>
      <c r="G734" s="10"/>
      <c r="H734" s="10"/>
      <c r="I734" s="10"/>
      <c r="J734" s="10"/>
    </row>
    <row r="735" spans="1:10" ht="14.25" customHeight="1" x14ac:dyDescent="0.35">
      <c r="A735" s="10"/>
      <c r="B735" s="10"/>
      <c r="C735" s="10"/>
      <c r="D735" s="10"/>
      <c r="E735" s="10"/>
      <c r="F735" s="10"/>
      <c r="G735" s="10"/>
      <c r="H735" s="10"/>
      <c r="I735" s="10"/>
      <c r="J735" s="10"/>
    </row>
    <row r="736" spans="1:10" ht="14.25" customHeight="1" x14ac:dyDescent="0.35">
      <c r="A736" s="10"/>
      <c r="B736" s="10"/>
      <c r="C736" s="10"/>
      <c r="D736" s="10"/>
      <c r="E736" s="10"/>
      <c r="F736" s="10"/>
      <c r="G736" s="10"/>
      <c r="H736" s="10"/>
      <c r="I736" s="10"/>
      <c r="J736" s="10"/>
    </row>
    <row r="737" spans="1:10" ht="14.25" customHeight="1" x14ac:dyDescent="0.35">
      <c r="A737" s="10"/>
      <c r="B737" s="10"/>
      <c r="C737" s="10"/>
      <c r="D737" s="10"/>
      <c r="E737" s="10"/>
      <c r="F737" s="10"/>
      <c r="G737" s="10"/>
      <c r="H737" s="10"/>
      <c r="I737" s="10"/>
      <c r="J737" s="10"/>
    </row>
    <row r="738" spans="1:10" ht="14.25" customHeight="1" x14ac:dyDescent="0.35">
      <c r="A738" s="10"/>
      <c r="B738" s="10"/>
      <c r="C738" s="10"/>
      <c r="D738" s="10"/>
      <c r="E738" s="10"/>
      <c r="F738" s="10"/>
      <c r="G738" s="10"/>
      <c r="H738" s="10"/>
      <c r="I738" s="10"/>
      <c r="J738" s="10"/>
    </row>
    <row r="739" spans="1:10" ht="14.25" customHeight="1" x14ac:dyDescent="0.35">
      <c r="A739" s="10"/>
      <c r="B739" s="10"/>
      <c r="C739" s="10"/>
      <c r="D739" s="10"/>
      <c r="E739" s="10"/>
      <c r="F739" s="10"/>
      <c r="G739" s="10"/>
      <c r="H739" s="10"/>
      <c r="I739" s="10"/>
      <c r="J739" s="10"/>
    </row>
    <row r="740" spans="1:10" ht="14.25" customHeight="1" x14ac:dyDescent="0.35">
      <c r="A740" s="10"/>
      <c r="B740" s="10"/>
      <c r="C740" s="10"/>
      <c r="D740" s="10"/>
      <c r="E740" s="10"/>
      <c r="F740" s="10"/>
      <c r="G740" s="10"/>
      <c r="H740" s="10"/>
      <c r="I740" s="10"/>
      <c r="J740" s="10"/>
    </row>
    <row r="741" spans="1:10" ht="14.25" customHeight="1" x14ac:dyDescent="0.35">
      <c r="A741" s="10"/>
      <c r="B741" s="10"/>
      <c r="C741" s="10"/>
      <c r="D741" s="10"/>
      <c r="E741" s="10"/>
      <c r="F741" s="10"/>
      <c r="G741" s="10"/>
      <c r="H741" s="10"/>
      <c r="I741" s="10"/>
      <c r="J741" s="10"/>
    </row>
    <row r="742" spans="1:10" ht="14.25" customHeight="1" x14ac:dyDescent="0.35">
      <c r="A742" s="10"/>
      <c r="B742" s="10"/>
      <c r="C742" s="10"/>
      <c r="D742" s="10"/>
      <c r="E742" s="10"/>
      <c r="F742" s="10"/>
      <c r="G742" s="10"/>
      <c r="H742" s="10"/>
      <c r="I742" s="10"/>
      <c r="J742" s="10"/>
    </row>
    <row r="743" spans="1:10" ht="14.25" customHeight="1" x14ac:dyDescent="0.35">
      <c r="A743" s="10"/>
      <c r="B743" s="10"/>
      <c r="C743" s="10"/>
      <c r="D743" s="10"/>
      <c r="E743" s="10"/>
      <c r="F743" s="10"/>
      <c r="G743" s="10"/>
      <c r="H743" s="10"/>
      <c r="I743" s="10"/>
      <c r="J743" s="10"/>
    </row>
    <row r="744" spans="1:10" ht="14.25" customHeight="1" x14ac:dyDescent="0.35">
      <c r="A744" s="10"/>
      <c r="B744" s="10"/>
      <c r="C744" s="10"/>
      <c r="D744" s="10"/>
      <c r="E744" s="10"/>
      <c r="F744" s="10"/>
      <c r="G744" s="10"/>
      <c r="H744" s="10"/>
      <c r="I744" s="10"/>
      <c r="J744" s="10"/>
    </row>
    <row r="745" spans="1:10" ht="14.25" customHeight="1" x14ac:dyDescent="0.35">
      <c r="A745" s="10"/>
      <c r="B745" s="10"/>
      <c r="C745" s="10"/>
      <c r="D745" s="10"/>
      <c r="E745" s="10"/>
      <c r="F745" s="10"/>
      <c r="G745" s="10"/>
      <c r="H745" s="10"/>
      <c r="I745" s="10"/>
      <c r="J745" s="10"/>
    </row>
    <row r="746" spans="1:10" ht="14.25" customHeight="1" x14ac:dyDescent="0.35">
      <c r="A746" s="10"/>
      <c r="B746" s="10"/>
      <c r="C746" s="10"/>
      <c r="D746" s="10"/>
      <c r="E746" s="10"/>
      <c r="F746" s="10"/>
      <c r="G746" s="10"/>
      <c r="H746" s="10"/>
      <c r="I746" s="10"/>
      <c r="J746" s="10"/>
    </row>
    <row r="747" spans="1:10" ht="14.25" customHeight="1" x14ac:dyDescent="0.35">
      <c r="A747" s="10"/>
      <c r="B747" s="10"/>
      <c r="C747" s="10"/>
      <c r="D747" s="10"/>
      <c r="E747" s="10"/>
      <c r="F747" s="10"/>
      <c r="G747" s="10"/>
      <c r="H747" s="10"/>
      <c r="I747" s="10"/>
      <c r="J747" s="10"/>
    </row>
    <row r="748" spans="1:10" ht="14.25" customHeight="1" x14ac:dyDescent="0.35">
      <c r="A748" s="10"/>
      <c r="B748" s="10"/>
      <c r="C748" s="10"/>
      <c r="D748" s="10"/>
      <c r="E748" s="10"/>
      <c r="F748" s="10"/>
      <c r="G748" s="10"/>
      <c r="H748" s="10"/>
      <c r="I748" s="10"/>
      <c r="J748" s="10"/>
    </row>
    <row r="749" spans="1:10" ht="14.25" customHeight="1" x14ac:dyDescent="0.35">
      <c r="A749" s="10"/>
      <c r="B749" s="10"/>
      <c r="C749" s="10"/>
      <c r="D749" s="10"/>
      <c r="E749" s="10"/>
      <c r="F749" s="10"/>
      <c r="G749" s="10"/>
      <c r="H749" s="10"/>
      <c r="I749" s="10"/>
      <c r="J749" s="10"/>
    </row>
    <row r="750" spans="1:10" ht="14.25" customHeight="1" x14ac:dyDescent="0.35">
      <c r="A750" s="10"/>
      <c r="B750" s="10"/>
      <c r="C750" s="10"/>
      <c r="D750" s="10"/>
      <c r="E750" s="10"/>
      <c r="F750" s="10"/>
      <c r="G750" s="10"/>
      <c r="H750" s="10"/>
      <c r="I750" s="10"/>
      <c r="J750" s="10"/>
    </row>
    <row r="751" spans="1:10" ht="14.25" customHeight="1" x14ac:dyDescent="0.35">
      <c r="A751" s="10"/>
      <c r="B751" s="10"/>
      <c r="C751" s="10"/>
      <c r="D751" s="10"/>
      <c r="E751" s="10"/>
      <c r="F751" s="10"/>
      <c r="G751" s="10"/>
      <c r="H751" s="10"/>
      <c r="I751" s="10"/>
      <c r="J751" s="10"/>
    </row>
    <row r="752" spans="1:10" ht="14.25" customHeight="1" x14ac:dyDescent="0.35">
      <c r="A752" s="10"/>
      <c r="B752" s="10"/>
      <c r="C752" s="10"/>
      <c r="D752" s="10"/>
      <c r="E752" s="10"/>
      <c r="F752" s="10"/>
      <c r="G752" s="10"/>
      <c r="H752" s="10"/>
      <c r="I752" s="10"/>
      <c r="J752" s="10"/>
    </row>
    <row r="753" spans="1:10" ht="14.25" customHeight="1" x14ac:dyDescent="0.35">
      <c r="A753" s="10"/>
      <c r="B753" s="10"/>
      <c r="C753" s="10"/>
      <c r="D753" s="10"/>
      <c r="E753" s="10"/>
      <c r="F753" s="10"/>
      <c r="G753" s="10"/>
      <c r="H753" s="10"/>
      <c r="I753" s="10"/>
      <c r="J753" s="10"/>
    </row>
    <row r="754" spans="1:10" ht="14.25" customHeight="1" x14ac:dyDescent="0.35">
      <c r="A754" s="10"/>
      <c r="B754" s="10"/>
      <c r="C754" s="10"/>
      <c r="D754" s="10"/>
      <c r="E754" s="10"/>
      <c r="F754" s="10"/>
      <c r="G754" s="10"/>
      <c r="H754" s="10"/>
      <c r="I754" s="10"/>
      <c r="J754" s="10"/>
    </row>
    <row r="755" spans="1:10" ht="14.25" customHeight="1" x14ac:dyDescent="0.35">
      <c r="A755" s="10"/>
      <c r="B755" s="10"/>
      <c r="C755" s="10"/>
      <c r="D755" s="10"/>
      <c r="E755" s="10"/>
      <c r="F755" s="10"/>
      <c r="G755" s="10"/>
      <c r="H755" s="10"/>
      <c r="I755" s="10"/>
      <c r="J755" s="10"/>
    </row>
    <row r="756" spans="1:10" ht="14.25" customHeight="1" x14ac:dyDescent="0.35">
      <c r="A756" s="10"/>
      <c r="B756" s="10"/>
      <c r="C756" s="10"/>
      <c r="D756" s="10"/>
      <c r="E756" s="10"/>
      <c r="F756" s="10"/>
      <c r="G756" s="10"/>
      <c r="H756" s="10"/>
      <c r="I756" s="10"/>
      <c r="J756" s="10"/>
    </row>
    <row r="757" spans="1:10" ht="14.25" customHeight="1" x14ac:dyDescent="0.35">
      <c r="A757" s="10"/>
      <c r="B757" s="10"/>
      <c r="C757" s="10"/>
      <c r="D757" s="10"/>
      <c r="E757" s="10"/>
      <c r="F757" s="10"/>
      <c r="G757" s="10"/>
      <c r="H757" s="10"/>
      <c r="I757" s="10"/>
      <c r="J757" s="10"/>
    </row>
    <row r="758" spans="1:10" ht="14.25" customHeight="1" x14ac:dyDescent="0.35">
      <c r="A758" s="10"/>
      <c r="B758" s="10"/>
      <c r="C758" s="10"/>
      <c r="D758" s="10"/>
      <c r="E758" s="10"/>
      <c r="F758" s="10"/>
      <c r="G758" s="10"/>
      <c r="H758" s="10"/>
      <c r="I758" s="10"/>
      <c r="J758" s="10"/>
    </row>
    <row r="759" spans="1:10" ht="14.25" customHeight="1" x14ac:dyDescent="0.35">
      <c r="A759" s="10"/>
      <c r="B759" s="10"/>
      <c r="C759" s="10"/>
      <c r="D759" s="10"/>
      <c r="E759" s="10"/>
      <c r="F759" s="10"/>
      <c r="G759" s="10"/>
      <c r="H759" s="10"/>
      <c r="I759" s="10"/>
      <c r="J759" s="10"/>
    </row>
    <row r="760" spans="1:10" ht="14.25" customHeight="1" x14ac:dyDescent="0.35">
      <c r="A760" s="10"/>
      <c r="B760" s="10"/>
      <c r="C760" s="10"/>
      <c r="D760" s="10"/>
      <c r="E760" s="10"/>
      <c r="F760" s="10"/>
      <c r="G760" s="10"/>
      <c r="H760" s="10"/>
      <c r="I760" s="10"/>
      <c r="J760" s="10"/>
    </row>
    <row r="761" spans="1:10" ht="14.25" customHeight="1" x14ac:dyDescent="0.35">
      <c r="A761" s="10"/>
      <c r="B761" s="10"/>
      <c r="C761" s="10"/>
      <c r="D761" s="10"/>
      <c r="E761" s="10"/>
      <c r="F761" s="10"/>
      <c r="G761" s="10"/>
      <c r="H761" s="10"/>
      <c r="I761" s="10"/>
      <c r="J761" s="10"/>
    </row>
    <row r="762" spans="1:10" ht="14.25" customHeight="1" x14ac:dyDescent="0.35">
      <c r="A762" s="10"/>
      <c r="B762" s="10"/>
      <c r="C762" s="10"/>
      <c r="D762" s="10"/>
      <c r="E762" s="10"/>
      <c r="F762" s="10"/>
      <c r="G762" s="10"/>
      <c r="H762" s="10"/>
      <c r="I762" s="10"/>
      <c r="J762" s="10"/>
    </row>
    <row r="763" spans="1:10" ht="14.25" customHeight="1" x14ac:dyDescent="0.35">
      <c r="A763" s="10"/>
      <c r="B763" s="10"/>
      <c r="C763" s="10"/>
      <c r="D763" s="10"/>
      <c r="E763" s="10"/>
      <c r="F763" s="10"/>
      <c r="G763" s="10"/>
      <c r="H763" s="10"/>
      <c r="I763" s="10"/>
      <c r="J763" s="10"/>
    </row>
    <row r="764" spans="1:10" ht="14.25" customHeight="1" x14ac:dyDescent="0.35">
      <c r="A764" s="10"/>
      <c r="B764" s="10"/>
      <c r="C764" s="10"/>
      <c r="D764" s="10"/>
      <c r="E764" s="10"/>
      <c r="F764" s="10"/>
      <c r="G764" s="10"/>
      <c r="H764" s="10"/>
      <c r="I764" s="10"/>
      <c r="J764" s="10"/>
    </row>
    <row r="765" spans="1:10" ht="14.25" customHeight="1" x14ac:dyDescent="0.35">
      <c r="A765" s="10"/>
      <c r="B765" s="10"/>
      <c r="C765" s="10"/>
      <c r="D765" s="10"/>
      <c r="E765" s="10"/>
      <c r="F765" s="10"/>
      <c r="G765" s="10"/>
      <c r="H765" s="10"/>
      <c r="I765" s="10"/>
      <c r="J765" s="10"/>
    </row>
    <row r="766" spans="1:10" ht="14.25" customHeight="1" x14ac:dyDescent="0.35">
      <c r="A766" s="10"/>
      <c r="B766" s="10"/>
      <c r="C766" s="10"/>
      <c r="D766" s="10"/>
      <c r="E766" s="10"/>
      <c r="F766" s="10"/>
      <c r="G766" s="10"/>
      <c r="H766" s="10"/>
      <c r="I766" s="10"/>
      <c r="J766" s="10"/>
    </row>
    <row r="767" spans="1:10" ht="14.25" customHeight="1" x14ac:dyDescent="0.35">
      <c r="A767" s="10"/>
      <c r="B767" s="10"/>
      <c r="C767" s="10"/>
      <c r="D767" s="10"/>
      <c r="E767" s="10"/>
      <c r="F767" s="10"/>
      <c r="G767" s="10"/>
      <c r="H767" s="10"/>
      <c r="I767" s="10"/>
      <c r="J767" s="10"/>
    </row>
    <row r="768" spans="1:10" ht="14.25" customHeight="1" x14ac:dyDescent="0.35">
      <c r="A768" s="10"/>
      <c r="B768" s="10"/>
      <c r="C768" s="10"/>
      <c r="D768" s="10"/>
      <c r="E768" s="10"/>
      <c r="F768" s="10"/>
      <c r="G768" s="10"/>
      <c r="H768" s="10"/>
      <c r="I768" s="10"/>
      <c r="J768" s="10"/>
    </row>
    <row r="769" spans="1:10" ht="14.25" customHeight="1" x14ac:dyDescent="0.35">
      <c r="A769" s="10"/>
      <c r="B769" s="10"/>
      <c r="C769" s="10"/>
      <c r="D769" s="10"/>
      <c r="E769" s="10"/>
      <c r="F769" s="10"/>
      <c r="G769" s="10"/>
      <c r="H769" s="10"/>
      <c r="I769" s="10"/>
      <c r="J769" s="10"/>
    </row>
    <row r="770" spans="1:10" ht="14.25" customHeight="1" x14ac:dyDescent="0.35">
      <c r="A770" s="10"/>
      <c r="B770" s="10"/>
      <c r="C770" s="10"/>
      <c r="D770" s="10"/>
      <c r="E770" s="10"/>
      <c r="F770" s="10"/>
      <c r="G770" s="10"/>
      <c r="H770" s="10"/>
      <c r="I770" s="10"/>
      <c r="J770" s="10"/>
    </row>
    <row r="771" spans="1:10" ht="14.25" customHeight="1" x14ac:dyDescent="0.35">
      <c r="A771" s="10"/>
      <c r="B771" s="10"/>
      <c r="C771" s="10"/>
      <c r="D771" s="10"/>
      <c r="E771" s="10"/>
      <c r="F771" s="10"/>
      <c r="G771" s="10"/>
      <c r="H771" s="10"/>
      <c r="I771" s="10"/>
      <c r="J771" s="10"/>
    </row>
    <row r="772" spans="1:10" ht="14.25" customHeight="1" x14ac:dyDescent="0.35">
      <c r="A772" s="10"/>
      <c r="B772" s="10"/>
      <c r="C772" s="10"/>
      <c r="D772" s="10"/>
      <c r="E772" s="10"/>
      <c r="F772" s="10"/>
      <c r="G772" s="10"/>
      <c r="H772" s="10"/>
      <c r="I772" s="10"/>
      <c r="J772" s="10"/>
    </row>
    <row r="773" spans="1:10" ht="14.25" customHeight="1" x14ac:dyDescent="0.35">
      <c r="A773" s="10"/>
      <c r="B773" s="10"/>
      <c r="C773" s="10"/>
      <c r="D773" s="10"/>
      <c r="E773" s="10"/>
      <c r="F773" s="10"/>
      <c r="G773" s="10"/>
      <c r="H773" s="10"/>
      <c r="I773" s="10"/>
      <c r="J773" s="10"/>
    </row>
    <row r="774" spans="1:10" ht="14.25" customHeight="1" x14ac:dyDescent="0.35">
      <c r="A774" s="10"/>
      <c r="B774" s="10"/>
      <c r="C774" s="10"/>
      <c r="D774" s="10"/>
      <c r="E774" s="10"/>
      <c r="F774" s="10"/>
      <c r="G774" s="10"/>
      <c r="H774" s="10"/>
      <c r="I774" s="10"/>
      <c r="J774" s="10"/>
    </row>
    <row r="775" spans="1:10" ht="14.25" customHeight="1" x14ac:dyDescent="0.35">
      <c r="A775" s="10"/>
      <c r="B775" s="10"/>
      <c r="C775" s="10"/>
      <c r="D775" s="10"/>
      <c r="E775" s="10"/>
      <c r="F775" s="10"/>
      <c r="G775" s="10"/>
      <c r="H775" s="10"/>
      <c r="I775" s="10"/>
      <c r="J775" s="10"/>
    </row>
    <row r="776" spans="1:10" ht="14.25" customHeight="1" x14ac:dyDescent="0.35">
      <c r="A776" s="10"/>
      <c r="B776" s="10"/>
      <c r="C776" s="10"/>
      <c r="D776" s="10"/>
      <c r="E776" s="10"/>
      <c r="F776" s="10"/>
      <c r="G776" s="10"/>
      <c r="H776" s="10"/>
      <c r="I776" s="10"/>
      <c r="J776" s="10"/>
    </row>
    <row r="777" spans="1:10" ht="14.25" customHeight="1" x14ac:dyDescent="0.35">
      <c r="A777" s="10"/>
      <c r="B777" s="10"/>
      <c r="C777" s="10"/>
      <c r="D777" s="10"/>
      <c r="E777" s="10"/>
      <c r="F777" s="10"/>
      <c r="G777" s="10"/>
      <c r="H777" s="10"/>
      <c r="I777" s="10"/>
      <c r="J777" s="10"/>
    </row>
    <row r="778" spans="1:10" ht="14.25" customHeight="1" x14ac:dyDescent="0.35">
      <c r="A778" s="10"/>
      <c r="B778" s="10"/>
      <c r="C778" s="10"/>
      <c r="D778" s="10"/>
      <c r="E778" s="10"/>
      <c r="F778" s="10"/>
      <c r="G778" s="10"/>
      <c r="H778" s="10"/>
      <c r="I778" s="10"/>
      <c r="J778" s="10"/>
    </row>
    <row r="779" spans="1:10" ht="14.25" customHeight="1" x14ac:dyDescent="0.35">
      <c r="A779" s="10"/>
      <c r="B779" s="10"/>
      <c r="C779" s="10"/>
      <c r="D779" s="10"/>
      <c r="E779" s="10"/>
      <c r="F779" s="10"/>
      <c r="G779" s="10"/>
      <c r="H779" s="10"/>
      <c r="I779" s="10"/>
      <c r="J779" s="10"/>
    </row>
    <row r="780" spans="1:10" ht="14.25" customHeight="1" x14ac:dyDescent="0.35">
      <c r="A780" s="10"/>
      <c r="B780" s="10"/>
      <c r="C780" s="10"/>
      <c r="D780" s="10"/>
      <c r="E780" s="10"/>
      <c r="F780" s="10"/>
      <c r="G780" s="10"/>
      <c r="H780" s="10"/>
      <c r="I780" s="10"/>
      <c r="J780" s="10"/>
    </row>
    <row r="781" spans="1:10" ht="14.25" customHeight="1" x14ac:dyDescent="0.35">
      <c r="A781" s="10"/>
      <c r="B781" s="10"/>
      <c r="C781" s="10"/>
      <c r="D781" s="10"/>
      <c r="E781" s="10"/>
      <c r="F781" s="10"/>
      <c r="G781" s="10"/>
      <c r="H781" s="10"/>
      <c r="I781" s="10"/>
      <c r="J781" s="10"/>
    </row>
    <row r="782" spans="1:10" ht="14.25" customHeight="1" x14ac:dyDescent="0.35">
      <c r="A782" s="10"/>
      <c r="B782" s="10"/>
      <c r="C782" s="10"/>
      <c r="D782" s="10"/>
      <c r="E782" s="10"/>
      <c r="F782" s="10"/>
      <c r="G782" s="10"/>
      <c r="H782" s="10"/>
      <c r="I782" s="10"/>
      <c r="J782" s="10"/>
    </row>
    <row r="783" spans="1:10" ht="14.25" customHeight="1" x14ac:dyDescent="0.35">
      <c r="A783" s="10"/>
      <c r="B783" s="10"/>
      <c r="C783" s="10"/>
      <c r="D783" s="10"/>
      <c r="E783" s="10"/>
      <c r="F783" s="10"/>
      <c r="G783" s="10"/>
      <c r="H783" s="10"/>
      <c r="I783" s="10"/>
      <c r="J783" s="10"/>
    </row>
    <row r="784" spans="1:10" ht="14.25" customHeight="1" x14ac:dyDescent="0.35">
      <c r="A784" s="10"/>
      <c r="B784" s="10"/>
      <c r="C784" s="10"/>
      <c r="D784" s="10"/>
      <c r="E784" s="10"/>
      <c r="F784" s="10"/>
      <c r="G784" s="10"/>
      <c r="H784" s="10"/>
      <c r="I784" s="10"/>
      <c r="J784" s="10"/>
    </row>
    <row r="785" spans="1:10" ht="14.25" customHeight="1" x14ac:dyDescent="0.35">
      <c r="A785" s="10"/>
      <c r="B785" s="10"/>
      <c r="C785" s="10"/>
      <c r="D785" s="10"/>
      <c r="E785" s="10"/>
      <c r="F785" s="10"/>
      <c r="G785" s="10"/>
      <c r="H785" s="10"/>
      <c r="I785" s="10"/>
      <c r="J785" s="10"/>
    </row>
    <row r="786" spans="1:10" ht="14.25" customHeight="1" x14ac:dyDescent="0.35">
      <c r="A786" s="10"/>
      <c r="B786" s="10"/>
      <c r="C786" s="10"/>
      <c r="D786" s="10"/>
      <c r="E786" s="10"/>
      <c r="F786" s="10"/>
      <c r="G786" s="10"/>
      <c r="H786" s="10"/>
      <c r="I786" s="10"/>
      <c r="J786" s="10"/>
    </row>
    <row r="787" spans="1:10" ht="14.25" customHeight="1" x14ac:dyDescent="0.35">
      <c r="A787" s="10"/>
      <c r="B787" s="10"/>
      <c r="C787" s="10"/>
      <c r="D787" s="10"/>
      <c r="E787" s="10"/>
      <c r="F787" s="10"/>
      <c r="G787" s="10"/>
      <c r="H787" s="10"/>
      <c r="I787" s="10"/>
      <c r="J787" s="10"/>
    </row>
    <row r="788" spans="1:10" ht="14.25" customHeight="1" x14ac:dyDescent="0.35">
      <c r="A788" s="10"/>
      <c r="B788" s="10"/>
      <c r="C788" s="10"/>
      <c r="D788" s="10"/>
      <c r="E788" s="10"/>
      <c r="F788" s="10"/>
      <c r="G788" s="10"/>
      <c r="H788" s="10"/>
      <c r="I788" s="10"/>
      <c r="J788" s="10"/>
    </row>
    <row r="789" spans="1:10" ht="14.25" customHeight="1" x14ac:dyDescent="0.35">
      <c r="A789" s="10"/>
      <c r="B789" s="10"/>
      <c r="C789" s="10"/>
      <c r="D789" s="10"/>
      <c r="E789" s="10"/>
      <c r="F789" s="10"/>
      <c r="G789" s="10"/>
      <c r="H789" s="10"/>
      <c r="I789" s="10"/>
      <c r="J789" s="10"/>
    </row>
    <row r="790" spans="1:10" ht="14.25" customHeight="1" x14ac:dyDescent="0.35">
      <c r="A790" s="10"/>
      <c r="B790" s="10"/>
      <c r="C790" s="10"/>
      <c r="D790" s="10"/>
      <c r="E790" s="10"/>
      <c r="F790" s="10"/>
      <c r="G790" s="10"/>
      <c r="H790" s="10"/>
      <c r="I790" s="10"/>
      <c r="J790" s="10"/>
    </row>
    <row r="791" spans="1:10" ht="14.25" customHeight="1" x14ac:dyDescent="0.35">
      <c r="A791" s="10"/>
      <c r="B791" s="10"/>
      <c r="C791" s="10"/>
      <c r="D791" s="10"/>
      <c r="E791" s="10"/>
      <c r="F791" s="10"/>
      <c r="G791" s="10"/>
      <c r="H791" s="10"/>
      <c r="I791" s="10"/>
      <c r="J791" s="10"/>
    </row>
    <row r="792" spans="1:10" ht="14.25" customHeight="1" x14ac:dyDescent="0.35">
      <c r="A792" s="10"/>
      <c r="B792" s="10"/>
      <c r="C792" s="10"/>
      <c r="D792" s="10"/>
      <c r="E792" s="10"/>
      <c r="F792" s="10"/>
      <c r="G792" s="10"/>
      <c r="H792" s="10"/>
      <c r="I792" s="10"/>
      <c r="J792" s="10"/>
    </row>
    <row r="793" spans="1:10" ht="14.25" customHeight="1" x14ac:dyDescent="0.35">
      <c r="A793" s="10"/>
      <c r="B793" s="10"/>
      <c r="C793" s="10"/>
      <c r="D793" s="10"/>
      <c r="E793" s="10"/>
      <c r="F793" s="10"/>
      <c r="G793" s="10"/>
      <c r="H793" s="10"/>
      <c r="I793" s="10"/>
      <c r="J793" s="10"/>
    </row>
    <row r="794" spans="1:10" ht="14.25" customHeight="1" x14ac:dyDescent="0.35">
      <c r="A794" s="10"/>
      <c r="B794" s="10"/>
      <c r="C794" s="10"/>
      <c r="D794" s="10"/>
      <c r="E794" s="10"/>
      <c r="F794" s="10"/>
      <c r="G794" s="10"/>
      <c r="H794" s="10"/>
      <c r="I794" s="10"/>
      <c r="J794" s="10"/>
    </row>
    <row r="795" spans="1:10" ht="14.25" customHeight="1" x14ac:dyDescent="0.35">
      <c r="A795" s="10"/>
      <c r="B795" s="10"/>
      <c r="C795" s="10"/>
      <c r="D795" s="10"/>
      <c r="E795" s="10"/>
      <c r="F795" s="10"/>
      <c r="G795" s="10"/>
      <c r="H795" s="10"/>
      <c r="I795" s="10"/>
      <c r="J795" s="10"/>
    </row>
    <row r="796" spans="1:10" ht="14.25" customHeight="1" x14ac:dyDescent="0.35">
      <c r="A796" s="10"/>
      <c r="B796" s="10"/>
      <c r="C796" s="10"/>
      <c r="D796" s="10"/>
      <c r="E796" s="10"/>
      <c r="F796" s="10"/>
      <c r="G796" s="10"/>
      <c r="H796" s="10"/>
      <c r="I796" s="10"/>
      <c r="J796" s="10"/>
    </row>
    <row r="797" spans="1:10" ht="14.25" customHeight="1" x14ac:dyDescent="0.35">
      <c r="A797" s="10"/>
      <c r="B797" s="10"/>
      <c r="C797" s="10"/>
      <c r="D797" s="10"/>
      <c r="E797" s="10"/>
      <c r="F797" s="10"/>
      <c r="G797" s="10"/>
      <c r="H797" s="10"/>
      <c r="I797" s="10"/>
      <c r="J797" s="10"/>
    </row>
    <row r="798" spans="1:10" ht="14.25" customHeight="1" x14ac:dyDescent="0.35">
      <c r="A798" s="10"/>
      <c r="B798" s="10"/>
      <c r="C798" s="10"/>
      <c r="D798" s="10"/>
      <c r="E798" s="10"/>
      <c r="F798" s="10"/>
      <c r="G798" s="10"/>
      <c r="H798" s="10"/>
      <c r="I798" s="10"/>
      <c r="J798" s="10"/>
    </row>
    <row r="799" spans="1:10" ht="14.25" customHeight="1" x14ac:dyDescent="0.35">
      <c r="A799" s="10"/>
      <c r="B799" s="10"/>
      <c r="C799" s="10"/>
      <c r="D799" s="10"/>
      <c r="E799" s="10"/>
      <c r="F799" s="10"/>
      <c r="G799" s="10"/>
      <c r="H799" s="10"/>
      <c r="I799" s="10"/>
      <c r="J799" s="10"/>
    </row>
    <row r="800" spans="1:10" ht="14.25" customHeight="1" x14ac:dyDescent="0.35">
      <c r="A800" s="10"/>
      <c r="B800" s="10"/>
      <c r="C800" s="10"/>
      <c r="D800" s="10"/>
      <c r="E800" s="10"/>
      <c r="F800" s="10"/>
      <c r="G800" s="10"/>
      <c r="H800" s="10"/>
      <c r="I800" s="10"/>
      <c r="J800" s="10"/>
    </row>
    <row r="801" spans="1:10" ht="14.25" customHeight="1" x14ac:dyDescent="0.35">
      <c r="A801" s="10"/>
      <c r="B801" s="10"/>
      <c r="C801" s="10"/>
      <c r="D801" s="10"/>
      <c r="E801" s="10"/>
      <c r="F801" s="10"/>
      <c r="G801" s="10"/>
      <c r="H801" s="10"/>
      <c r="I801" s="10"/>
      <c r="J801" s="10"/>
    </row>
    <row r="802" spans="1:10" ht="14.25" customHeight="1" x14ac:dyDescent="0.35">
      <c r="A802" s="10"/>
      <c r="B802" s="10"/>
      <c r="C802" s="10"/>
      <c r="D802" s="10"/>
      <c r="E802" s="10"/>
      <c r="F802" s="10"/>
      <c r="G802" s="10"/>
      <c r="H802" s="10"/>
      <c r="I802" s="10"/>
      <c r="J802" s="10"/>
    </row>
    <row r="803" spans="1:10" ht="14.25" customHeight="1" x14ac:dyDescent="0.35">
      <c r="A803" s="10"/>
      <c r="B803" s="10"/>
      <c r="C803" s="10"/>
      <c r="D803" s="10"/>
      <c r="E803" s="10"/>
      <c r="F803" s="10"/>
      <c r="G803" s="10"/>
      <c r="H803" s="10"/>
      <c r="I803" s="10"/>
      <c r="J803" s="10"/>
    </row>
    <row r="804" spans="1:10" ht="14.25" customHeight="1" x14ac:dyDescent="0.35">
      <c r="A804" s="10"/>
      <c r="B804" s="10"/>
      <c r="C804" s="10"/>
      <c r="D804" s="10"/>
      <c r="E804" s="10"/>
      <c r="F804" s="10"/>
      <c r="G804" s="10"/>
      <c r="H804" s="10"/>
      <c r="I804" s="10"/>
      <c r="J804" s="10"/>
    </row>
    <row r="805" spans="1:10" ht="14.25" customHeight="1" x14ac:dyDescent="0.35">
      <c r="A805" s="10"/>
      <c r="B805" s="10"/>
      <c r="C805" s="10"/>
      <c r="D805" s="10"/>
      <c r="E805" s="10"/>
      <c r="F805" s="10"/>
      <c r="G805" s="10"/>
      <c r="H805" s="10"/>
      <c r="I805" s="10"/>
      <c r="J805" s="10"/>
    </row>
    <row r="806" spans="1:10" ht="14.25" customHeight="1" x14ac:dyDescent="0.35">
      <c r="A806" s="10"/>
      <c r="B806" s="10"/>
      <c r="C806" s="10"/>
      <c r="D806" s="10"/>
      <c r="E806" s="10"/>
      <c r="F806" s="10"/>
      <c r="G806" s="10"/>
      <c r="H806" s="10"/>
      <c r="I806" s="10"/>
      <c r="J806" s="10"/>
    </row>
    <row r="807" spans="1:10" ht="14.25" customHeight="1" x14ac:dyDescent="0.35">
      <c r="A807" s="10"/>
      <c r="B807" s="10"/>
      <c r="C807" s="10"/>
      <c r="D807" s="10"/>
      <c r="E807" s="10"/>
      <c r="F807" s="10"/>
      <c r="G807" s="10"/>
      <c r="H807" s="10"/>
      <c r="I807" s="10"/>
      <c r="J807" s="10"/>
    </row>
    <row r="808" spans="1:10" ht="14.25" customHeight="1" x14ac:dyDescent="0.35">
      <c r="A808" s="10"/>
      <c r="B808" s="10"/>
      <c r="C808" s="10"/>
      <c r="D808" s="10"/>
      <c r="E808" s="10"/>
      <c r="F808" s="10"/>
      <c r="G808" s="10"/>
      <c r="H808" s="10"/>
      <c r="I808" s="10"/>
      <c r="J808" s="10"/>
    </row>
    <row r="809" spans="1:10" ht="14.25" customHeight="1" x14ac:dyDescent="0.35">
      <c r="A809" s="10"/>
      <c r="B809" s="10"/>
      <c r="C809" s="10"/>
      <c r="D809" s="10"/>
      <c r="E809" s="10"/>
      <c r="F809" s="10"/>
      <c r="G809" s="10"/>
      <c r="H809" s="10"/>
      <c r="I809" s="10"/>
      <c r="J809" s="10"/>
    </row>
    <row r="810" spans="1:10" ht="14.25" customHeight="1" x14ac:dyDescent="0.35">
      <c r="A810" s="10"/>
      <c r="B810" s="10"/>
      <c r="C810" s="10"/>
      <c r="D810" s="10"/>
      <c r="E810" s="10"/>
      <c r="F810" s="10"/>
      <c r="G810" s="10"/>
      <c r="H810" s="10"/>
      <c r="I810" s="10"/>
      <c r="J810" s="10"/>
    </row>
    <row r="811" spans="1:10" ht="14.25" customHeight="1" x14ac:dyDescent="0.35">
      <c r="A811" s="10"/>
      <c r="B811" s="10"/>
      <c r="C811" s="10"/>
      <c r="D811" s="10"/>
      <c r="E811" s="10"/>
      <c r="F811" s="10"/>
      <c r="G811" s="10"/>
      <c r="H811" s="10"/>
      <c r="I811" s="10"/>
      <c r="J811" s="10"/>
    </row>
    <row r="812" spans="1:10" ht="14.25" customHeight="1" x14ac:dyDescent="0.35">
      <c r="A812" s="10"/>
      <c r="B812" s="10"/>
      <c r="C812" s="10"/>
      <c r="D812" s="10"/>
      <c r="E812" s="10"/>
      <c r="F812" s="10"/>
      <c r="G812" s="10"/>
      <c r="H812" s="10"/>
      <c r="I812" s="10"/>
      <c r="J812" s="10"/>
    </row>
    <row r="813" spans="1:10" ht="14.25" customHeight="1" x14ac:dyDescent="0.35">
      <c r="A813" s="10"/>
      <c r="B813" s="10"/>
      <c r="C813" s="10"/>
      <c r="D813" s="10"/>
      <c r="E813" s="10"/>
      <c r="F813" s="10"/>
      <c r="G813" s="10"/>
      <c r="H813" s="10"/>
      <c r="I813" s="10"/>
      <c r="J813" s="10"/>
    </row>
    <row r="814" spans="1:10" ht="14.25" customHeight="1" x14ac:dyDescent="0.35">
      <c r="A814" s="10"/>
      <c r="B814" s="10"/>
      <c r="C814" s="10"/>
      <c r="D814" s="10"/>
      <c r="E814" s="10"/>
      <c r="F814" s="10"/>
      <c r="G814" s="10"/>
      <c r="H814" s="10"/>
      <c r="I814" s="10"/>
      <c r="J814" s="10"/>
    </row>
    <row r="815" spans="1:10" ht="14.25" customHeight="1" x14ac:dyDescent="0.35">
      <c r="A815" s="10"/>
      <c r="B815" s="10"/>
      <c r="C815" s="10"/>
      <c r="D815" s="10"/>
      <c r="E815" s="10"/>
      <c r="F815" s="10"/>
      <c r="G815" s="10"/>
      <c r="H815" s="10"/>
      <c r="I815" s="10"/>
      <c r="J815" s="10"/>
    </row>
    <row r="816" spans="1:10" ht="14.25" customHeight="1" x14ac:dyDescent="0.35">
      <c r="A816" s="10"/>
      <c r="B816" s="10"/>
      <c r="C816" s="10"/>
      <c r="D816" s="10"/>
      <c r="E816" s="10"/>
      <c r="F816" s="10"/>
      <c r="G816" s="10"/>
      <c r="H816" s="10"/>
      <c r="I816" s="10"/>
      <c r="J816" s="10"/>
    </row>
    <row r="817" spans="1:10" ht="14.25" customHeight="1" x14ac:dyDescent="0.35">
      <c r="A817" s="10"/>
      <c r="B817" s="10"/>
      <c r="C817" s="10"/>
      <c r="D817" s="10"/>
      <c r="E817" s="10"/>
      <c r="F817" s="10"/>
      <c r="G817" s="10"/>
      <c r="H817" s="10"/>
      <c r="I817" s="10"/>
      <c r="J817" s="10"/>
    </row>
    <row r="818" spans="1:10" ht="14.25" customHeight="1" x14ac:dyDescent="0.35">
      <c r="A818" s="10"/>
      <c r="B818" s="10"/>
      <c r="C818" s="10"/>
      <c r="D818" s="10"/>
      <c r="E818" s="10"/>
      <c r="F818" s="10"/>
      <c r="G818" s="10"/>
      <c r="H818" s="10"/>
      <c r="I818" s="10"/>
      <c r="J818" s="10"/>
    </row>
    <row r="819" spans="1:10" ht="14.25" customHeight="1" x14ac:dyDescent="0.35">
      <c r="A819" s="10"/>
      <c r="B819" s="10"/>
      <c r="C819" s="10"/>
      <c r="D819" s="10"/>
      <c r="E819" s="10"/>
      <c r="F819" s="10"/>
      <c r="G819" s="10"/>
      <c r="H819" s="10"/>
      <c r="I819" s="10"/>
      <c r="J819" s="10"/>
    </row>
    <row r="820" spans="1:10" ht="14.25" customHeight="1" x14ac:dyDescent="0.35">
      <c r="A820" s="10"/>
      <c r="B820" s="10"/>
      <c r="C820" s="10"/>
      <c r="D820" s="10"/>
      <c r="E820" s="10"/>
      <c r="F820" s="10"/>
      <c r="G820" s="10"/>
      <c r="H820" s="10"/>
      <c r="I820" s="10"/>
      <c r="J820" s="10"/>
    </row>
    <row r="821" spans="1:10" ht="14.25" customHeight="1" x14ac:dyDescent="0.35">
      <c r="A821" s="10"/>
      <c r="B821" s="10"/>
      <c r="C821" s="10"/>
      <c r="D821" s="10"/>
      <c r="E821" s="10"/>
      <c r="F821" s="10"/>
      <c r="G821" s="10"/>
      <c r="H821" s="10"/>
      <c r="I821" s="10"/>
      <c r="J821" s="10"/>
    </row>
    <row r="822" spans="1:10" ht="14.25" customHeight="1" x14ac:dyDescent="0.35">
      <c r="A822" s="10"/>
      <c r="B822" s="10"/>
      <c r="C822" s="10"/>
      <c r="D822" s="10"/>
      <c r="E822" s="10"/>
      <c r="F822" s="10"/>
      <c r="G822" s="10"/>
      <c r="H822" s="10"/>
      <c r="I822" s="10"/>
      <c r="J822" s="10"/>
    </row>
    <row r="823" spans="1:10" ht="14.25" customHeight="1" x14ac:dyDescent="0.35">
      <c r="A823" s="10"/>
      <c r="B823" s="10"/>
      <c r="C823" s="10"/>
      <c r="D823" s="10"/>
      <c r="E823" s="10"/>
      <c r="F823" s="10"/>
      <c r="G823" s="10"/>
      <c r="H823" s="10"/>
      <c r="I823" s="10"/>
      <c r="J823" s="10"/>
    </row>
    <row r="824" spans="1:10" ht="14.25" customHeight="1" x14ac:dyDescent="0.35">
      <c r="A824" s="10"/>
      <c r="B824" s="10"/>
      <c r="C824" s="10"/>
      <c r="D824" s="10"/>
      <c r="E824" s="10"/>
      <c r="F824" s="10"/>
      <c r="G824" s="10"/>
      <c r="H824" s="10"/>
      <c r="I824" s="10"/>
      <c r="J824" s="10"/>
    </row>
    <row r="825" spans="1:10" ht="14.25" customHeight="1" x14ac:dyDescent="0.35">
      <c r="A825" s="10"/>
      <c r="B825" s="10"/>
      <c r="C825" s="10"/>
      <c r="D825" s="10"/>
      <c r="E825" s="10"/>
      <c r="F825" s="10"/>
      <c r="G825" s="10"/>
      <c r="H825" s="10"/>
      <c r="I825" s="10"/>
      <c r="J825" s="10"/>
    </row>
    <row r="826" spans="1:10" ht="14.25" customHeight="1" x14ac:dyDescent="0.35">
      <c r="A826" s="10"/>
      <c r="B826" s="10"/>
      <c r="C826" s="10"/>
      <c r="D826" s="10"/>
      <c r="E826" s="10"/>
      <c r="F826" s="10"/>
      <c r="G826" s="10"/>
      <c r="H826" s="10"/>
      <c r="I826" s="10"/>
      <c r="J826" s="10"/>
    </row>
    <row r="827" spans="1:10" ht="14.25" customHeight="1" x14ac:dyDescent="0.35">
      <c r="A827" s="10"/>
      <c r="B827" s="10"/>
      <c r="C827" s="10"/>
      <c r="D827" s="10"/>
      <c r="E827" s="10"/>
      <c r="F827" s="10"/>
      <c r="G827" s="10"/>
      <c r="H827" s="10"/>
      <c r="I827" s="10"/>
      <c r="J827" s="10"/>
    </row>
    <row r="828" spans="1:10" ht="14.25" customHeight="1" x14ac:dyDescent="0.35">
      <c r="A828" s="10"/>
      <c r="B828" s="10"/>
      <c r="C828" s="10"/>
      <c r="D828" s="10"/>
      <c r="E828" s="10"/>
      <c r="F828" s="10"/>
      <c r="G828" s="10"/>
      <c r="H828" s="10"/>
      <c r="I828" s="10"/>
      <c r="J828" s="10"/>
    </row>
    <row r="829" spans="1:10" ht="14.25" customHeight="1" x14ac:dyDescent="0.35">
      <c r="A829" s="10"/>
      <c r="B829" s="10"/>
      <c r="C829" s="10"/>
      <c r="D829" s="10"/>
      <c r="E829" s="10"/>
      <c r="F829" s="10"/>
      <c r="G829" s="10"/>
      <c r="H829" s="10"/>
      <c r="I829" s="10"/>
      <c r="J829" s="10"/>
    </row>
    <row r="830" spans="1:10" ht="14.25" customHeight="1" x14ac:dyDescent="0.35">
      <c r="A830" s="10"/>
      <c r="B830" s="10"/>
      <c r="C830" s="10"/>
      <c r="D830" s="10"/>
      <c r="E830" s="10"/>
      <c r="F830" s="10"/>
      <c r="G830" s="10"/>
      <c r="H830" s="10"/>
      <c r="I830" s="10"/>
      <c r="J830" s="10"/>
    </row>
    <row r="831" spans="1:10" ht="14.25" customHeight="1" x14ac:dyDescent="0.35">
      <c r="A831" s="10"/>
      <c r="B831" s="10"/>
      <c r="C831" s="10"/>
      <c r="D831" s="10"/>
      <c r="E831" s="10"/>
      <c r="F831" s="10"/>
      <c r="G831" s="10"/>
      <c r="H831" s="10"/>
      <c r="I831" s="10"/>
      <c r="J831" s="10"/>
    </row>
    <row r="832" spans="1:10" ht="14.25" customHeight="1" x14ac:dyDescent="0.35">
      <c r="A832" s="10"/>
      <c r="B832" s="10"/>
      <c r="C832" s="10"/>
      <c r="D832" s="10"/>
      <c r="E832" s="10"/>
      <c r="F832" s="10"/>
      <c r="G832" s="10"/>
      <c r="H832" s="10"/>
      <c r="I832" s="10"/>
      <c r="J832" s="10"/>
    </row>
    <row r="833" spans="1:10" ht="14.25" customHeight="1" x14ac:dyDescent="0.35">
      <c r="A833" s="10"/>
      <c r="B833" s="10"/>
      <c r="C833" s="10"/>
      <c r="D833" s="10"/>
      <c r="E833" s="10"/>
      <c r="F833" s="10"/>
      <c r="G833" s="10"/>
      <c r="H833" s="10"/>
      <c r="I833" s="10"/>
      <c r="J833" s="10"/>
    </row>
    <row r="834" spans="1:10" ht="14.25" customHeight="1" x14ac:dyDescent="0.35">
      <c r="A834" s="10"/>
      <c r="B834" s="10"/>
      <c r="C834" s="10"/>
      <c r="D834" s="10"/>
      <c r="E834" s="10"/>
      <c r="F834" s="10"/>
      <c r="G834" s="10"/>
      <c r="H834" s="10"/>
      <c r="I834" s="10"/>
      <c r="J834" s="10"/>
    </row>
    <row r="835" spans="1:10" ht="14.25" customHeight="1" x14ac:dyDescent="0.35">
      <c r="A835" s="10"/>
      <c r="B835" s="10"/>
      <c r="C835" s="10"/>
      <c r="D835" s="10"/>
      <c r="E835" s="10"/>
      <c r="F835" s="10"/>
      <c r="G835" s="10"/>
      <c r="H835" s="10"/>
      <c r="I835" s="10"/>
      <c r="J835" s="10"/>
    </row>
    <row r="836" spans="1:10" ht="14.25" customHeight="1" x14ac:dyDescent="0.35">
      <c r="A836" s="10"/>
      <c r="B836" s="10"/>
      <c r="C836" s="10"/>
      <c r="D836" s="10"/>
      <c r="E836" s="10"/>
      <c r="F836" s="10"/>
      <c r="G836" s="10"/>
      <c r="H836" s="10"/>
      <c r="I836" s="10"/>
      <c r="J836" s="10"/>
    </row>
    <row r="837" spans="1:10" ht="14.25" customHeight="1" x14ac:dyDescent="0.35">
      <c r="A837" s="10"/>
      <c r="B837" s="10"/>
      <c r="C837" s="10"/>
      <c r="D837" s="10"/>
      <c r="E837" s="10"/>
      <c r="F837" s="10"/>
      <c r="G837" s="10"/>
      <c r="H837" s="10"/>
      <c r="I837" s="10"/>
      <c r="J837" s="10"/>
    </row>
    <row r="838" spans="1:10" ht="14.25" customHeight="1" x14ac:dyDescent="0.35">
      <c r="A838" s="10"/>
      <c r="B838" s="10"/>
      <c r="C838" s="10"/>
      <c r="D838" s="10"/>
      <c r="E838" s="10"/>
      <c r="F838" s="10"/>
      <c r="G838" s="10"/>
      <c r="H838" s="10"/>
      <c r="I838" s="10"/>
      <c r="J838" s="10"/>
    </row>
    <row r="839" spans="1:10" ht="14.25" customHeight="1" x14ac:dyDescent="0.35">
      <c r="A839" s="10"/>
      <c r="B839" s="10"/>
      <c r="C839" s="10"/>
      <c r="D839" s="10"/>
      <c r="E839" s="10"/>
      <c r="F839" s="10"/>
      <c r="G839" s="10"/>
      <c r="H839" s="10"/>
      <c r="I839" s="10"/>
      <c r="J839" s="10"/>
    </row>
    <row r="840" spans="1:10" ht="14.25" customHeight="1" x14ac:dyDescent="0.35">
      <c r="A840" s="10"/>
      <c r="B840" s="10"/>
      <c r="C840" s="10"/>
      <c r="D840" s="10"/>
      <c r="E840" s="10"/>
      <c r="F840" s="10"/>
      <c r="G840" s="10"/>
      <c r="H840" s="10"/>
      <c r="I840" s="10"/>
      <c r="J840" s="10"/>
    </row>
    <row r="841" spans="1:10" ht="14.25" customHeight="1" x14ac:dyDescent="0.35">
      <c r="A841" s="10"/>
      <c r="B841" s="10"/>
      <c r="C841" s="10"/>
      <c r="D841" s="10"/>
      <c r="E841" s="10"/>
      <c r="F841" s="10"/>
      <c r="G841" s="10"/>
      <c r="H841" s="10"/>
      <c r="I841" s="10"/>
      <c r="J841" s="10"/>
    </row>
    <row r="842" spans="1:10" ht="14.25" customHeight="1" x14ac:dyDescent="0.35">
      <c r="A842" s="10"/>
      <c r="B842" s="10"/>
      <c r="C842" s="10"/>
      <c r="D842" s="10"/>
      <c r="E842" s="10"/>
      <c r="F842" s="10"/>
      <c r="G842" s="10"/>
      <c r="H842" s="10"/>
      <c r="I842" s="10"/>
      <c r="J842" s="10"/>
    </row>
    <row r="843" spans="1:10" ht="14.25" customHeight="1" x14ac:dyDescent="0.35">
      <c r="A843" s="10"/>
      <c r="B843" s="10"/>
      <c r="C843" s="10"/>
      <c r="D843" s="10"/>
      <c r="E843" s="10"/>
      <c r="F843" s="10"/>
      <c r="G843" s="10"/>
      <c r="H843" s="10"/>
      <c r="I843" s="10"/>
      <c r="J843" s="10"/>
    </row>
    <row r="844" spans="1:10" ht="14.25" customHeight="1" x14ac:dyDescent="0.35">
      <c r="A844" s="10"/>
      <c r="B844" s="10"/>
      <c r="C844" s="10"/>
      <c r="D844" s="10"/>
      <c r="E844" s="10"/>
      <c r="F844" s="10"/>
      <c r="G844" s="10"/>
      <c r="H844" s="10"/>
      <c r="I844" s="10"/>
      <c r="J844" s="10"/>
    </row>
    <row r="845" spans="1:10" ht="14.25" customHeight="1" x14ac:dyDescent="0.35">
      <c r="A845" s="10"/>
      <c r="B845" s="10"/>
      <c r="C845" s="10"/>
      <c r="D845" s="10"/>
      <c r="E845" s="10"/>
      <c r="F845" s="10"/>
      <c r="G845" s="10"/>
      <c r="H845" s="10"/>
      <c r="I845" s="10"/>
      <c r="J845" s="10"/>
    </row>
    <row r="846" spans="1:10" ht="14.25" customHeight="1" x14ac:dyDescent="0.35">
      <c r="A846" s="10"/>
      <c r="B846" s="10"/>
      <c r="C846" s="10"/>
      <c r="D846" s="10"/>
      <c r="E846" s="10"/>
      <c r="F846" s="10"/>
      <c r="G846" s="10"/>
      <c r="H846" s="10"/>
      <c r="I846" s="10"/>
      <c r="J846" s="10"/>
    </row>
    <row r="847" spans="1:10" ht="14.25" customHeight="1" x14ac:dyDescent="0.35">
      <c r="A847" s="10"/>
      <c r="B847" s="10"/>
      <c r="C847" s="10"/>
      <c r="D847" s="10"/>
      <c r="E847" s="10"/>
      <c r="F847" s="10"/>
      <c r="G847" s="10"/>
      <c r="H847" s="10"/>
      <c r="I847" s="10"/>
      <c r="J847" s="10"/>
    </row>
    <row r="848" spans="1:10" ht="14.25" customHeight="1" x14ac:dyDescent="0.35">
      <c r="A848" s="10"/>
      <c r="B848" s="10"/>
      <c r="C848" s="10"/>
      <c r="D848" s="10"/>
      <c r="E848" s="10"/>
      <c r="F848" s="10"/>
      <c r="G848" s="10"/>
      <c r="H848" s="10"/>
      <c r="I848" s="10"/>
      <c r="J848" s="10"/>
    </row>
    <row r="849" spans="1:10" ht="14.25" customHeight="1" x14ac:dyDescent="0.35">
      <c r="A849" s="10"/>
      <c r="B849" s="10"/>
      <c r="C849" s="10"/>
      <c r="D849" s="10"/>
      <c r="E849" s="10"/>
      <c r="F849" s="10"/>
      <c r="G849" s="10"/>
      <c r="H849" s="10"/>
      <c r="I849" s="10"/>
      <c r="J849" s="10"/>
    </row>
    <row r="850" spans="1:10" ht="14.25" customHeight="1" x14ac:dyDescent="0.35">
      <c r="A850" s="10"/>
      <c r="B850" s="10"/>
      <c r="C850" s="10"/>
      <c r="D850" s="10"/>
      <c r="E850" s="10"/>
      <c r="F850" s="10"/>
      <c r="G850" s="10"/>
      <c r="H850" s="10"/>
      <c r="I850" s="10"/>
      <c r="J850" s="10"/>
    </row>
    <row r="851" spans="1:10" ht="14.25" customHeight="1" x14ac:dyDescent="0.35">
      <c r="A851" s="10"/>
      <c r="B851" s="10"/>
      <c r="C851" s="10"/>
      <c r="D851" s="10"/>
      <c r="E851" s="10"/>
      <c r="F851" s="10"/>
      <c r="G851" s="10"/>
      <c r="H851" s="10"/>
      <c r="I851" s="10"/>
      <c r="J851" s="10"/>
    </row>
    <row r="852" spans="1:10" ht="14.25" customHeight="1" x14ac:dyDescent="0.35">
      <c r="A852" s="10"/>
      <c r="B852" s="10"/>
      <c r="C852" s="10"/>
      <c r="D852" s="10"/>
      <c r="E852" s="10"/>
      <c r="F852" s="10"/>
      <c r="G852" s="10"/>
      <c r="H852" s="10"/>
      <c r="I852" s="10"/>
      <c r="J852" s="10"/>
    </row>
    <row r="853" spans="1:10" ht="14.25" customHeight="1" x14ac:dyDescent="0.35">
      <c r="A853" s="10"/>
      <c r="B853" s="10"/>
      <c r="C853" s="10"/>
      <c r="D853" s="10"/>
      <c r="E853" s="10"/>
      <c r="F853" s="10"/>
      <c r="G853" s="10"/>
      <c r="H853" s="10"/>
      <c r="I853" s="10"/>
      <c r="J853" s="10"/>
    </row>
    <row r="854" spans="1:10" ht="14.25" customHeight="1" x14ac:dyDescent="0.35">
      <c r="A854" s="10"/>
      <c r="B854" s="10"/>
      <c r="C854" s="10"/>
      <c r="D854" s="10"/>
      <c r="E854" s="10"/>
      <c r="F854" s="10"/>
      <c r="G854" s="10"/>
      <c r="H854" s="10"/>
      <c r="I854" s="10"/>
      <c r="J854" s="10"/>
    </row>
    <row r="855" spans="1:10" ht="14.25" customHeight="1" x14ac:dyDescent="0.35">
      <c r="A855" s="10"/>
      <c r="B855" s="10"/>
      <c r="C855" s="10"/>
      <c r="D855" s="10"/>
      <c r="E855" s="10"/>
      <c r="F855" s="10"/>
      <c r="G855" s="10"/>
      <c r="H855" s="10"/>
      <c r="I855" s="10"/>
      <c r="J855" s="10"/>
    </row>
    <row r="856" spans="1:10" ht="14.25" customHeight="1" x14ac:dyDescent="0.35">
      <c r="A856" s="10"/>
      <c r="B856" s="10"/>
      <c r="C856" s="10"/>
      <c r="D856" s="10"/>
      <c r="E856" s="10"/>
      <c r="F856" s="10"/>
      <c r="G856" s="10"/>
      <c r="H856" s="10"/>
      <c r="I856" s="10"/>
      <c r="J856" s="10"/>
    </row>
    <row r="857" spans="1:10" ht="14.25" customHeight="1" x14ac:dyDescent="0.35">
      <c r="A857" s="10"/>
      <c r="B857" s="10"/>
      <c r="C857" s="10"/>
      <c r="D857" s="10"/>
      <c r="E857" s="10"/>
      <c r="F857" s="10"/>
      <c r="G857" s="10"/>
      <c r="H857" s="10"/>
      <c r="I857" s="10"/>
      <c r="J857" s="10"/>
    </row>
    <row r="858" spans="1:10" ht="14.25" customHeight="1" x14ac:dyDescent="0.35">
      <c r="A858" s="10"/>
      <c r="B858" s="10"/>
      <c r="C858" s="10"/>
      <c r="D858" s="10"/>
      <c r="E858" s="10"/>
      <c r="F858" s="10"/>
      <c r="G858" s="10"/>
      <c r="H858" s="10"/>
      <c r="I858" s="10"/>
      <c r="J858" s="10"/>
    </row>
    <row r="859" spans="1:10" ht="14.25" customHeight="1" x14ac:dyDescent="0.35">
      <c r="A859" s="10"/>
      <c r="B859" s="10"/>
      <c r="C859" s="10"/>
      <c r="D859" s="10"/>
      <c r="E859" s="10"/>
      <c r="F859" s="10"/>
      <c r="G859" s="10"/>
      <c r="H859" s="10"/>
      <c r="I859" s="10"/>
      <c r="J859" s="10"/>
    </row>
    <row r="860" spans="1:10" ht="14.25" customHeight="1" x14ac:dyDescent="0.35">
      <c r="A860" s="10"/>
      <c r="B860" s="10"/>
      <c r="C860" s="10"/>
      <c r="D860" s="10"/>
      <c r="E860" s="10"/>
      <c r="F860" s="10"/>
      <c r="G860" s="10"/>
      <c r="H860" s="10"/>
      <c r="I860" s="10"/>
      <c r="J860" s="10"/>
    </row>
    <row r="861" spans="1:10" ht="14.25" customHeight="1" x14ac:dyDescent="0.35">
      <c r="A861" s="10"/>
      <c r="B861" s="10"/>
      <c r="C861" s="10"/>
      <c r="D861" s="10"/>
      <c r="E861" s="10"/>
      <c r="F861" s="10"/>
      <c r="G861" s="10"/>
      <c r="H861" s="10"/>
      <c r="I861" s="10"/>
      <c r="J861" s="10"/>
    </row>
    <row r="862" spans="1:10" ht="14.25" customHeight="1" x14ac:dyDescent="0.35">
      <c r="A862" s="10"/>
      <c r="B862" s="10"/>
      <c r="C862" s="10"/>
      <c r="D862" s="10"/>
      <c r="E862" s="10"/>
      <c r="F862" s="10"/>
      <c r="G862" s="10"/>
      <c r="H862" s="10"/>
      <c r="I862" s="10"/>
      <c r="J862" s="10"/>
    </row>
    <row r="863" spans="1:10" ht="14.25" customHeight="1" x14ac:dyDescent="0.35">
      <c r="A863" s="10"/>
      <c r="B863" s="10"/>
      <c r="C863" s="10"/>
      <c r="D863" s="10"/>
      <c r="E863" s="10"/>
      <c r="F863" s="10"/>
      <c r="G863" s="10"/>
      <c r="H863" s="10"/>
      <c r="I863" s="10"/>
      <c r="J863" s="10"/>
    </row>
    <row r="864" spans="1:10" ht="14.25" customHeight="1" x14ac:dyDescent="0.35">
      <c r="A864" s="10"/>
      <c r="B864" s="10"/>
      <c r="C864" s="10"/>
      <c r="D864" s="10"/>
      <c r="E864" s="10"/>
      <c r="F864" s="10"/>
      <c r="G864" s="10"/>
      <c r="H864" s="10"/>
      <c r="I864" s="10"/>
      <c r="J864" s="10"/>
    </row>
    <row r="865" spans="1:10" ht="14.25" customHeight="1" x14ac:dyDescent="0.35">
      <c r="A865" s="10"/>
      <c r="B865" s="10"/>
      <c r="C865" s="10"/>
      <c r="D865" s="10"/>
      <c r="E865" s="10"/>
      <c r="F865" s="10"/>
      <c r="G865" s="10"/>
      <c r="H865" s="10"/>
      <c r="I865" s="10"/>
      <c r="J865" s="10"/>
    </row>
    <row r="866" spans="1:10" ht="14.25" customHeight="1" x14ac:dyDescent="0.35">
      <c r="A866" s="10"/>
      <c r="B866" s="10"/>
      <c r="C866" s="10"/>
      <c r="D866" s="10"/>
      <c r="E866" s="10"/>
      <c r="F866" s="10"/>
      <c r="G866" s="10"/>
      <c r="H866" s="10"/>
      <c r="I866" s="10"/>
      <c r="J866" s="10"/>
    </row>
    <row r="867" spans="1:10" ht="14.25" customHeight="1" x14ac:dyDescent="0.35">
      <c r="A867" s="10"/>
      <c r="B867" s="10"/>
      <c r="C867" s="10"/>
      <c r="D867" s="10"/>
      <c r="E867" s="10"/>
      <c r="F867" s="10"/>
      <c r="G867" s="10"/>
      <c r="H867" s="10"/>
      <c r="I867" s="10"/>
      <c r="J867" s="10"/>
    </row>
    <row r="868" spans="1:10" ht="14.25" customHeight="1" x14ac:dyDescent="0.35">
      <c r="A868" s="10"/>
      <c r="B868" s="10"/>
      <c r="C868" s="10"/>
      <c r="D868" s="10"/>
      <c r="E868" s="10"/>
      <c r="F868" s="10"/>
      <c r="G868" s="10"/>
      <c r="H868" s="10"/>
      <c r="I868" s="10"/>
      <c r="J868" s="10"/>
    </row>
    <row r="869" spans="1:10" ht="14.25" customHeight="1" x14ac:dyDescent="0.35">
      <c r="A869" s="10"/>
      <c r="B869" s="10"/>
      <c r="C869" s="10"/>
      <c r="D869" s="10"/>
      <c r="E869" s="10"/>
      <c r="F869" s="10"/>
      <c r="G869" s="10"/>
      <c r="H869" s="10"/>
      <c r="I869" s="10"/>
      <c r="J869" s="10"/>
    </row>
    <row r="870" spans="1:10" ht="14.25" customHeight="1" x14ac:dyDescent="0.35">
      <c r="A870" s="10"/>
      <c r="B870" s="10"/>
      <c r="C870" s="10"/>
      <c r="D870" s="10"/>
      <c r="E870" s="10"/>
      <c r="F870" s="10"/>
      <c r="G870" s="10"/>
      <c r="H870" s="10"/>
      <c r="I870" s="10"/>
      <c r="J870" s="10"/>
    </row>
    <row r="871" spans="1:10" ht="14.25" customHeight="1" x14ac:dyDescent="0.35">
      <c r="A871" s="10"/>
      <c r="B871" s="10"/>
      <c r="C871" s="10"/>
      <c r="D871" s="10"/>
      <c r="E871" s="10"/>
      <c r="F871" s="10"/>
      <c r="G871" s="10"/>
      <c r="H871" s="10"/>
      <c r="I871" s="10"/>
      <c r="J871" s="10"/>
    </row>
    <row r="872" spans="1:10" ht="14.25" customHeight="1" x14ac:dyDescent="0.35">
      <c r="A872" s="10"/>
      <c r="B872" s="10"/>
      <c r="C872" s="10"/>
      <c r="D872" s="10"/>
      <c r="E872" s="10"/>
      <c r="F872" s="10"/>
      <c r="G872" s="10"/>
      <c r="H872" s="10"/>
      <c r="I872" s="10"/>
      <c r="J872" s="10"/>
    </row>
    <row r="873" spans="1:10" ht="14.25" customHeight="1" x14ac:dyDescent="0.35">
      <c r="A873" s="10"/>
      <c r="B873" s="10"/>
      <c r="C873" s="10"/>
      <c r="D873" s="10"/>
      <c r="E873" s="10"/>
      <c r="F873" s="10"/>
      <c r="G873" s="10"/>
      <c r="H873" s="10"/>
      <c r="I873" s="10"/>
      <c r="J873" s="10"/>
    </row>
    <row r="874" spans="1:10" ht="14.25" customHeight="1" x14ac:dyDescent="0.35">
      <c r="A874" s="10"/>
      <c r="B874" s="10"/>
      <c r="C874" s="10"/>
      <c r="D874" s="10"/>
      <c r="E874" s="10"/>
      <c r="F874" s="10"/>
      <c r="G874" s="10"/>
      <c r="H874" s="10"/>
      <c r="I874" s="10"/>
      <c r="J874" s="10"/>
    </row>
    <row r="875" spans="1:10" ht="14.25" customHeight="1" x14ac:dyDescent="0.35">
      <c r="A875" s="10"/>
      <c r="B875" s="10"/>
      <c r="C875" s="10"/>
      <c r="D875" s="10"/>
      <c r="E875" s="10"/>
      <c r="F875" s="10"/>
      <c r="G875" s="10"/>
      <c r="H875" s="10"/>
      <c r="I875" s="10"/>
      <c r="J875" s="10"/>
    </row>
    <row r="876" spans="1:10" ht="14.25" customHeight="1" x14ac:dyDescent="0.35">
      <c r="A876" s="10"/>
      <c r="B876" s="10"/>
      <c r="C876" s="10"/>
      <c r="D876" s="10"/>
      <c r="E876" s="10"/>
      <c r="F876" s="10"/>
      <c r="G876" s="10"/>
      <c r="H876" s="10"/>
      <c r="I876" s="10"/>
      <c r="J876" s="10"/>
    </row>
    <row r="877" spans="1:10" ht="14.25" customHeight="1" x14ac:dyDescent="0.35">
      <c r="A877" s="10"/>
      <c r="B877" s="10"/>
      <c r="C877" s="10"/>
      <c r="D877" s="10"/>
      <c r="E877" s="10"/>
      <c r="F877" s="10"/>
      <c r="G877" s="10"/>
      <c r="H877" s="10"/>
      <c r="I877" s="10"/>
      <c r="J877" s="10"/>
    </row>
    <row r="878" spans="1:10" ht="14.25" customHeight="1" x14ac:dyDescent="0.35">
      <c r="A878" s="10"/>
      <c r="B878" s="10"/>
      <c r="C878" s="10"/>
      <c r="D878" s="10"/>
      <c r="E878" s="10"/>
      <c r="F878" s="10"/>
      <c r="G878" s="10"/>
      <c r="H878" s="10"/>
      <c r="I878" s="10"/>
      <c r="J878" s="10"/>
    </row>
    <row r="879" spans="1:10" ht="14.25" customHeight="1" x14ac:dyDescent="0.35">
      <c r="A879" s="10"/>
      <c r="B879" s="10"/>
      <c r="C879" s="10"/>
      <c r="D879" s="10"/>
      <c r="E879" s="10"/>
      <c r="F879" s="10"/>
      <c r="G879" s="10"/>
      <c r="H879" s="10"/>
      <c r="I879" s="10"/>
      <c r="J879" s="10"/>
    </row>
    <row r="880" spans="1:10" ht="14.25" customHeight="1" x14ac:dyDescent="0.35">
      <c r="A880" s="10"/>
      <c r="B880" s="10"/>
      <c r="C880" s="10"/>
      <c r="D880" s="10"/>
      <c r="E880" s="10"/>
      <c r="F880" s="10"/>
      <c r="G880" s="10"/>
      <c r="H880" s="10"/>
      <c r="I880" s="10"/>
      <c r="J880" s="10"/>
    </row>
    <row r="881" spans="1:10" ht="14.25" customHeight="1" x14ac:dyDescent="0.35">
      <c r="A881" s="10"/>
      <c r="B881" s="10"/>
      <c r="C881" s="10"/>
      <c r="D881" s="10"/>
      <c r="E881" s="10"/>
      <c r="F881" s="10"/>
      <c r="G881" s="10"/>
      <c r="H881" s="10"/>
      <c r="I881" s="10"/>
      <c r="J881" s="10"/>
    </row>
    <row r="882" spans="1:10" ht="14.25" customHeight="1" x14ac:dyDescent="0.35">
      <c r="A882" s="10"/>
      <c r="B882" s="10"/>
      <c r="C882" s="10"/>
      <c r="D882" s="10"/>
      <c r="E882" s="10"/>
      <c r="F882" s="10"/>
      <c r="G882" s="10"/>
      <c r="H882" s="10"/>
      <c r="I882" s="10"/>
      <c r="J882" s="10"/>
    </row>
    <row r="883" spans="1:10" ht="14.25" customHeight="1" x14ac:dyDescent="0.35">
      <c r="A883" s="10"/>
      <c r="B883" s="10"/>
      <c r="C883" s="10"/>
      <c r="D883" s="10"/>
      <c r="E883" s="10"/>
      <c r="F883" s="10"/>
      <c r="G883" s="10"/>
      <c r="H883" s="10"/>
      <c r="I883" s="10"/>
      <c r="J883" s="10"/>
    </row>
    <row r="884" spans="1:10" ht="14.25" customHeight="1" x14ac:dyDescent="0.35">
      <c r="A884" s="10"/>
      <c r="B884" s="10"/>
      <c r="C884" s="10"/>
      <c r="D884" s="10"/>
      <c r="E884" s="10"/>
      <c r="F884" s="10"/>
      <c r="G884" s="10"/>
      <c r="H884" s="10"/>
      <c r="I884" s="10"/>
      <c r="J884" s="10"/>
    </row>
    <row r="885" spans="1:10" ht="14.25" customHeight="1" x14ac:dyDescent="0.35">
      <c r="A885" s="10"/>
      <c r="B885" s="10"/>
      <c r="C885" s="10"/>
      <c r="D885" s="10"/>
      <c r="E885" s="10"/>
      <c r="F885" s="10"/>
      <c r="G885" s="10"/>
      <c r="H885" s="10"/>
      <c r="I885" s="10"/>
      <c r="J885" s="10"/>
    </row>
    <row r="886" spans="1:10" ht="14.25" customHeight="1" x14ac:dyDescent="0.35">
      <c r="A886" s="10"/>
      <c r="B886" s="10"/>
      <c r="C886" s="10"/>
      <c r="D886" s="10"/>
      <c r="E886" s="10"/>
      <c r="F886" s="10"/>
      <c r="G886" s="10"/>
      <c r="H886" s="10"/>
      <c r="I886" s="10"/>
      <c r="J886" s="10"/>
    </row>
    <row r="887" spans="1:10" ht="14.25" customHeight="1" x14ac:dyDescent="0.35">
      <c r="A887" s="10"/>
      <c r="B887" s="10"/>
      <c r="C887" s="10"/>
      <c r="D887" s="10"/>
      <c r="E887" s="10"/>
      <c r="F887" s="10"/>
      <c r="G887" s="10"/>
      <c r="H887" s="10"/>
      <c r="I887" s="10"/>
      <c r="J887" s="10"/>
    </row>
    <row r="888" spans="1:10" ht="14.25" customHeight="1" x14ac:dyDescent="0.35">
      <c r="A888" s="10"/>
      <c r="B888" s="10"/>
      <c r="C888" s="10"/>
      <c r="D888" s="10"/>
      <c r="E888" s="10"/>
      <c r="F888" s="10"/>
      <c r="G888" s="10"/>
      <c r="H888" s="10"/>
      <c r="I888" s="10"/>
      <c r="J888" s="10"/>
    </row>
    <row r="889" spans="1:10" ht="14.25" customHeight="1" x14ac:dyDescent="0.35">
      <c r="A889" s="10"/>
      <c r="B889" s="10"/>
      <c r="C889" s="10"/>
      <c r="D889" s="10"/>
      <c r="E889" s="10"/>
      <c r="F889" s="10"/>
      <c r="G889" s="10"/>
      <c r="H889" s="10"/>
      <c r="I889" s="10"/>
      <c r="J889" s="10"/>
    </row>
    <row r="890" spans="1:10" ht="14.25" customHeight="1" x14ac:dyDescent="0.35">
      <c r="A890" s="10"/>
      <c r="B890" s="10"/>
      <c r="C890" s="10"/>
      <c r="D890" s="10"/>
      <c r="E890" s="10"/>
      <c r="F890" s="10"/>
      <c r="G890" s="10"/>
      <c r="H890" s="10"/>
      <c r="I890" s="10"/>
      <c r="J890" s="10"/>
    </row>
    <row r="891" spans="1:10" ht="14.25" customHeight="1" x14ac:dyDescent="0.35">
      <c r="A891" s="10"/>
      <c r="B891" s="10"/>
      <c r="C891" s="10"/>
      <c r="D891" s="10"/>
      <c r="E891" s="10"/>
      <c r="F891" s="10"/>
      <c r="G891" s="10"/>
      <c r="H891" s="10"/>
      <c r="I891" s="10"/>
      <c r="J891" s="10"/>
    </row>
    <row r="892" spans="1:10" ht="14.25" customHeight="1" x14ac:dyDescent="0.35">
      <c r="A892" s="10"/>
      <c r="B892" s="10"/>
      <c r="C892" s="10"/>
      <c r="D892" s="10"/>
      <c r="E892" s="10"/>
      <c r="F892" s="10"/>
      <c r="G892" s="10"/>
      <c r="H892" s="10"/>
      <c r="I892" s="10"/>
      <c r="J892" s="10"/>
    </row>
    <row r="893" spans="1:10" ht="14.25" customHeight="1" x14ac:dyDescent="0.35">
      <c r="A893" s="10"/>
      <c r="B893" s="10"/>
      <c r="C893" s="10"/>
      <c r="D893" s="10"/>
      <c r="E893" s="10"/>
      <c r="F893" s="10"/>
      <c r="G893" s="10"/>
      <c r="H893" s="10"/>
      <c r="I893" s="10"/>
      <c r="J893" s="10"/>
    </row>
    <row r="894" spans="1:10" ht="14.25" customHeight="1" x14ac:dyDescent="0.35">
      <c r="A894" s="10"/>
      <c r="B894" s="10"/>
      <c r="C894" s="10"/>
      <c r="D894" s="10"/>
      <c r="E894" s="10"/>
      <c r="F894" s="10"/>
      <c r="G894" s="10"/>
      <c r="H894" s="10"/>
      <c r="I894" s="10"/>
      <c r="J894" s="10"/>
    </row>
    <row r="895" spans="1:10" ht="14.25" customHeight="1" x14ac:dyDescent="0.35">
      <c r="A895" s="10"/>
      <c r="B895" s="10"/>
      <c r="C895" s="10"/>
      <c r="D895" s="10"/>
      <c r="E895" s="10"/>
      <c r="F895" s="10"/>
      <c r="G895" s="10"/>
      <c r="H895" s="10"/>
      <c r="I895" s="10"/>
      <c r="J895" s="10"/>
    </row>
    <row r="896" spans="1:10" ht="14.25" customHeight="1" x14ac:dyDescent="0.35">
      <c r="A896" s="10"/>
      <c r="B896" s="10"/>
      <c r="C896" s="10"/>
      <c r="D896" s="10"/>
      <c r="E896" s="10"/>
      <c r="F896" s="10"/>
      <c r="G896" s="10"/>
      <c r="H896" s="10"/>
      <c r="I896" s="10"/>
      <c r="J896" s="10"/>
    </row>
    <row r="897" spans="1:10" ht="14.25" customHeight="1" x14ac:dyDescent="0.35">
      <c r="A897" s="10"/>
      <c r="B897" s="10"/>
      <c r="C897" s="10"/>
      <c r="D897" s="10"/>
      <c r="E897" s="10"/>
      <c r="F897" s="10"/>
      <c r="G897" s="10"/>
      <c r="H897" s="10"/>
      <c r="I897" s="10"/>
      <c r="J897" s="10"/>
    </row>
    <row r="898" spans="1:10" ht="14.25" customHeight="1" x14ac:dyDescent="0.35">
      <c r="A898" s="10"/>
      <c r="B898" s="10"/>
      <c r="C898" s="10"/>
      <c r="D898" s="10"/>
      <c r="E898" s="10"/>
      <c r="F898" s="10"/>
      <c r="G898" s="10"/>
      <c r="H898" s="10"/>
      <c r="I898" s="10"/>
      <c r="J898" s="10"/>
    </row>
    <row r="899" spans="1:10" ht="14.25" customHeight="1" x14ac:dyDescent="0.35">
      <c r="A899" s="10"/>
      <c r="B899" s="10"/>
      <c r="C899" s="10"/>
      <c r="D899" s="10"/>
      <c r="E899" s="10"/>
      <c r="F899" s="10"/>
      <c r="G899" s="10"/>
      <c r="H899" s="10"/>
      <c r="I899" s="10"/>
      <c r="J899" s="10"/>
    </row>
    <row r="900" spans="1:10" ht="14.25" customHeight="1" x14ac:dyDescent="0.35">
      <c r="A900" s="10"/>
      <c r="B900" s="10"/>
      <c r="C900" s="10"/>
      <c r="D900" s="10"/>
      <c r="E900" s="10"/>
      <c r="F900" s="10"/>
      <c r="G900" s="10"/>
      <c r="H900" s="10"/>
      <c r="I900" s="10"/>
      <c r="J900" s="10"/>
    </row>
    <row r="901" spans="1:10" ht="14.25" customHeight="1" x14ac:dyDescent="0.35">
      <c r="A901" s="10"/>
      <c r="B901" s="10"/>
      <c r="C901" s="10"/>
      <c r="D901" s="10"/>
      <c r="E901" s="10"/>
      <c r="F901" s="10"/>
      <c r="G901" s="10"/>
      <c r="H901" s="10"/>
      <c r="I901" s="10"/>
      <c r="J901" s="10"/>
    </row>
    <row r="902" spans="1:10" ht="14.25" customHeight="1" x14ac:dyDescent="0.35">
      <c r="A902" s="10"/>
      <c r="B902" s="10"/>
      <c r="C902" s="10"/>
      <c r="D902" s="10"/>
      <c r="E902" s="10"/>
      <c r="F902" s="10"/>
      <c r="G902" s="10"/>
      <c r="H902" s="10"/>
      <c r="I902" s="10"/>
      <c r="J902" s="10"/>
    </row>
    <row r="903" spans="1:10" ht="14.25" customHeight="1" x14ac:dyDescent="0.35">
      <c r="A903" s="10"/>
      <c r="B903" s="10"/>
      <c r="C903" s="10"/>
      <c r="D903" s="10"/>
      <c r="E903" s="10"/>
      <c r="F903" s="10"/>
      <c r="G903" s="10"/>
      <c r="H903" s="10"/>
      <c r="I903" s="10"/>
      <c r="J903" s="10"/>
    </row>
    <row r="904" spans="1:10" ht="14.25" customHeight="1" x14ac:dyDescent="0.35">
      <c r="A904" s="10"/>
      <c r="B904" s="10"/>
      <c r="C904" s="10"/>
      <c r="D904" s="10"/>
      <c r="E904" s="10"/>
      <c r="F904" s="10"/>
      <c r="G904" s="10"/>
      <c r="H904" s="10"/>
      <c r="I904" s="10"/>
      <c r="J904" s="10"/>
    </row>
    <row r="905" spans="1:10" ht="14.25" customHeight="1" x14ac:dyDescent="0.35">
      <c r="A905" s="10"/>
      <c r="B905" s="10"/>
      <c r="C905" s="10"/>
      <c r="D905" s="10"/>
      <c r="E905" s="10"/>
      <c r="F905" s="10"/>
      <c r="G905" s="10"/>
      <c r="H905" s="10"/>
      <c r="I905" s="10"/>
      <c r="J905" s="10"/>
    </row>
    <row r="906" spans="1:10" ht="14.25" customHeight="1" x14ac:dyDescent="0.35">
      <c r="A906" s="10"/>
      <c r="B906" s="10"/>
      <c r="C906" s="10"/>
      <c r="D906" s="10"/>
      <c r="E906" s="10"/>
      <c r="F906" s="10"/>
      <c r="G906" s="10"/>
      <c r="H906" s="10"/>
      <c r="I906" s="10"/>
      <c r="J906" s="10"/>
    </row>
    <row r="907" spans="1:10" ht="14.25" customHeight="1" x14ac:dyDescent="0.35">
      <c r="A907" s="10"/>
      <c r="B907" s="10"/>
      <c r="C907" s="10"/>
      <c r="D907" s="10"/>
      <c r="E907" s="10"/>
      <c r="F907" s="10"/>
      <c r="G907" s="10"/>
      <c r="H907" s="10"/>
      <c r="I907" s="10"/>
      <c r="J907" s="10"/>
    </row>
    <row r="908" spans="1:10" ht="14.25" customHeight="1" x14ac:dyDescent="0.35">
      <c r="A908" s="10"/>
      <c r="B908" s="10"/>
      <c r="C908" s="10"/>
      <c r="D908" s="10"/>
      <c r="E908" s="10"/>
      <c r="F908" s="10"/>
      <c r="G908" s="10"/>
      <c r="H908" s="10"/>
      <c r="I908" s="10"/>
      <c r="J908" s="10"/>
    </row>
    <row r="909" spans="1:10" ht="14.25" customHeight="1" x14ac:dyDescent="0.35">
      <c r="A909" s="10"/>
      <c r="B909" s="10"/>
      <c r="C909" s="10"/>
      <c r="D909" s="10"/>
      <c r="E909" s="10"/>
      <c r="F909" s="10"/>
      <c r="G909" s="10"/>
      <c r="H909" s="10"/>
      <c r="I909" s="10"/>
      <c r="J909" s="10"/>
    </row>
    <row r="910" spans="1:10" ht="14.25" customHeight="1" x14ac:dyDescent="0.35">
      <c r="A910" s="10"/>
      <c r="B910" s="10"/>
      <c r="C910" s="10"/>
      <c r="D910" s="10"/>
      <c r="E910" s="10"/>
      <c r="F910" s="10"/>
      <c r="G910" s="10"/>
      <c r="H910" s="10"/>
      <c r="I910" s="10"/>
      <c r="J910" s="10"/>
    </row>
    <row r="911" spans="1:10" ht="14.25" customHeight="1" x14ac:dyDescent="0.35">
      <c r="A911" s="10"/>
      <c r="B911" s="10"/>
      <c r="C911" s="10"/>
      <c r="D911" s="10"/>
      <c r="E911" s="10"/>
      <c r="F911" s="10"/>
      <c r="G911" s="10"/>
      <c r="H911" s="10"/>
      <c r="I911" s="10"/>
      <c r="J911" s="10"/>
    </row>
    <row r="912" spans="1:10" ht="14.25" customHeight="1" x14ac:dyDescent="0.35">
      <c r="A912" s="10"/>
      <c r="B912" s="10"/>
      <c r="C912" s="10"/>
      <c r="D912" s="10"/>
      <c r="E912" s="10"/>
      <c r="F912" s="10"/>
      <c r="G912" s="10"/>
      <c r="H912" s="10"/>
      <c r="I912" s="10"/>
      <c r="J912" s="10"/>
    </row>
    <row r="913" spans="1:10" ht="14.25" customHeight="1" x14ac:dyDescent="0.35">
      <c r="A913" s="10"/>
      <c r="B913" s="10"/>
      <c r="C913" s="10"/>
      <c r="D913" s="10"/>
      <c r="E913" s="10"/>
      <c r="F913" s="10"/>
      <c r="G913" s="10"/>
      <c r="H913" s="10"/>
      <c r="I913" s="10"/>
      <c r="J913" s="10"/>
    </row>
    <row r="914" spans="1:10" ht="14.25" customHeight="1" x14ac:dyDescent="0.35">
      <c r="A914" s="10"/>
      <c r="B914" s="10"/>
      <c r="C914" s="10"/>
      <c r="D914" s="10"/>
      <c r="E914" s="10"/>
      <c r="F914" s="10"/>
      <c r="G914" s="10"/>
      <c r="H914" s="10"/>
      <c r="I914" s="10"/>
      <c r="J914" s="10"/>
    </row>
    <row r="915" spans="1:10" ht="14.25" customHeight="1" x14ac:dyDescent="0.35">
      <c r="A915" s="10"/>
      <c r="B915" s="10"/>
      <c r="C915" s="10"/>
      <c r="D915" s="10"/>
      <c r="E915" s="10"/>
      <c r="F915" s="10"/>
      <c r="G915" s="10"/>
      <c r="H915" s="10"/>
      <c r="I915" s="10"/>
      <c r="J915" s="10"/>
    </row>
    <row r="916" spans="1:10" ht="14.25" customHeight="1" x14ac:dyDescent="0.35">
      <c r="A916" s="10"/>
      <c r="B916" s="10"/>
      <c r="C916" s="10"/>
      <c r="D916" s="10"/>
      <c r="E916" s="10"/>
      <c r="F916" s="10"/>
      <c r="G916" s="10"/>
      <c r="H916" s="10"/>
      <c r="I916" s="10"/>
      <c r="J916" s="10"/>
    </row>
    <row r="917" spans="1:10" ht="14.25" customHeight="1" x14ac:dyDescent="0.35">
      <c r="A917" s="10"/>
      <c r="B917" s="10"/>
      <c r="C917" s="10"/>
      <c r="D917" s="10"/>
      <c r="E917" s="10"/>
      <c r="F917" s="10"/>
      <c r="G917" s="10"/>
      <c r="H917" s="10"/>
      <c r="I917" s="10"/>
      <c r="J917" s="10"/>
    </row>
    <row r="918" spans="1:10" ht="14.25" customHeight="1" x14ac:dyDescent="0.35">
      <c r="A918" s="10"/>
      <c r="B918" s="10"/>
      <c r="C918" s="10"/>
      <c r="D918" s="10"/>
      <c r="E918" s="10"/>
      <c r="F918" s="10"/>
      <c r="G918" s="10"/>
      <c r="H918" s="10"/>
      <c r="I918" s="10"/>
      <c r="J918" s="10"/>
    </row>
    <row r="919" spans="1:10" ht="14.25" customHeight="1" x14ac:dyDescent="0.35">
      <c r="A919" s="10"/>
      <c r="B919" s="10"/>
      <c r="C919" s="10"/>
      <c r="D919" s="10"/>
      <c r="E919" s="10"/>
      <c r="F919" s="10"/>
      <c r="G919" s="10"/>
      <c r="H919" s="10"/>
      <c r="I919" s="10"/>
      <c r="J919" s="10"/>
    </row>
    <row r="920" spans="1:10" ht="14.25" customHeight="1" x14ac:dyDescent="0.35">
      <c r="A920" s="10"/>
      <c r="B920" s="10"/>
      <c r="C920" s="10"/>
      <c r="D920" s="10"/>
      <c r="E920" s="10"/>
      <c r="F920" s="10"/>
      <c r="G920" s="10"/>
      <c r="H920" s="10"/>
      <c r="I920" s="10"/>
      <c r="J920" s="10"/>
    </row>
    <row r="921" spans="1:10" ht="14.25" customHeight="1" x14ac:dyDescent="0.35">
      <c r="A921" s="10"/>
      <c r="B921" s="10"/>
      <c r="C921" s="10"/>
      <c r="D921" s="10"/>
      <c r="E921" s="10"/>
      <c r="F921" s="10"/>
      <c r="G921" s="10"/>
      <c r="H921" s="10"/>
      <c r="I921" s="10"/>
      <c r="J921" s="10"/>
    </row>
    <row r="922" spans="1:10" ht="14.25" customHeight="1" x14ac:dyDescent="0.35">
      <c r="A922" s="10"/>
      <c r="B922" s="10"/>
      <c r="C922" s="10"/>
      <c r="D922" s="10"/>
      <c r="E922" s="10"/>
      <c r="F922" s="10"/>
      <c r="G922" s="10"/>
      <c r="H922" s="10"/>
      <c r="I922" s="10"/>
      <c r="J922" s="10"/>
    </row>
    <row r="923" spans="1:10" ht="14.25" customHeight="1" x14ac:dyDescent="0.35">
      <c r="A923" s="10"/>
      <c r="B923" s="10"/>
      <c r="C923" s="10"/>
      <c r="D923" s="10"/>
      <c r="E923" s="10"/>
      <c r="F923" s="10"/>
      <c r="G923" s="10"/>
      <c r="H923" s="10"/>
      <c r="I923" s="10"/>
      <c r="J923" s="10"/>
    </row>
    <row r="924" spans="1:10" ht="14.25" customHeight="1" x14ac:dyDescent="0.35">
      <c r="A924" s="10"/>
      <c r="B924" s="10"/>
      <c r="C924" s="10"/>
      <c r="D924" s="10"/>
      <c r="E924" s="10"/>
      <c r="F924" s="10"/>
      <c r="G924" s="10"/>
      <c r="H924" s="10"/>
      <c r="I924" s="10"/>
      <c r="J924" s="10"/>
    </row>
    <row r="925" spans="1:10" ht="14.25" customHeight="1" x14ac:dyDescent="0.35">
      <c r="A925" s="10"/>
      <c r="B925" s="10"/>
      <c r="C925" s="10"/>
      <c r="D925" s="10"/>
      <c r="E925" s="10"/>
      <c r="F925" s="10"/>
      <c r="G925" s="10"/>
      <c r="H925" s="10"/>
      <c r="I925" s="10"/>
      <c r="J925" s="10"/>
    </row>
    <row r="926" spans="1:10" ht="14.25" customHeight="1" x14ac:dyDescent="0.35">
      <c r="A926" s="10"/>
      <c r="B926" s="10"/>
      <c r="C926" s="10"/>
      <c r="D926" s="10"/>
      <c r="E926" s="10"/>
      <c r="F926" s="10"/>
      <c r="G926" s="10"/>
      <c r="H926" s="10"/>
      <c r="I926" s="10"/>
      <c r="J926" s="10"/>
    </row>
    <row r="927" spans="1:10" ht="14.25" customHeight="1" x14ac:dyDescent="0.35">
      <c r="A927" s="10"/>
      <c r="B927" s="10"/>
      <c r="C927" s="10"/>
      <c r="D927" s="10"/>
      <c r="E927" s="10"/>
      <c r="F927" s="10"/>
      <c r="G927" s="10"/>
      <c r="H927" s="10"/>
      <c r="I927" s="10"/>
      <c r="J927" s="10"/>
    </row>
    <row r="928" spans="1:10" ht="14.25" customHeight="1" x14ac:dyDescent="0.35">
      <c r="A928" s="10"/>
      <c r="B928" s="10"/>
      <c r="C928" s="10"/>
      <c r="D928" s="10"/>
      <c r="E928" s="10"/>
      <c r="F928" s="10"/>
      <c r="G928" s="10"/>
      <c r="H928" s="10"/>
      <c r="I928" s="10"/>
      <c r="J928" s="10"/>
    </row>
    <row r="929" spans="1:10" ht="14.25" customHeight="1" x14ac:dyDescent="0.35">
      <c r="A929" s="10"/>
      <c r="B929" s="10"/>
      <c r="C929" s="10"/>
      <c r="D929" s="10"/>
      <c r="E929" s="10"/>
      <c r="F929" s="10"/>
      <c r="G929" s="10"/>
      <c r="H929" s="10"/>
      <c r="I929" s="10"/>
      <c r="J929" s="10"/>
    </row>
    <row r="930" spans="1:10" ht="14.25" customHeight="1" x14ac:dyDescent="0.35">
      <c r="A930" s="10"/>
      <c r="B930" s="10"/>
      <c r="C930" s="10"/>
      <c r="D930" s="10"/>
      <c r="E930" s="10"/>
      <c r="F930" s="10"/>
      <c r="G930" s="10"/>
      <c r="H930" s="10"/>
      <c r="I930" s="10"/>
      <c r="J930" s="10"/>
    </row>
    <row r="931" spans="1:10" ht="14.25" customHeight="1" x14ac:dyDescent="0.35">
      <c r="A931" s="10"/>
      <c r="B931" s="10"/>
      <c r="C931" s="10"/>
      <c r="D931" s="10"/>
      <c r="E931" s="10"/>
      <c r="F931" s="10"/>
      <c r="G931" s="10"/>
      <c r="H931" s="10"/>
      <c r="I931" s="10"/>
      <c r="J931" s="10"/>
    </row>
    <row r="932" spans="1:10" ht="14.25" customHeight="1" x14ac:dyDescent="0.35">
      <c r="A932" s="10"/>
      <c r="B932" s="10"/>
      <c r="C932" s="10"/>
      <c r="D932" s="10"/>
      <c r="E932" s="10"/>
      <c r="F932" s="10"/>
      <c r="G932" s="10"/>
      <c r="H932" s="10"/>
      <c r="I932" s="10"/>
      <c r="J932" s="10"/>
    </row>
    <row r="933" spans="1:10" ht="14.25" customHeight="1" x14ac:dyDescent="0.35">
      <c r="A933" s="10"/>
      <c r="B933" s="10"/>
      <c r="C933" s="10"/>
      <c r="D933" s="10"/>
      <c r="E933" s="10"/>
      <c r="F933" s="10"/>
      <c r="G933" s="10"/>
      <c r="H933" s="10"/>
      <c r="I933" s="10"/>
      <c r="J933" s="10"/>
    </row>
    <row r="934" spans="1:10" ht="14.25" customHeight="1" x14ac:dyDescent="0.35">
      <c r="A934" s="10"/>
      <c r="B934" s="10"/>
      <c r="C934" s="10"/>
      <c r="D934" s="10"/>
      <c r="E934" s="10"/>
      <c r="F934" s="10"/>
      <c r="G934" s="10"/>
      <c r="H934" s="10"/>
      <c r="I934" s="10"/>
      <c r="J934" s="10"/>
    </row>
    <row r="935" spans="1:10" ht="14.25" customHeight="1" x14ac:dyDescent="0.35">
      <c r="A935" s="10"/>
      <c r="B935" s="10"/>
      <c r="C935" s="10"/>
      <c r="D935" s="10"/>
      <c r="E935" s="10"/>
      <c r="F935" s="10"/>
      <c r="G935" s="10"/>
      <c r="H935" s="10"/>
      <c r="I935" s="10"/>
      <c r="J935" s="10"/>
    </row>
    <row r="936" spans="1:10" ht="14.25" customHeight="1" x14ac:dyDescent="0.35">
      <c r="A936" s="10"/>
      <c r="B936" s="10"/>
      <c r="C936" s="10"/>
      <c r="D936" s="10"/>
      <c r="E936" s="10"/>
      <c r="F936" s="10"/>
      <c r="G936" s="10"/>
      <c r="H936" s="10"/>
      <c r="I936" s="10"/>
      <c r="J936" s="10"/>
    </row>
    <row r="937" spans="1:10" ht="14.25" customHeight="1" x14ac:dyDescent="0.35">
      <c r="A937" s="10"/>
      <c r="B937" s="10"/>
      <c r="C937" s="10"/>
      <c r="D937" s="10"/>
      <c r="E937" s="10"/>
      <c r="F937" s="10"/>
      <c r="G937" s="10"/>
      <c r="H937" s="10"/>
      <c r="I937" s="10"/>
      <c r="J937" s="10"/>
    </row>
    <row r="938" spans="1:10" ht="14.25" customHeight="1" x14ac:dyDescent="0.35">
      <c r="A938" s="10"/>
      <c r="B938" s="10"/>
      <c r="C938" s="10"/>
      <c r="D938" s="10"/>
      <c r="E938" s="10"/>
      <c r="F938" s="10"/>
      <c r="G938" s="10"/>
      <c r="H938" s="10"/>
      <c r="I938" s="10"/>
      <c r="J938" s="10"/>
    </row>
    <row r="939" spans="1:10" ht="14.25" customHeight="1" x14ac:dyDescent="0.35">
      <c r="A939" s="10"/>
      <c r="B939" s="10"/>
      <c r="C939" s="10"/>
      <c r="D939" s="10"/>
      <c r="E939" s="10"/>
      <c r="F939" s="10"/>
      <c r="G939" s="10"/>
      <c r="H939" s="10"/>
      <c r="I939" s="10"/>
      <c r="J939" s="10"/>
    </row>
    <row r="940" spans="1:10" ht="14.25" customHeight="1" x14ac:dyDescent="0.35">
      <c r="A940" s="10"/>
      <c r="B940" s="10"/>
      <c r="C940" s="10"/>
      <c r="D940" s="10"/>
      <c r="E940" s="10"/>
      <c r="F940" s="10"/>
      <c r="G940" s="10"/>
      <c r="H940" s="10"/>
      <c r="I940" s="10"/>
      <c r="J940" s="10"/>
    </row>
    <row r="941" spans="1:10" ht="14.25" customHeight="1" x14ac:dyDescent="0.35">
      <c r="A941" s="10"/>
      <c r="B941" s="10"/>
      <c r="C941" s="10"/>
      <c r="D941" s="10"/>
      <c r="E941" s="10"/>
      <c r="F941" s="10"/>
      <c r="G941" s="10"/>
      <c r="H941" s="10"/>
      <c r="I941" s="10"/>
      <c r="J941" s="10"/>
    </row>
    <row r="942" spans="1:10" ht="14.25" customHeight="1" x14ac:dyDescent="0.35">
      <c r="A942" s="10"/>
      <c r="B942" s="10"/>
      <c r="C942" s="10"/>
      <c r="D942" s="10"/>
      <c r="E942" s="10"/>
      <c r="F942" s="10"/>
      <c r="G942" s="10"/>
      <c r="H942" s="10"/>
      <c r="I942" s="10"/>
      <c r="J942" s="10"/>
    </row>
    <row r="943" spans="1:10" ht="14.25" customHeight="1" x14ac:dyDescent="0.35">
      <c r="A943" s="10"/>
      <c r="B943" s="10"/>
      <c r="C943" s="10"/>
      <c r="D943" s="10"/>
      <c r="E943" s="10"/>
      <c r="F943" s="10"/>
      <c r="G943" s="10"/>
      <c r="H943" s="10"/>
      <c r="I943" s="10"/>
      <c r="J943" s="10"/>
    </row>
    <row r="944" spans="1:10" ht="14.25" customHeight="1" x14ac:dyDescent="0.35">
      <c r="A944" s="10"/>
      <c r="B944" s="10"/>
      <c r="C944" s="10"/>
      <c r="D944" s="10"/>
      <c r="E944" s="10"/>
      <c r="F944" s="10"/>
      <c r="G944" s="10"/>
      <c r="H944" s="10"/>
      <c r="I944" s="10"/>
      <c r="J944" s="10"/>
    </row>
    <row r="945" spans="1:10" ht="14.25" customHeight="1" x14ac:dyDescent="0.35">
      <c r="A945" s="10"/>
      <c r="B945" s="10"/>
      <c r="C945" s="10"/>
      <c r="D945" s="10"/>
      <c r="E945" s="10"/>
      <c r="F945" s="10"/>
      <c r="G945" s="10"/>
      <c r="H945" s="10"/>
      <c r="I945" s="10"/>
      <c r="J945" s="10"/>
    </row>
    <row r="946" spans="1:10" ht="14.25" customHeight="1" x14ac:dyDescent="0.35">
      <c r="A946" s="10"/>
      <c r="B946" s="10"/>
      <c r="C946" s="10"/>
      <c r="D946" s="10"/>
      <c r="E946" s="10"/>
      <c r="F946" s="10"/>
      <c r="G946" s="10"/>
      <c r="H946" s="10"/>
      <c r="I946" s="10"/>
      <c r="J946" s="10"/>
    </row>
    <row r="947" spans="1:10" ht="14.25" customHeight="1" x14ac:dyDescent="0.35">
      <c r="A947" s="10"/>
      <c r="B947" s="10"/>
      <c r="C947" s="10"/>
      <c r="D947" s="10"/>
      <c r="E947" s="10"/>
      <c r="F947" s="10"/>
      <c r="G947" s="10"/>
      <c r="H947" s="10"/>
      <c r="I947" s="10"/>
      <c r="J947" s="10"/>
    </row>
    <row r="948" spans="1:10" ht="14.25" customHeight="1" x14ac:dyDescent="0.35">
      <c r="A948" s="10"/>
      <c r="B948" s="10"/>
      <c r="C948" s="10"/>
      <c r="D948" s="10"/>
      <c r="E948" s="10"/>
      <c r="F948" s="10"/>
      <c r="G948" s="10"/>
      <c r="H948" s="10"/>
      <c r="I948" s="10"/>
      <c r="J948" s="10"/>
    </row>
    <row r="949" spans="1:10" ht="14.25" customHeight="1" x14ac:dyDescent="0.35">
      <c r="A949" s="10"/>
      <c r="B949" s="10"/>
      <c r="C949" s="10"/>
      <c r="D949" s="10"/>
      <c r="E949" s="10"/>
      <c r="F949" s="10"/>
      <c r="G949" s="10"/>
      <c r="H949" s="10"/>
      <c r="I949" s="10"/>
      <c r="J949" s="10"/>
    </row>
    <row r="950" spans="1:10" ht="14.25" customHeight="1" x14ac:dyDescent="0.35">
      <c r="A950" s="10"/>
      <c r="B950" s="10"/>
      <c r="C950" s="10"/>
      <c r="D950" s="10"/>
      <c r="E950" s="10"/>
      <c r="F950" s="10"/>
      <c r="G950" s="10"/>
      <c r="H950" s="10"/>
      <c r="I950" s="10"/>
      <c r="J950" s="10"/>
    </row>
    <row r="951" spans="1:10" ht="14.25" customHeight="1" x14ac:dyDescent="0.35">
      <c r="A951" s="10"/>
      <c r="B951" s="10"/>
      <c r="C951" s="10"/>
      <c r="D951" s="10"/>
      <c r="E951" s="10"/>
      <c r="F951" s="10"/>
      <c r="G951" s="10"/>
      <c r="H951" s="10"/>
      <c r="I951" s="10"/>
      <c r="J951" s="10"/>
    </row>
    <row r="952" spans="1:10" ht="14.25" customHeight="1" x14ac:dyDescent="0.35">
      <c r="A952" s="10"/>
      <c r="B952" s="10"/>
      <c r="C952" s="10"/>
      <c r="D952" s="10"/>
      <c r="E952" s="10"/>
      <c r="F952" s="10"/>
      <c r="G952" s="10"/>
      <c r="H952" s="10"/>
      <c r="I952" s="10"/>
      <c r="J952" s="10"/>
    </row>
    <row r="953" spans="1:10" ht="14.25" customHeight="1" x14ac:dyDescent="0.35">
      <c r="A953" s="10"/>
      <c r="B953" s="10"/>
      <c r="C953" s="10"/>
      <c r="D953" s="10"/>
      <c r="E953" s="10"/>
      <c r="F953" s="10"/>
      <c r="G953" s="10"/>
      <c r="H953" s="10"/>
      <c r="I953" s="10"/>
      <c r="J953" s="10"/>
    </row>
    <row r="954" spans="1:10" ht="14.25" customHeight="1" x14ac:dyDescent="0.35">
      <c r="A954" s="10"/>
      <c r="B954" s="10"/>
      <c r="C954" s="10"/>
      <c r="D954" s="10"/>
      <c r="E954" s="10"/>
      <c r="F954" s="10"/>
      <c r="G954" s="10"/>
      <c r="H954" s="10"/>
      <c r="I954" s="10"/>
      <c r="J954" s="10"/>
    </row>
    <row r="955" spans="1:10" ht="14.25" customHeight="1" x14ac:dyDescent="0.35">
      <c r="A955" s="10"/>
      <c r="B955" s="10"/>
      <c r="C955" s="10"/>
      <c r="D955" s="10"/>
      <c r="E955" s="10"/>
      <c r="F955" s="10"/>
      <c r="G955" s="10"/>
      <c r="H955" s="10"/>
      <c r="I955" s="10"/>
      <c r="J955" s="10"/>
    </row>
    <row r="956" spans="1:10" ht="14.25" customHeight="1" x14ac:dyDescent="0.35">
      <c r="A956" s="10"/>
      <c r="B956" s="10"/>
      <c r="C956" s="10"/>
      <c r="D956" s="10"/>
      <c r="E956" s="10"/>
      <c r="F956" s="10"/>
      <c r="G956" s="10"/>
      <c r="H956" s="10"/>
      <c r="I956" s="10"/>
      <c r="J956" s="10"/>
    </row>
    <row r="957" spans="1:10" ht="14.25" customHeight="1" x14ac:dyDescent="0.35">
      <c r="A957" s="10"/>
      <c r="B957" s="10"/>
      <c r="C957" s="10"/>
      <c r="D957" s="10"/>
      <c r="E957" s="10"/>
      <c r="F957" s="10"/>
      <c r="G957" s="10"/>
      <c r="H957" s="10"/>
      <c r="I957" s="10"/>
      <c r="J957" s="10"/>
    </row>
    <row r="958" spans="1:10" ht="14.25" customHeight="1" x14ac:dyDescent="0.35">
      <c r="A958" s="10"/>
      <c r="B958" s="10"/>
      <c r="C958" s="10"/>
      <c r="D958" s="10"/>
      <c r="E958" s="10"/>
      <c r="F958" s="10"/>
      <c r="G958" s="10"/>
      <c r="H958" s="10"/>
      <c r="I958" s="10"/>
      <c r="J958" s="10"/>
    </row>
    <row r="959" spans="1:10" ht="14.25" customHeight="1" x14ac:dyDescent="0.35">
      <c r="A959" s="10"/>
      <c r="B959" s="10"/>
      <c r="C959" s="10"/>
      <c r="D959" s="10"/>
      <c r="E959" s="10"/>
      <c r="F959" s="10"/>
      <c r="G959" s="10"/>
      <c r="H959" s="10"/>
      <c r="I959" s="10"/>
      <c r="J959" s="10"/>
    </row>
    <row r="960" spans="1:10" ht="14.25" customHeight="1" x14ac:dyDescent="0.35">
      <c r="A960" s="10"/>
      <c r="B960" s="10"/>
      <c r="C960" s="10"/>
      <c r="D960" s="10"/>
      <c r="E960" s="10"/>
      <c r="F960" s="10"/>
      <c r="G960" s="10"/>
      <c r="H960" s="10"/>
      <c r="I960" s="10"/>
      <c r="J960" s="10"/>
    </row>
    <row r="961" spans="1:10" ht="14.25" customHeight="1" x14ac:dyDescent="0.35">
      <c r="A961" s="10"/>
      <c r="B961" s="10"/>
      <c r="C961" s="10"/>
      <c r="D961" s="10"/>
      <c r="E961" s="10"/>
      <c r="F961" s="10"/>
      <c r="G961" s="10"/>
      <c r="H961" s="10"/>
      <c r="I961" s="10"/>
      <c r="J961" s="10"/>
    </row>
    <row r="962" spans="1:10" ht="14.25" customHeight="1" x14ac:dyDescent="0.35">
      <c r="A962" s="10"/>
      <c r="B962" s="10"/>
      <c r="C962" s="10"/>
      <c r="D962" s="10"/>
      <c r="E962" s="10"/>
      <c r="F962" s="10"/>
      <c r="G962" s="10"/>
      <c r="H962" s="10"/>
      <c r="I962" s="10"/>
      <c r="J962" s="10"/>
    </row>
    <row r="963" spans="1:10" ht="14.25" customHeight="1" x14ac:dyDescent="0.35">
      <c r="A963" s="10"/>
      <c r="B963" s="10"/>
      <c r="C963" s="10"/>
      <c r="D963" s="10"/>
      <c r="E963" s="10"/>
      <c r="F963" s="10"/>
      <c r="G963" s="10"/>
      <c r="H963" s="10"/>
      <c r="I963" s="10"/>
      <c r="J963" s="10"/>
    </row>
    <row r="964" spans="1:10" ht="14.25" customHeight="1" x14ac:dyDescent="0.35">
      <c r="A964" s="10"/>
      <c r="B964" s="10"/>
      <c r="C964" s="10"/>
      <c r="D964" s="10"/>
      <c r="E964" s="10"/>
      <c r="F964" s="10"/>
      <c r="G964" s="10"/>
      <c r="H964" s="10"/>
      <c r="I964" s="10"/>
      <c r="J964" s="10"/>
    </row>
    <row r="965" spans="1:10" ht="14.25" customHeight="1" x14ac:dyDescent="0.35">
      <c r="A965" s="10"/>
      <c r="B965" s="10"/>
      <c r="C965" s="10"/>
      <c r="D965" s="10"/>
      <c r="E965" s="10"/>
      <c r="F965" s="10"/>
      <c r="G965" s="10"/>
      <c r="H965" s="10"/>
      <c r="I965" s="10"/>
      <c r="J965" s="10"/>
    </row>
    <row r="966" spans="1:10" ht="14.25" customHeight="1" x14ac:dyDescent="0.35">
      <c r="A966" s="10"/>
      <c r="B966" s="10"/>
      <c r="C966" s="10"/>
      <c r="D966" s="10"/>
      <c r="E966" s="10"/>
      <c r="F966" s="10"/>
      <c r="G966" s="10"/>
      <c r="H966" s="10"/>
      <c r="I966" s="10"/>
      <c r="J966" s="10"/>
    </row>
    <row r="967" spans="1:10" ht="14.25" customHeight="1" x14ac:dyDescent="0.35">
      <c r="A967" s="10"/>
      <c r="B967" s="10"/>
      <c r="C967" s="10"/>
      <c r="D967" s="10"/>
      <c r="E967" s="10"/>
      <c r="F967" s="10"/>
      <c r="G967" s="10"/>
      <c r="H967" s="10"/>
      <c r="I967" s="10"/>
      <c r="J967" s="10"/>
    </row>
    <row r="968" spans="1:10" ht="14.25" customHeight="1" x14ac:dyDescent="0.35">
      <c r="A968" s="10"/>
      <c r="B968" s="10"/>
      <c r="C968" s="10"/>
      <c r="D968" s="10"/>
      <c r="E968" s="10"/>
      <c r="F968" s="10"/>
      <c r="G968" s="10"/>
      <c r="H968" s="10"/>
      <c r="I968" s="10"/>
      <c r="J968" s="10"/>
    </row>
    <row r="969" spans="1:10" ht="14.25" customHeight="1" x14ac:dyDescent="0.35">
      <c r="A969" s="10"/>
      <c r="B969" s="10"/>
      <c r="C969" s="10"/>
      <c r="D969" s="10"/>
      <c r="E969" s="10"/>
      <c r="F969" s="10"/>
      <c r="G969" s="10"/>
      <c r="H969" s="10"/>
      <c r="I969" s="10"/>
      <c r="J969" s="10"/>
    </row>
    <row r="970" spans="1:10" ht="14.25" customHeight="1" x14ac:dyDescent="0.35">
      <c r="A970" s="10"/>
      <c r="B970" s="10"/>
      <c r="C970" s="10"/>
      <c r="D970" s="10"/>
      <c r="E970" s="10"/>
      <c r="F970" s="10"/>
      <c r="G970" s="10"/>
      <c r="H970" s="10"/>
      <c r="I970" s="10"/>
      <c r="J970" s="10"/>
    </row>
    <row r="971" spans="1:10" ht="14.25" customHeight="1" x14ac:dyDescent="0.35">
      <c r="A971" s="10"/>
      <c r="B971" s="10"/>
      <c r="C971" s="10"/>
      <c r="D971" s="10"/>
      <c r="E971" s="10"/>
      <c r="F971" s="10"/>
      <c r="G971" s="10"/>
      <c r="H971" s="10"/>
      <c r="I971" s="10"/>
      <c r="J971" s="10"/>
    </row>
    <row r="972" spans="1:10" ht="14.25" customHeight="1" x14ac:dyDescent="0.35">
      <c r="A972" s="10"/>
      <c r="B972" s="10"/>
      <c r="C972" s="10"/>
      <c r="D972" s="10"/>
      <c r="E972" s="10"/>
      <c r="F972" s="10"/>
      <c r="G972" s="10"/>
      <c r="H972" s="10"/>
      <c r="I972" s="10"/>
      <c r="J972" s="10"/>
    </row>
    <row r="973" spans="1:10" ht="14.25" customHeight="1" x14ac:dyDescent="0.35">
      <c r="A973" s="10"/>
      <c r="B973" s="10"/>
      <c r="C973" s="10"/>
      <c r="D973" s="10"/>
      <c r="E973" s="10"/>
      <c r="F973" s="10"/>
      <c r="G973" s="10"/>
      <c r="H973" s="10"/>
      <c r="I973" s="10"/>
      <c r="J973" s="10"/>
    </row>
    <row r="974" spans="1:10" ht="14.25" customHeight="1" x14ac:dyDescent="0.35">
      <c r="A974" s="10"/>
      <c r="B974" s="10"/>
      <c r="C974" s="10"/>
      <c r="D974" s="10"/>
      <c r="E974" s="10"/>
      <c r="F974" s="10"/>
      <c r="G974" s="10"/>
      <c r="H974" s="10"/>
      <c r="I974" s="10"/>
      <c r="J974" s="10"/>
    </row>
    <row r="975" spans="1:10" ht="14.25" customHeight="1" x14ac:dyDescent="0.35">
      <c r="A975" s="10"/>
      <c r="B975" s="10"/>
      <c r="C975" s="10"/>
      <c r="D975" s="10"/>
      <c r="E975" s="10"/>
      <c r="F975" s="10"/>
      <c r="G975" s="10"/>
      <c r="H975" s="10"/>
      <c r="I975" s="10"/>
      <c r="J975" s="10"/>
    </row>
    <row r="976" spans="1:10" ht="14.25" customHeight="1" x14ac:dyDescent="0.35">
      <c r="A976" s="10"/>
      <c r="B976" s="10"/>
      <c r="C976" s="10"/>
      <c r="D976" s="10"/>
      <c r="E976" s="10"/>
      <c r="F976" s="10"/>
      <c r="G976" s="10"/>
      <c r="H976" s="10"/>
      <c r="I976" s="10"/>
      <c r="J976" s="10"/>
    </row>
    <row r="977" spans="1:10" ht="14.25" customHeight="1" x14ac:dyDescent="0.35">
      <c r="A977" s="10"/>
      <c r="B977" s="10"/>
      <c r="C977" s="10"/>
      <c r="D977" s="10"/>
      <c r="E977" s="10"/>
      <c r="F977" s="10"/>
      <c r="G977" s="10"/>
      <c r="H977" s="10"/>
      <c r="I977" s="10"/>
      <c r="J977" s="10"/>
    </row>
    <row r="978" spans="1:10" ht="14.25" customHeight="1" x14ac:dyDescent="0.35">
      <c r="A978" s="10"/>
      <c r="B978" s="10"/>
      <c r="C978" s="10"/>
      <c r="D978" s="10"/>
      <c r="E978" s="10"/>
      <c r="F978" s="10"/>
      <c r="G978" s="10"/>
      <c r="H978" s="10"/>
      <c r="I978" s="10"/>
      <c r="J978" s="10"/>
    </row>
    <row r="979" spans="1:10" ht="14.25" customHeight="1" x14ac:dyDescent="0.35">
      <c r="A979" s="10"/>
      <c r="B979" s="10"/>
      <c r="C979" s="10"/>
      <c r="D979" s="10"/>
      <c r="E979" s="10"/>
      <c r="F979" s="10"/>
      <c r="G979" s="10"/>
      <c r="H979" s="10"/>
      <c r="I979" s="10"/>
      <c r="J979" s="10"/>
    </row>
    <row r="980" spans="1:10" ht="14.25" customHeight="1" x14ac:dyDescent="0.35">
      <c r="A980" s="10"/>
      <c r="B980" s="10"/>
      <c r="C980" s="10"/>
      <c r="D980" s="10"/>
      <c r="E980" s="10"/>
      <c r="F980" s="10"/>
      <c r="G980" s="10"/>
      <c r="H980" s="10"/>
      <c r="I980" s="10"/>
      <c r="J980" s="10"/>
    </row>
    <row r="981" spans="1:10" ht="14.25" customHeight="1" x14ac:dyDescent="0.35">
      <c r="A981" s="10"/>
      <c r="B981" s="10"/>
      <c r="C981" s="10"/>
      <c r="D981" s="10"/>
      <c r="E981" s="10"/>
      <c r="F981" s="10"/>
      <c r="G981" s="10"/>
      <c r="H981" s="10"/>
      <c r="I981" s="10"/>
      <c r="J981" s="10"/>
    </row>
    <row r="982" spans="1:10" ht="14.25" customHeight="1" x14ac:dyDescent="0.35">
      <c r="A982" s="10"/>
      <c r="B982" s="10"/>
      <c r="C982" s="10"/>
      <c r="D982" s="10"/>
      <c r="E982" s="10"/>
      <c r="F982" s="10"/>
      <c r="G982" s="10"/>
      <c r="H982" s="10"/>
      <c r="I982" s="10"/>
      <c r="J982" s="10"/>
    </row>
    <row r="983" spans="1:10" ht="14.25" customHeight="1" x14ac:dyDescent="0.35">
      <c r="A983" s="10"/>
      <c r="B983" s="10"/>
      <c r="C983" s="10"/>
      <c r="D983" s="10"/>
      <c r="E983" s="10"/>
      <c r="F983" s="10"/>
      <c r="G983" s="10"/>
      <c r="H983" s="10"/>
      <c r="I983" s="10"/>
      <c r="J983" s="10"/>
    </row>
    <row r="984" spans="1:10" ht="14.25" customHeight="1" x14ac:dyDescent="0.35">
      <c r="A984" s="10"/>
      <c r="B984" s="10"/>
      <c r="C984" s="10"/>
      <c r="D984" s="10"/>
      <c r="E984" s="10"/>
      <c r="F984" s="10"/>
      <c r="G984" s="10"/>
      <c r="H984" s="10"/>
      <c r="I984" s="10"/>
      <c r="J984" s="10"/>
    </row>
    <row r="985" spans="1:10" ht="14.25" customHeight="1" x14ac:dyDescent="0.35">
      <c r="A985" s="10"/>
      <c r="B985" s="10"/>
      <c r="C985" s="10"/>
      <c r="D985" s="10"/>
      <c r="E985" s="10"/>
      <c r="F985" s="10"/>
      <c r="G985" s="10"/>
      <c r="H985" s="10"/>
      <c r="I985" s="10"/>
      <c r="J985" s="10"/>
    </row>
    <row r="986" spans="1:10" ht="14.25" customHeight="1" x14ac:dyDescent="0.35">
      <c r="A986" s="10"/>
      <c r="B986" s="10"/>
      <c r="C986" s="10"/>
      <c r="D986" s="10"/>
      <c r="E986" s="10"/>
      <c r="F986" s="10"/>
      <c r="G986" s="10"/>
      <c r="H986" s="10"/>
      <c r="I986" s="10"/>
      <c r="J986" s="10"/>
    </row>
    <row r="987" spans="1:10" ht="14.25" customHeight="1" x14ac:dyDescent="0.35">
      <c r="A987" s="10"/>
      <c r="B987" s="10"/>
      <c r="C987" s="10"/>
      <c r="D987" s="10"/>
      <c r="E987" s="10"/>
      <c r="F987" s="10"/>
      <c r="G987" s="10"/>
      <c r="H987" s="10"/>
      <c r="I987" s="10"/>
      <c r="J987" s="10"/>
    </row>
    <row r="988" spans="1:10" ht="14.25" customHeight="1" x14ac:dyDescent="0.35">
      <c r="A988" s="10"/>
      <c r="B988" s="10"/>
      <c r="C988" s="10"/>
      <c r="D988" s="10"/>
      <c r="E988" s="10"/>
      <c r="F988" s="10"/>
      <c r="G988" s="10"/>
      <c r="H988" s="10"/>
      <c r="I988" s="10"/>
      <c r="J988" s="10"/>
    </row>
    <row r="989" spans="1:10" ht="14.25" customHeight="1" x14ac:dyDescent="0.35">
      <c r="A989" s="10"/>
      <c r="B989" s="10"/>
      <c r="C989" s="10"/>
      <c r="D989" s="10"/>
      <c r="E989" s="10"/>
      <c r="F989" s="10"/>
      <c r="G989" s="10"/>
      <c r="H989" s="10"/>
      <c r="I989" s="10"/>
      <c r="J989" s="10"/>
    </row>
    <row r="990" spans="1:10" ht="14.25" customHeight="1" x14ac:dyDescent="0.35">
      <c r="A990" s="10"/>
      <c r="B990" s="10"/>
      <c r="C990" s="10"/>
      <c r="D990" s="10"/>
      <c r="E990" s="10"/>
      <c r="F990" s="10"/>
      <c r="G990" s="10"/>
      <c r="H990" s="10"/>
      <c r="I990" s="10"/>
      <c r="J990" s="10"/>
    </row>
    <row r="991" spans="1:10" ht="14.25" customHeight="1" x14ac:dyDescent="0.35">
      <c r="A991" s="10"/>
      <c r="B991" s="10"/>
      <c r="C991" s="10"/>
      <c r="D991" s="10"/>
      <c r="E991" s="10"/>
      <c r="F991" s="10"/>
      <c r="G991" s="10"/>
      <c r="H991" s="10"/>
      <c r="I991" s="10"/>
      <c r="J991" s="10"/>
    </row>
    <row r="992" spans="1:10" ht="14.25" customHeight="1" x14ac:dyDescent="0.35">
      <c r="A992" s="10"/>
      <c r="B992" s="10"/>
      <c r="C992" s="10"/>
      <c r="D992" s="10"/>
      <c r="E992" s="10"/>
      <c r="F992" s="10"/>
      <c r="G992" s="10"/>
      <c r="H992" s="10"/>
      <c r="I992" s="10"/>
      <c r="J992" s="10"/>
    </row>
    <row r="993" spans="1:10" ht="14.25" customHeight="1" x14ac:dyDescent="0.35">
      <c r="A993" s="10"/>
      <c r="B993" s="10"/>
      <c r="C993" s="10"/>
      <c r="D993" s="10"/>
      <c r="E993" s="10"/>
      <c r="F993" s="10"/>
      <c r="G993" s="10"/>
      <c r="H993" s="10"/>
      <c r="I993" s="10"/>
      <c r="J993" s="10"/>
    </row>
    <row r="994" spans="1:10" ht="14.25" customHeight="1" x14ac:dyDescent="0.35">
      <c r="A994" s="10"/>
      <c r="B994" s="10"/>
      <c r="C994" s="10"/>
      <c r="D994" s="10"/>
      <c r="E994" s="10"/>
      <c r="F994" s="10"/>
      <c r="G994" s="10"/>
      <c r="H994" s="10"/>
      <c r="I994" s="10"/>
      <c r="J994" s="10"/>
    </row>
    <row r="995" spans="1:10" ht="14.25" customHeight="1" x14ac:dyDescent="0.35">
      <c r="A995" s="10"/>
      <c r="B995" s="10"/>
      <c r="C995" s="10"/>
      <c r="D995" s="10"/>
      <c r="E995" s="10"/>
      <c r="F995" s="10"/>
      <c r="G995" s="10"/>
      <c r="H995" s="10"/>
      <c r="I995" s="10"/>
      <c r="J995" s="10"/>
    </row>
    <row r="996" spans="1:10" ht="14.25" customHeight="1" x14ac:dyDescent="0.35">
      <c r="A996" s="10"/>
      <c r="B996" s="10"/>
      <c r="C996" s="10"/>
      <c r="D996" s="10"/>
      <c r="E996" s="10"/>
      <c r="F996" s="10"/>
      <c r="G996" s="10"/>
      <c r="H996" s="10"/>
      <c r="I996" s="10"/>
      <c r="J996" s="10"/>
    </row>
    <row r="997" spans="1:10" ht="14.25" customHeight="1" x14ac:dyDescent="0.35">
      <c r="A997" s="10"/>
      <c r="B997" s="10"/>
      <c r="C997" s="10"/>
      <c r="D997" s="10"/>
      <c r="E997" s="10"/>
      <c r="F997" s="10"/>
      <c r="G997" s="10"/>
      <c r="H997" s="10"/>
      <c r="I997" s="10"/>
      <c r="J997" s="10"/>
    </row>
    <row r="998" spans="1:10" ht="14.25" customHeight="1" x14ac:dyDescent="0.35">
      <c r="A998" s="10"/>
      <c r="B998" s="10"/>
      <c r="C998" s="10"/>
      <c r="D998" s="10"/>
      <c r="E998" s="10"/>
      <c r="F998" s="10"/>
      <c r="G998" s="10"/>
      <c r="H998" s="10"/>
      <c r="I998" s="10"/>
      <c r="J998" s="10"/>
    </row>
    <row r="999" spans="1:10" ht="14.25" customHeight="1" x14ac:dyDescent="0.35">
      <c r="A999" s="10"/>
      <c r="B999" s="10"/>
      <c r="C999" s="10"/>
      <c r="D999" s="10"/>
      <c r="E999" s="10"/>
      <c r="F999" s="10"/>
      <c r="G999" s="10"/>
      <c r="H999" s="10"/>
      <c r="I999" s="10"/>
      <c r="J999" s="10"/>
    </row>
    <row r="1000" spans="1:10" ht="14.25" customHeight="1" x14ac:dyDescent="0.35">
      <c r="A1000" s="10"/>
      <c r="B1000" s="10"/>
      <c r="C1000" s="10"/>
      <c r="D1000" s="10"/>
      <c r="E1000" s="10"/>
      <c r="F1000" s="10"/>
      <c r="G1000" s="10"/>
      <c r="H1000" s="10"/>
      <c r="I1000" s="10"/>
      <c r="J1000" s="10"/>
    </row>
  </sheetData>
  <pageMargins left="0.75" right="0.75" top="1" bottom="1" header="0" footer="0"/>
  <pageSetup paperSize="9"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10</vt:i4>
      </vt:variant>
    </vt:vector>
  </HeadingPairs>
  <TitlesOfParts>
    <vt:vector size="10" baseType="lpstr">
      <vt:lpstr>Corpus</vt:lpstr>
      <vt:lpstr>Summary</vt:lpstr>
      <vt:lpstr>Principal characters</vt:lpstr>
      <vt:lpstr>Shame</vt:lpstr>
      <vt:lpstr>Guilt</vt:lpstr>
      <vt:lpstr>Conscience</vt:lpstr>
      <vt:lpstr>Honor</vt:lpstr>
      <vt:lpstr>Russian renderings</vt:lpstr>
      <vt:lpstr>Kazakh renderings</vt:lpstr>
      <vt:lpstr>Data (parsed)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Валентина</cp:lastModifiedBy>
  <dcterms:created xsi:type="dcterms:W3CDTF">2026-05-21T22:18:29Z</dcterms:created>
  <dcterms:modified xsi:type="dcterms:W3CDTF">2026-08-08T22:01:23Z</dcterms:modified>
</cp:coreProperties>
</file>